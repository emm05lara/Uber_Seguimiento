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UBER/"/>
    </mc:Choice>
  </mc:AlternateContent>
  <xr:revisionPtr revIDLastSave="4" documentId="8_{8FABD7C0-EF6D-4676-961F-D6517EB66983}" xr6:coauthVersionLast="47" xr6:coauthVersionMax="47" xr10:uidLastSave="{D81DF6DF-69FC-46AF-9221-696CBEB027E1}"/>
  <bookViews>
    <workbookView xWindow="-108" yWindow="-108" windowWidth="23256" windowHeight="12456" xr2:uid="{ED5B7451-9EA9-41C9-A993-70B6F5675383}"/>
  </bookViews>
  <sheets>
    <sheet name="BASE" sheetId="1" r:id="rId1"/>
  </sheets>
  <externalReferences>
    <externalReference r:id="rId2"/>
    <externalReference r:id="rId3"/>
  </externalReferences>
  <definedNames>
    <definedName name="_xlnm._FilterDatabase" localSheetId="0" hidden="1">BASE!$A$1:$R$2890</definedName>
    <definedName name="H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90" i="1" l="1"/>
  <c r="L2890" i="1"/>
  <c r="K2890" i="1"/>
  <c r="J2890" i="1"/>
  <c r="D2890" i="1"/>
  <c r="B2890" i="1"/>
  <c r="R2889" i="1"/>
  <c r="L2889" i="1"/>
  <c r="K2889" i="1"/>
  <c r="J2889" i="1"/>
  <c r="D2889" i="1"/>
  <c r="B2889" i="1"/>
  <c r="R2888" i="1"/>
  <c r="L2888" i="1"/>
  <c r="K2888" i="1"/>
  <c r="J2888" i="1"/>
  <c r="D2888" i="1"/>
  <c r="B2888" i="1"/>
  <c r="R2887" i="1"/>
  <c r="L2887" i="1"/>
  <c r="K2887" i="1"/>
  <c r="J2887" i="1"/>
  <c r="D2887" i="1"/>
  <c r="B2887" i="1"/>
  <c r="R2886" i="1"/>
  <c r="L2886" i="1"/>
  <c r="K2886" i="1"/>
  <c r="J2886" i="1"/>
  <c r="D2886" i="1"/>
  <c r="B2886" i="1"/>
  <c r="R2885" i="1"/>
  <c r="L2885" i="1"/>
  <c r="K2885" i="1"/>
  <c r="J2885" i="1"/>
  <c r="D2885" i="1"/>
  <c r="B2885" i="1"/>
  <c r="R2884" i="1"/>
  <c r="L2884" i="1"/>
  <c r="K2884" i="1"/>
  <c r="J2884" i="1"/>
  <c r="D2884" i="1"/>
  <c r="B2884" i="1"/>
  <c r="L2883" i="1"/>
  <c r="K2883" i="1"/>
  <c r="J2883" i="1"/>
  <c r="D2883" i="1"/>
  <c r="B2883" i="1"/>
  <c r="L2882" i="1"/>
  <c r="K2882" i="1"/>
  <c r="J2882" i="1"/>
  <c r="D2882" i="1"/>
  <c r="B2882" i="1"/>
  <c r="L2881" i="1"/>
  <c r="K2881" i="1"/>
  <c r="J2881" i="1"/>
  <c r="D2881" i="1"/>
  <c r="B2881" i="1"/>
  <c r="R2880" i="1"/>
  <c r="L2880" i="1"/>
  <c r="K2880" i="1"/>
  <c r="J2880" i="1"/>
  <c r="D2880" i="1"/>
  <c r="B2880" i="1"/>
  <c r="L2879" i="1"/>
  <c r="K2879" i="1"/>
  <c r="J2879" i="1"/>
  <c r="D2879" i="1"/>
  <c r="B2879" i="1"/>
  <c r="R2878" i="1"/>
  <c r="L2878" i="1"/>
  <c r="K2878" i="1"/>
  <c r="J2878" i="1"/>
  <c r="D2878" i="1"/>
  <c r="B2878" i="1"/>
  <c r="R2877" i="1"/>
  <c r="L2877" i="1"/>
  <c r="K2877" i="1"/>
  <c r="J2877" i="1"/>
  <c r="D2877" i="1"/>
  <c r="B2877" i="1"/>
  <c r="R2876" i="1"/>
  <c r="L2876" i="1"/>
  <c r="K2876" i="1"/>
  <c r="J2876" i="1"/>
  <c r="D2876" i="1"/>
  <c r="B2876" i="1"/>
  <c r="R2875" i="1"/>
  <c r="L2875" i="1"/>
  <c r="K2875" i="1"/>
  <c r="J2875" i="1"/>
  <c r="D2875" i="1"/>
  <c r="B2875" i="1"/>
  <c r="R2874" i="1"/>
  <c r="L2874" i="1"/>
  <c r="K2874" i="1"/>
  <c r="J2874" i="1"/>
  <c r="D2874" i="1"/>
  <c r="B2874" i="1"/>
  <c r="R2873" i="1"/>
  <c r="L2873" i="1"/>
  <c r="K2873" i="1"/>
  <c r="J2873" i="1"/>
  <c r="D2873" i="1"/>
  <c r="B2873" i="1"/>
  <c r="R2872" i="1"/>
  <c r="L2872" i="1"/>
  <c r="K2872" i="1"/>
  <c r="J2872" i="1"/>
  <c r="D2872" i="1"/>
  <c r="B2872" i="1"/>
  <c r="R2871" i="1"/>
  <c r="L2871" i="1"/>
  <c r="K2871" i="1"/>
  <c r="J2871" i="1"/>
  <c r="D2871" i="1"/>
  <c r="B2871" i="1"/>
  <c r="R2870" i="1"/>
  <c r="L2870" i="1"/>
  <c r="K2870" i="1"/>
  <c r="J2870" i="1"/>
  <c r="D2870" i="1"/>
  <c r="B2870" i="1"/>
  <c r="R2869" i="1"/>
  <c r="L2869" i="1"/>
  <c r="K2869" i="1"/>
  <c r="J2869" i="1"/>
  <c r="D2869" i="1"/>
  <c r="B2869" i="1"/>
  <c r="R2868" i="1"/>
  <c r="L2868" i="1"/>
  <c r="K2868" i="1"/>
  <c r="J2868" i="1"/>
  <c r="D2868" i="1"/>
  <c r="B2868" i="1"/>
  <c r="R2867" i="1"/>
  <c r="L2867" i="1"/>
  <c r="K2867" i="1"/>
  <c r="J2867" i="1"/>
  <c r="D2867" i="1"/>
  <c r="B2867" i="1"/>
  <c r="R2866" i="1"/>
  <c r="L2866" i="1"/>
  <c r="K2866" i="1"/>
  <c r="J2866" i="1"/>
  <c r="D2866" i="1"/>
  <c r="B2866" i="1"/>
  <c r="R2865" i="1"/>
  <c r="L2865" i="1"/>
  <c r="K2865" i="1"/>
  <c r="J2865" i="1"/>
  <c r="D2865" i="1"/>
  <c r="B2865" i="1"/>
  <c r="R2864" i="1"/>
  <c r="L2864" i="1"/>
  <c r="K2864" i="1"/>
  <c r="J2864" i="1"/>
  <c r="D2864" i="1"/>
  <c r="B2864" i="1"/>
  <c r="R2863" i="1"/>
  <c r="L2863" i="1"/>
  <c r="K2863" i="1"/>
  <c r="J2863" i="1"/>
  <c r="D2863" i="1"/>
  <c r="B2863" i="1"/>
  <c r="R2862" i="1"/>
  <c r="L2862" i="1"/>
  <c r="K2862" i="1"/>
  <c r="J2862" i="1"/>
  <c r="D2862" i="1"/>
  <c r="B2862" i="1"/>
  <c r="R2861" i="1"/>
  <c r="L2861" i="1"/>
  <c r="K2861" i="1"/>
  <c r="J2861" i="1"/>
  <c r="D2861" i="1"/>
  <c r="B2861" i="1"/>
  <c r="R2860" i="1"/>
  <c r="L2860" i="1"/>
  <c r="K2860" i="1"/>
  <c r="J2860" i="1"/>
  <c r="D2860" i="1"/>
  <c r="B2860" i="1"/>
  <c r="R2859" i="1"/>
  <c r="L2859" i="1"/>
  <c r="K2859" i="1"/>
  <c r="J2859" i="1"/>
  <c r="D2859" i="1"/>
  <c r="B2859" i="1"/>
  <c r="R2858" i="1"/>
  <c r="L2858" i="1"/>
  <c r="K2858" i="1"/>
  <c r="J2858" i="1"/>
  <c r="D2858" i="1"/>
  <c r="B2858" i="1"/>
  <c r="R2857" i="1"/>
  <c r="L2857" i="1"/>
  <c r="K2857" i="1"/>
  <c r="J2857" i="1"/>
  <c r="D2857" i="1"/>
  <c r="B2857" i="1"/>
  <c r="R2856" i="1"/>
  <c r="L2856" i="1"/>
  <c r="K2856" i="1"/>
  <c r="J2856" i="1"/>
  <c r="D2856" i="1"/>
  <c r="B2856" i="1"/>
  <c r="R2855" i="1"/>
  <c r="L2855" i="1"/>
  <c r="K2855" i="1"/>
  <c r="J2855" i="1"/>
  <c r="D2855" i="1"/>
  <c r="B2855" i="1"/>
  <c r="R2854" i="1"/>
  <c r="L2854" i="1"/>
  <c r="K2854" i="1"/>
  <c r="J2854" i="1"/>
  <c r="D2854" i="1"/>
  <c r="B2854" i="1"/>
  <c r="R2853" i="1"/>
  <c r="L2853" i="1"/>
  <c r="K2853" i="1"/>
  <c r="J2853" i="1"/>
  <c r="D2853" i="1"/>
  <c r="B2853" i="1"/>
  <c r="R2852" i="1"/>
  <c r="L2852" i="1"/>
  <c r="K2852" i="1"/>
  <c r="J2852" i="1"/>
  <c r="D2852" i="1"/>
  <c r="B2852" i="1"/>
  <c r="R2851" i="1"/>
  <c r="L2851" i="1"/>
  <c r="K2851" i="1"/>
  <c r="J2851" i="1"/>
  <c r="D2851" i="1"/>
  <c r="B2851" i="1"/>
  <c r="L2850" i="1"/>
  <c r="K2850" i="1"/>
  <c r="J2850" i="1"/>
  <c r="D2850" i="1"/>
  <c r="B2850" i="1"/>
  <c r="L2849" i="1"/>
  <c r="K2849" i="1"/>
  <c r="J2849" i="1"/>
  <c r="D2849" i="1"/>
  <c r="B2849" i="1"/>
  <c r="L2848" i="1"/>
  <c r="K2848" i="1"/>
  <c r="J2848" i="1"/>
  <c r="D2848" i="1"/>
  <c r="B2848" i="1"/>
  <c r="L2847" i="1"/>
  <c r="K2847" i="1"/>
  <c r="J2847" i="1"/>
  <c r="D2847" i="1"/>
  <c r="B2847" i="1"/>
  <c r="L2846" i="1"/>
  <c r="K2846" i="1"/>
  <c r="J2846" i="1"/>
  <c r="D2846" i="1"/>
  <c r="B2846" i="1"/>
  <c r="L2845" i="1"/>
  <c r="K2845" i="1"/>
  <c r="J2845" i="1"/>
  <c r="D2845" i="1"/>
  <c r="B2845" i="1"/>
  <c r="L2844" i="1"/>
  <c r="K2844" i="1"/>
  <c r="J2844" i="1"/>
  <c r="D2844" i="1"/>
  <c r="B2844" i="1"/>
  <c r="L2843" i="1"/>
  <c r="K2843" i="1"/>
  <c r="J2843" i="1"/>
  <c r="D2843" i="1"/>
  <c r="B2843" i="1"/>
  <c r="L2842" i="1"/>
  <c r="K2842" i="1"/>
  <c r="J2842" i="1"/>
  <c r="D2842" i="1"/>
  <c r="B2842" i="1"/>
  <c r="L2841" i="1"/>
  <c r="K2841" i="1"/>
  <c r="J2841" i="1"/>
  <c r="D2841" i="1"/>
  <c r="B2841" i="1"/>
  <c r="L2840" i="1"/>
  <c r="K2840" i="1"/>
  <c r="J2840" i="1"/>
  <c r="D2840" i="1"/>
  <c r="B2840" i="1"/>
  <c r="L2839" i="1"/>
  <c r="K2839" i="1"/>
  <c r="J2839" i="1"/>
  <c r="D2839" i="1"/>
  <c r="B2839" i="1"/>
  <c r="L2838" i="1"/>
  <c r="K2838" i="1"/>
  <c r="J2838" i="1"/>
  <c r="D2838" i="1"/>
  <c r="B2838" i="1"/>
  <c r="L2837" i="1"/>
  <c r="K2837" i="1"/>
  <c r="J2837" i="1"/>
  <c r="D2837" i="1"/>
  <c r="B2837" i="1"/>
  <c r="R2836" i="1"/>
  <c r="L2836" i="1"/>
  <c r="K2836" i="1"/>
  <c r="J2836" i="1"/>
  <c r="D2836" i="1"/>
  <c r="B2836" i="1"/>
  <c r="R2835" i="1"/>
  <c r="L2835" i="1"/>
  <c r="K2835" i="1"/>
  <c r="J2835" i="1"/>
  <c r="D2835" i="1"/>
  <c r="B2835" i="1"/>
  <c r="R2834" i="1"/>
  <c r="L2834" i="1"/>
  <c r="K2834" i="1"/>
  <c r="J2834" i="1"/>
  <c r="D2834" i="1"/>
  <c r="B2834" i="1"/>
  <c r="R2833" i="1"/>
  <c r="L2833" i="1"/>
  <c r="K2833" i="1"/>
  <c r="J2833" i="1"/>
  <c r="D2833" i="1"/>
  <c r="B2833" i="1"/>
  <c r="R2832" i="1"/>
  <c r="L2832" i="1"/>
  <c r="K2832" i="1"/>
  <c r="J2832" i="1"/>
  <c r="D2832" i="1"/>
  <c r="B2832" i="1"/>
  <c r="R2831" i="1"/>
  <c r="L2831" i="1"/>
  <c r="K2831" i="1"/>
  <c r="J2831" i="1"/>
  <c r="D2831" i="1"/>
  <c r="B2831" i="1"/>
  <c r="R2830" i="1"/>
  <c r="L2830" i="1"/>
  <c r="K2830" i="1"/>
  <c r="J2830" i="1"/>
  <c r="D2830" i="1"/>
  <c r="B2830" i="1"/>
  <c r="R2829" i="1"/>
  <c r="L2829" i="1"/>
  <c r="K2829" i="1"/>
  <c r="J2829" i="1"/>
  <c r="D2829" i="1"/>
  <c r="B2829" i="1"/>
  <c r="R2828" i="1"/>
  <c r="L2828" i="1"/>
  <c r="K2828" i="1"/>
  <c r="J2828" i="1"/>
  <c r="D2828" i="1"/>
  <c r="B2828" i="1"/>
  <c r="R2827" i="1"/>
  <c r="L2827" i="1"/>
  <c r="K2827" i="1"/>
  <c r="J2827" i="1"/>
  <c r="D2827" i="1"/>
  <c r="B2827" i="1"/>
  <c r="R2826" i="1"/>
  <c r="L2826" i="1"/>
  <c r="K2826" i="1"/>
  <c r="J2826" i="1"/>
  <c r="D2826" i="1"/>
  <c r="B2826" i="1"/>
  <c r="R2825" i="1"/>
  <c r="L2825" i="1"/>
  <c r="K2825" i="1"/>
  <c r="J2825" i="1"/>
  <c r="D2825" i="1"/>
  <c r="B2825" i="1"/>
  <c r="R2824" i="1"/>
  <c r="L2824" i="1"/>
  <c r="K2824" i="1"/>
  <c r="J2824" i="1"/>
  <c r="D2824" i="1"/>
  <c r="B2824" i="1"/>
  <c r="R2823" i="1"/>
  <c r="L2823" i="1"/>
  <c r="K2823" i="1"/>
  <c r="J2823" i="1"/>
  <c r="D2823" i="1"/>
  <c r="B2823" i="1"/>
  <c r="R2822" i="1"/>
  <c r="L2822" i="1"/>
  <c r="K2822" i="1"/>
  <c r="J2822" i="1"/>
  <c r="D2822" i="1"/>
  <c r="B2822" i="1"/>
  <c r="R2821" i="1"/>
  <c r="L2821" i="1"/>
  <c r="K2821" i="1"/>
  <c r="J2821" i="1"/>
  <c r="D2821" i="1"/>
  <c r="B2821" i="1"/>
  <c r="R2820" i="1"/>
  <c r="L2820" i="1"/>
  <c r="K2820" i="1"/>
  <c r="J2820" i="1"/>
  <c r="D2820" i="1"/>
  <c r="B2820" i="1"/>
  <c r="R2819" i="1"/>
  <c r="L2819" i="1"/>
  <c r="K2819" i="1"/>
  <c r="J2819" i="1"/>
  <c r="D2819" i="1"/>
  <c r="B2819" i="1"/>
  <c r="R2818" i="1"/>
  <c r="L2818" i="1"/>
  <c r="K2818" i="1"/>
  <c r="J2818" i="1"/>
  <c r="D2818" i="1"/>
  <c r="B2818" i="1"/>
  <c r="R2817" i="1"/>
  <c r="L2817" i="1"/>
  <c r="K2817" i="1"/>
  <c r="J2817" i="1"/>
  <c r="D2817" i="1"/>
  <c r="B2817" i="1"/>
  <c r="R2816" i="1"/>
  <c r="L2816" i="1"/>
  <c r="K2816" i="1"/>
  <c r="J2816" i="1"/>
  <c r="D2816" i="1"/>
  <c r="B2816" i="1"/>
  <c r="R2815" i="1"/>
  <c r="L2815" i="1"/>
  <c r="K2815" i="1"/>
  <c r="J2815" i="1"/>
  <c r="D2815" i="1"/>
  <c r="B2815" i="1"/>
  <c r="R2814" i="1"/>
  <c r="L2814" i="1"/>
  <c r="K2814" i="1"/>
  <c r="J2814" i="1"/>
  <c r="D2814" i="1"/>
  <c r="B2814" i="1"/>
  <c r="R2813" i="1"/>
  <c r="L2813" i="1"/>
  <c r="K2813" i="1"/>
  <c r="J2813" i="1"/>
  <c r="D2813" i="1"/>
  <c r="B2813" i="1"/>
  <c r="R2812" i="1"/>
  <c r="L2812" i="1"/>
  <c r="K2812" i="1"/>
  <c r="J2812" i="1"/>
  <c r="D2812" i="1"/>
  <c r="B2812" i="1"/>
  <c r="R2811" i="1"/>
  <c r="L2811" i="1"/>
  <c r="K2811" i="1"/>
  <c r="J2811" i="1"/>
  <c r="D2811" i="1"/>
  <c r="B2811" i="1"/>
  <c r="R2810" i="1"/>
  <c r="L2810" i="1"/>
  <c r="K2810" i="1"/>
  <c r="J2810" i="1"/>
  <c r="D2810" i="1"/>
  <c r="B2810" i="1"/>
  <c r="R2809" i="1"/>
  <c r="L2809" i="1"/>
  <c r="K2809" i="1"/>
  <c r="J2809" i="1"/>
  <c r="D2809" i="1"/>
  <c r="B2809" i="1"/>
  <c r="R2808" i="1"/>
  <c r="L2808" i="1"/>
  <c r="K2808" i="1"/>
  <c r="J2808" i="1"/>
  <c r="D2808" i="1"/>
  <c r="B2808" i="1"/>
  <c r="R2807" i="1"/>
  <c r="L2807" i="1"/>
  <c r="K2807" i="1"/>
  <c r="J2807" i="1"/>
  <c r="D2807" i="1"/>
  <c r="B2807" i="1"/>
  <c r="R2806" i="1"/>
  <c r="L2806" i="1"/>
  <c r="K2806" i="1"/>
  <c r="J2806" i="1"/>
  <c r="D2806" i="1"/>
  <c r="B2806" i="1"/>
  <c r="R2805" i="1"/>
  <c r="L2805" i="1"/>
  <c r="K2805" i="1"/>
  <c r="J2805" i="1"/>
  <c r="D2805" i="1"/>
  <c r="B2805" i="1"/>
  <c r="R2804" i="1"/>
  <c r="L2804" i="1"/>
  <c r="K2804" i="1"/>
  <c r="J2804" i="1"/>
  <c r="D2804" i="1"/>
  <c r="B2804" i="1"/>
  <c r="R2803" i="1"/>
  <c r="L2803" i="1"/>
  <c r="K2803" i="1"/>
  <c r="J2803" i="1"/>
  <c r="D2803" i="1"/>
  <c r="B2803" i="1"/>
  <c r="R2802" i="1"/>
  <c r="L2802" i="1"/>
  <c r="K2802" i="1"/>
  <c r="J2802" i="1"/>
  <c r="D2802" i="1"/>
  <c r="B2802" i="1"/>
  <c r="R2801" i="1"/>
  <c r="L2801" i="1"/>
  <c r="K2801" i="1"/>
  <c r="J2801" i="1"/>
  <c r="D2801" i="1"/>
  <c r="B2801" i="1"/>
  <c r="R2800" i="1"/>
  <c r="L2800" i="1"/>
  <c r="K2800" i="1"/>
  <c r="J2800" i="1"/>
  <c r="D2800" i="1"/>
  <c r="B2800" i="1"/>
  <c r="R2799" i="1"/>
  <c r="L2799" i="1"/>
  <c r="K2799" i="1"/>
  <c r="J2799" i="1"/>
  <c r="D2799" i="1"/>
  <c r="B2799" i="1"/>
  <c r="R2798" i="1"/>
  <c r="L2798" i="1"/>
  <c r="K2798" i="1"/>
  <c r="J2798" i="1"/>
  <c r="D2798" i="1"/>
  <c r="B2798" i="1"/>
  <c r="R2797" i="1"/>
  <c r="L2797" i="1"/>
  <c r="K2797" i="1"/>
  <c r="J2797" i="1"/>
  <c r="D2797" i="1"/>
  <c r="B2797" i="1"/>
  <c r="R2796" i="1"/>
  <c r="L2796" i="1"/>
  <c r="K2796" i="1"/>
  <c r="J2796" i="1"/>
  <c r="D2796" i="1"/>
  <c r="B2796" i="1"/>
  <c r="R2795" i="1"/>
  <c r="L2795" i="1"/>
  <c r="K2795" i="1"/>
  <c r="J2795" i="1"/>
  <c r="D2795" i="1"/>
  <c r="B2795" i="1"/>
  <c r="R2794" i="1"/>
  <c r="L2794" i="1"/>
  <c r="K2794" i="1"/>
  <c r="J2794" i="1"/>
  <c r="D2794" i="1"/>
  <c r="B2794" i="1"/>
  <c r="R2793" i="1"/>
  <c r="L2793" i="1"/>
  <c r="K2793" i="1"/>
  <c r="J2793" i="1"/>
  <c r="D2793" i="1"/>
  <c r="B2793" i="1"/>
  <c r="R2792" i="1"/>
  <c r="L2792" i="1"/>
  <c r="K2792" i="1"/>
  <c r="J2792" i="1"/>
  <c r="D2792" i="1"/>
  <c r="B2792" i="1"/>
  <c r="R2791" i="1"/>
  <c r="L2791" i="1"/>
  <c r="K2791" i="1"/>
  <c r="J2791" i="1"/>
  <c r="D2791" i="1"/>
  <c r="B2791" i="1"/>
  <c r="R2790" i="1"/>
  <c r="L2790" i="1"/>
  <c r="K2790" i="1"/>
  <c r="J2790" i="1"/>
  <c r="D2790" i="1"/>
  <c r="B2790" i="1"/>
  <c r="R2789" i="1"/>
  <c r="L2789" i="1"/>
  <c r="K2789" i="1"/>
  <c r="J2789" i="1"/>
  <c r="D2789" i="1"/>
  <c r="B2789" i="1"/>
  <c r="R2788" i="1"/>
  <c r="L2788" i="1"/>
  <c r="K2788" i="1"/>
  <c r="J2788" i="1"/>
  <c r="D2788" i="1"/>
  <c r="B2788" i="1"/>
  <c r="R2787" i="1"/>
  <c r="L2787" i="1"/>
  <c r="K2787" i="1"/>
  <c r="J2787" i="1"/>
  <c r="D2787" i="1"/>
  <c r="B2787" i="1"/>
  <c r="R2786" i="1"/>
  <c r="L2786" i="1"/>
  <c r="K2786" i="1"/>
  <c r="J2786" i="1"/>
  <c r="D2786" i="1"/>
  <c r="B2786" i="1"/>
  <c r="R2785" i="1"/>
  <c r="L2785" i="1"/>
  <c r="K2785" i="1"/>
  <c r="J2785" i="1"/>
  <c r="D2785" i="1"/>
  <c r="B2785" i="1"/>
  <c r="R2784" i="1"/>
  <c r="L2784" i="1"/>
  <c r="K2784" i="1"/>
  <c r="J2784" i="1"/>
  <c r="D2784" i="1"/>
  <c r="B2784" i="1"/>
  <c r="R2783" i="1"/>
  <c r="L2783" i="1"/>
  <c r="K2783" i="1"/>
  <c r="J2783" i="1"/>
  <c r="D2783" i="1"/>
  <c r="B2783" i="1"/>
  <c r="R2782" i="1"/>
  <c r="L2782" i="1"/>
  <c r="K2782" i="1"/>
  <c r="J2782" i="1"/>
  <c r="D2782" i="1"/>
  <c r="B2782" i="1"/>
  <c r="R2781" i="1"/>
  <c r="L2781" i="1"/>
  <c r="K2781" i="1"/>
  <c r="J2781" i="1"/>
  <c r="D2781" i="1"/>
  <c r="B2781" i="1"/>
  <c r="R2780" i="1"/>
  <c r="L2780" i="1"/>
  <c r="K2780" i="1"/>
  <c r="J2780" i="1"/>
  <c r="D2780" i="1"/>
  <c r="B2780" i="1"/>
  <c r="R2779" i="1"/>
  <c r="L2779" i="1"/>
  <c r="K2779" i="1"/>
  <c r="J2779" i="1"/>
  <c r="D2779" i="1"/>
  <c r="B2779" i="1"/>
  <c r="R2778" i="1"/>
  <c r="L2778" i="1"/>
  <c r="K2778" i="1"/>
  <c r="J2778" i="1"/>
  <c r="D2778" i="1"/>
  <c r="B2778" i="1"/>
  <c r="R2777" i="1"/>
  <c r="L2777" i="1"/>
  <c r="K2777" i="1"/>
  <c r="J2777" i="1"/>
  <c r="D2777" i="1"/>
  <c r="B2777" i="1"/>
  <c r="R2776" i="1"/>
  <c r="L2776" i="1"/>
  <c r="K2776" i="1"/>
  <c r="J2776" i="1"/>
  <c r="D2776" i="1"/>
  <c r="B2776" i="1"/>
  <c r="R2775" i="1"/>
  <c r="L2775" i="1"/>
  <c r="K2775" i="1"/>
  <c r="J2775" i="1"/>
  <c r="D2775" i="1"/>
  <c r="B2775" i="1"/>
  <c r="R2774" i="1"/>
  <c r="L2774" i="1"/>
  <c r="K2774" i="1"/>
  <c r="J2774" i="1"/>
  <c r="D2774" i="1"/>
  <c r="B2774" i="1"/>
  <c r="R2773" i="1"/>
  <c r="L2773" i="1"/>
  <c r="K2773" i="1"/>
  <c r="J2773" i="1"/>
  <c r="D2773" i="1"/>
  <c r="B2773" i="1"/>
  <c r="R2772" i="1"/>
  <c r="D2772" i="1"/>
  <c r="B2772" i="1"/>
  <c r="R2771" i="1"/>
  <c r="L2771" i="1"/>
  <c r="K2771" i="1"/>
  <c r="J2771" i="1"/>
  <c r="D2771" i="1"/>
  <c r="B2771" i="1"/>
  <c r="R2770" i="1"/>
  <c r="L2770" i="1"/>
  <c r="K2770" i="1"/>
  <c r="J2770" i="1"/>
  <c r="D2770" i="1"/>
  <c r="B2770" i="1"/>
  <c r="R2769" i="1"/>
  <c r="L2769" i="1"/>
  <c r="K2769" i="1"/>
  <c r="J2769" i="1"/>
  <c r="D2769" i="1"/>
  <c r="B2769" i="1"/>
  <c r="R2768" i="1"/>
  <c r="L2768" i="1"/>
  <c r="K2768" i="1"/>
  <c r="J2768" i="1"/>
  <c r="D2768" i="1"/>
  <c r="B2768" i="1"/>
  <c r="R2767" i="1"/>
  <c r="L2767" i="1"/>
  <c r="K2767" i="1"/>
  <c r="J2767" i="1"/>
  <c r="D2767" i="1"/>
  <c r="B2767" i="1"/>
  <c r="R2766" i="1"/>
  <c r="L2766" i="1"/>
  <c r="K2766" i="1"/>
  <c r="J2766" i="1"/>
  <c r="D2766" i="1"/>
  <c r="B2766" i="1"/>
  <c r="R2765" i="1"/>
  <c r="L2765" i="1"/>
  <c r="K2765" i="1"/>
  <c r="J2765" i="1"/>
  <c r="D2765" i="1"/>
  <c r="B2765" i="1"/>
  <c r="R2764" i="1"/>
  <c r="L2764" i="1"/>
  <c r="K2764" i="1"/>
  <c r="J2764" i="1"/>
  <c r="D2764" i="1"/>
  <c r="B2764" i="1"/>
  <c r="R2763" i="1"/>
  <c r="L2763" i="1"/>
  <c r="K2763" i="1"/>
  <c r="J2763" i="1"/>
  <c r="D2763" i="1"/>
  <c r="B2763" i="1"/>
  <c r="R2762" i="1"/>
  <c r="L2762" i="1"/>
  <c r="K2762" i="1"/>
  <c r="J2762" i="1"/>
  <c r="D2762" i="1"/>
  <c r="B2762" i="1"/>
  <c r="R2761" i="1"/>
  <c r="L2761" i="1"/>
  <c r="K2761" i="1"/>
  <c r="J2761" i="1"/>
  <c r="D2761" i="1"/>
  <c r="B2761" i="1"/>
  <c r="R2760" i="1"/>
  <c r="L2760" i="1"/>
  <c r="K2760" i="1"/>
  <c r="J2760" i="1"/>
  <c r="D2760" i="1"/>
  <c r="B2760" i="1"/>
  <c r="R2759" i="1"/>
  <c r="L2759" i="1"/>
  <c r="K2759" i="1"/>
  <c r="J2759" i="1"/>
  <c r="D2759" i="1"/>
  <c r="B2759" i="1"/>
  <c r="R2758" i="1"/>
  <c r="L2758" i="1"/>
  <c r="K2758" i="1"/>
  <c r="J2758" i="1"/>
  <c r="D2758" i="1"/>
  <c r="B2758" i="1"/>
  <c r="R2757" i="1"/>
  <c r="L2757" i="1"/>
  <c r="K2757" i="1"/>
  <c r="J2757" i="1"/>
  <c r="D2757" i="1"/>
  <c r="B2757" i="1"/>
  <c r="R2756" i="1"/>
  <c r="L2756" i="1"/>
  <c r="K2756" i="1"/>
  <c r="J2756" i="1"/>
  <c r="D2756" i="1"/>
  <c r="B2756" i="1"/>
  <c r="R2755" i="1"/>
  <c r="L2755" i="1"/>
  <c r="K2755" i="1"/>
  <c r="J2755" i="1"/>
  <c r="D2755" i="1"/>
  <c r="B2755" i="1"/>
  <c r="R2754" i="1"/>
  <c r="L2754" i="1"/>
  <c r="K2754" i="1"/>
  <c r="J2754" i="1"/>
  <c r="D2754" i="1"/>
  <c r="B2754" i="1"/>
  <c r="R2753" i="1"/>
  <c r="L2753" i="1"/>
  <c r="K2753" i="1"/>
  <c r="J2753" i="1"/>
  <c r="D2753" i="1"/>
  <c r="B2753" i="1"/>
  <c r="R2752" i="1"/>
  <c r="D2752" i="1"/>
  <c r="B2752" i="1"/>
  <c r="R2751" i="1"/>
  <c r="D2751" i="1"/>
  <c r="B2751" i="1"/>
  <c r="R2750" i="1"/>
  <c r="L2750" i="1"/>
  <c r="K2750" i="1"/>
  <c r="J2750" i="1"/>
  <c r="D2750" i="1"/>
  <c r="B2750" i="1"/>
  <c r="R2749" i="1"/>
  <c r="L2749" i="1"/>
  <c r="K2749" i="1"/>
  <c r="J2749" i="1"/>
  <c r="D2749" i="1"/>
  <c r="B2749" i="1"/>
  <c r="R2748" i="1"/>
  <c r="D2748" i="1"/>
  <c r="B2748" i="1"/>
  <c r="R2747" i="1"/>
  <c r="D2747" i="1"/>
  <c r="B2747" i="1"/>
  <c r="R2746" i="1"/>
  <c r="L2746" i="1"/>
  <c r="K2746" i="1"/>
  <c r="J2746" i="1"/>
  <c r="D2746" i="1"/>
  <c r="B2746" i="1"/>
  <c r="R2745" i="1"/>
  <c r="L2745" i="1"/>
  <c r="K2745" i="1"/>
  <c r="J2745" i="1"/>
  <c r="D2745" i="1"/>
  <c r="B2745" i="1"/>
  <c r="R2744" i="1"/>
  <c r="L2744" i="1"/>
  <c r="K2744" i="1"/>
  <c r="J2744" i="1"/>
  <c r="D2744" i="1"/>
  <c r="B2744" i="1"/>
  <c r="R2743" i="1"/>
  <c r="L2743" i="1"/>
  <c r="K2743" i="1"/>
  <c r="J2743" i="1"/>
  <c r="D2743" i="1"/>
  <c r="B2743" i="1"/>
  <c r="R2742" i="1"/>
  <c r="L2742" i="1"/>
  <c r="K2742" i="1"/>
  <c r="J2742" i="1"/>
  <c r="D2742" i="1"/>
  <c r="B2742" i="1"/>
  <c r="R2741" i="1"/>
  <c r="L2741" i="1"/>
  <c r="K2741" i="1"/>
  <c r="J2741" i="1"/>
  <c r="D2741" i="1"/>
  <c r="B2741" i="1"/>
  <c r="R2740" i="1"/>
  <c r="L2740" i="1"/>
  <c r="K2740" i="1"/>
  <c r="J2740" i="1"/>
  <c r="D2740" i="1"/>
  <c r="B2740" i="1"/>
  <c r="R2739" i="1"/>
  <c r="L2739" i="1"/>
  <c r="K2739" i="1"/>
  <c r="J2739" i="1"/>
  <c r="D2739" i="1"/>
  <c r="B2739" i="1"/>
  <c r="R2738" i="1"/>
  <c r="L2738" i="1"/>
  <c r="K2738" i="1"/>
  <c r="J2738" i="1"/>
  <c r="D2738" i="1"/>
  <c r="B2738" i="1"/>
  <c r="R2737" i="1"/>
  <c r="L2737" i="1"/>
  <c r="K2737" i="1"/>
  <c r="J2737" i="1"/>
  <c r="D2737" i="1"/>
  <c r="B2737" i="1"/>
  <c r="R2736" i="1"/>
  <c r="L2736" i="1"/>
  <c r="K2736" i="1"/>
  <c r="J2736" i="1"/>
  <c r="D2736" i="1"/>
  <c r="B2736" i="1"/>
  <c r="R2735" i="1"/>
  <c r="L2735" i="1"/>
  <c r="K2735" i="1"/>
  <c r="J2735" i="1"/>
  <c r="D2735" i="1"/>
  <c r="B2735" i="1"/>
  <c r="R2734" i="1"/>
  <c r="L2734" i="1"/>
  <c r="K2734" i="1"/>
  <c r="J2734" i="1"/>
  <c r="D2734" i="1"/>
  <c r="B2734" i="1"/>
  <c r="R2733" i="1"/>
  <c r="L2733" i="1"/>
  <c r="K2733" i="1"/>
  <c r="J2733" i="1"/>
  <c r="D2733" i="1"/>
  <c r="B2733" i="1"/>
  <c r="R2732" i="1"/>
  <c r="L2732" i="1"/>
  <c r="K2732" i="1"/>
  <c r="J2732" i="1"/>
  <c r="D2732" i="1"/>
  <c r="B2732" i="1"/>
  <c r="R2731" i="1"/>
  <c r="L2731" i="1"/>
  <c r="K2731" i="1"/>
  <c r="J2731" i="1"/>
  <c r="D2731" i="1"/>
  <c r="B2731" i="1"/>
  <c r="R2730" i="1"/>
  <c r="L2730" i="1"/>
  <c r="K2730" i="1"/>
  <c r="J2730" i="1"/>
  <c r="D2730" i="1"/>
  <c r="B2730" i="1"/>
  <c r="R2729" i="1"/>
  <c r="L2729" i="1"/>
  <c r="K2729" i="1"/>
  <c r="J2729" i="1"/>
  <c r="D2729" i="1"/>
  <c r="B2729" i="1"/>
  <c r="S2728" i="1"/>
  <c r="R2728" i="1"/>
  <c r="L2728" i="1"/>
  <c r="K2728" i="1"/>
  <c r="J2728" i="1"/>
  <c r="D2728" i="1"/>
  <c r="B2728" i="1"/>
  <c r="D2727" i="1"/>
  <c r="B2727" i="1"/>
  <c r="L2726" i="1"/>
  <c r="K2726" i="1"/>
  <c r="J2726" i="1"/>
  <c r="D2726" i="1"/>
  <c r="B2726" i="1"/>
  <c r="L2725" i="1"/>
  <c r="K2725" i="1"/>
  <c r="J2725" i="1"/>
  <c r="D2725" i="1"/>
  <c r="B2725" i="1"/>
  <c r="L2724" i="1"/>
  <c r="K2724" i="1"/>
  <c r="J2724" i="1"/>
  <c r="D2724" i="1"/>
  <c r="B2724" i="1"/>
  <c r="L2723" i="1"/>
  <c r="K2723" i="1"/>
  <c r="J2723" i="1"/>
  <c r="D2723" i="1"/>
  <c r="B2723" i="1"/>
  <c r="L2722" i="1"/>
  <c r="K2722" i="1"/>
  <c r="J2722" i="1"/>
  <c r="D2722" i="1"/>
  <c r="B2722" i="1"/>
  <c r="L2721" i="1"/>
  <c r="K2721" i="1"/>
  <c r="J2721" i="1"/>
  <c r="D2721" i="1"/>
  <c r="B2721" i="1"/>
  <c r="L2720" i="1"/>
  <c r="K2720" i="1"/>
  <c r="J2720" i="1"/>
  <c r="D2720" i="1"/>
  <c r="B2720" i="1"/>
  <c r="L2719" i="1"/>
  <c r="K2719" i="1"/>
  <c r="J2719" i="1"/>
  <c r="D2719" i="1"/>
  <c r="B2719" i="1"/>
  <c r="L2718" i="1"/>
  <c r="K2718" i="1"/>
  <c r="J2718" i="1"/>
  <c r="D2718" i="1"/>
  <c r="B2718" i="1"/>
  <c r="L2717" i="1"/>
  <c r="K2717" i="1"/>
  <c r="J2717" i="1"/>
  <c r="D2717" i="1"/>
  <c r="B2717" i="1"/>
  <c r="L2716" i="1"/>
  <c r="K2716" i="1"/>
  <c r="J2716" i="1"/>
  <c r="D2716" i="1"/>
  <c r="B2716" i="1"/>
  <c r="L2715" i="1"/>
  <c r="K2715" i="1"/>
  <c r="J2715" i="1"/>
  <c r="D2715" i="1"/>
  <c r="B2715" i="1"/>
  <c r="L2714" i="1"/>
  <c r="K2714" i="1"/>
  <c r="J2714" i="1"/>
  <c r="D2714" i="1"/>
  <c r="B2714" i="1"/>
  <c r="L2713" i="1"/>
  <c r="K2713" i="1"/>
  <c r="J2713" i="1"/>
  <c r="D2713" i="1"/>
  <c r="B2713" i="1"/>
  <c r="L2712" i="1"/>
  <c r="K2712" i="1"/>
  <c r="J2712" i="1"/>
  <c r="D2712" i="1"/>
  <c r="B2712" i="1"/>
  <c r="L2711" i="1"/>
  <c r="K2711" i="1"/>
  <c r="J2711" i="1"/>
  <c r="D2711" i="1"/>
  <c r="B2711" i="1"/>
  <c r="L2710" i="1"/>
  <c r="K2710" i="1"/>
  <c r="J2710" i="1"/>
  <c r="D2710" i="1"/>
  <c r="B2710" i="1"/>
  <c r="L2709" i="1"/>
  <c r="K2709" i="1"/>
  <c r="J2709" i="1"/>
  <c r="D2709" i="1"/>
  <c r="B2709" i="1"/>
  <c r="L2708" i="1"/>
  <c r="K2708" i="1"/>
  <c r="J2708" i="1"/>
  <c r="D2708" i="1"/>
  <c r="B2708" i="1"/>
  <c r="L2707" i="1"/>
  <c r="K2707" i="1"/>
  <c r="J2707" i="1"/>
  <c r="D2707" i="1"/>
  <c r="B2707" i="1"/>
  <c r="L2706" i="1"/>
  <c r="K2706" i="1"/>
  <c r="J2706" i="1"/>
  <c r="D2706" i="1"/>
  <c r="B2706" i="1"/>
  <c r="L2705" i="1"/>
  <c r="K2705" i="1"/>
  <c r="J2705" i="1"/>
  <c r="D2705" i="1"/>
  <c r="B2705" i="1"/>
  <c r="L2704" i="1"/>
  <c r="K2704" i="1"/>
  <c r="J2704" i="1"/>
  <c r="D2704" i="1"/>
  <c r="B2704" i="1"/>
  <c r="L2703" i="1"/>
  <c r="K2703" i="1"/>
  <c r="J2703" i="1"/>
  <c r="D2703" i="1"/>
  <c r="B2703" i="1"/>
  <c r="L2702" i="1"/>
  <c r="K2702" i="1"/>
  <c r="J2702" i="1"/>
  <c r="D2702" i="1"/>
  <c r="B2702" i="1"/>
  <c r="L2701" i="1"/>
  <c r="K2701" i="1"/>
  <c r="J2701" i="1"/>
  <c r="D2701" i="1"/>
  <c r="B2701" i="1"/>
  <c r="L2700" i="1"/>
  <c r="K2700" i="1"/>
  <c r="J2700" i="1"/>
  <c r="D2700" i="1"/>
  <c r="B2700" i="1"/>
  <c r="L2699" i="1"/>
  <c r="K2699" i="1"/>
  <c r="J2699" i="1"/>
  <c r="D2699" i="1"/>
  <c r="B2699" i="1"/>
  <c r="L2698" i="1"/>
  <c r="K2698" i="1"/>
  <c r="J2698" i="1"/>
  <c r="D2698" i="1"/>
  <c r="B2698" i="1"/>
  <c r="L2697" i="1"/>
  <c r="K2697" i="1"/>
  <c r="J2697" i="1"/>
  <c r="D2697" i="1"/>
  <c r="B2697" i="1"/>
  <c r="L2696" i="1"/>
  <c r="K2696" i="1"/>
  <c r="J2696" i="1"/>
  <c r="D2696" i="1"/>
  <c r="B2696" i="1"/>
  <c r="L2695" i="1"/>
  <c r="K2695" i="1"/>
  <c r="J2695" i="1"/>
  <c r="D2695" i="1"/>
  <c r="B2695" i="1"/>
  <c r="L2694" i="1"/>
  <c r="K2694" i="1"/>
  <c r="J2694" i="1"/>
  <c r="D2694" i="1"/>
  <c r="B2694" i="1"/>
  <c r="L2693" i="1"/>
  <c r="K2693" i="1"/>
  <c r="J2693" i="1"/>
  <c r="D2693" i="1"/>
  <c r="B2693" i="1"/>
  <c r="L2692" i="1"/>
  <c r="K2692" i="1"/>
  <c r="J2692" i="1"/>
  <c r="D2692" i="1"/>
  <c r="B2692" i="1"/>
  <c r="L2691" i="1"/>
  <c r="K2691" i="1"/>
  <c r="J2691" i="1"/>
  <c r="D2691" i="1"/>
  <c r="B2691" i="1"/>
  <c r="L2690" i="1"/>
  <c r="K2690" i="1"/>
  <c r="J2690" i="1"/>
  <c r="D2690" i="1"/>
  <c r="B2690" i="1"/>
  <c r="L2689" i="1"/>
  <c r="K2689" i="1"/>
  <c r="J2689" i="1"/>
  <c r="D2689" i="1"/>
  <c r="B2689" i="1"/>
  <c r="L2688" i="1"/>
  <c r="K2688" i="1"/>
  <c r="J2688" i="1"/>
  <c r="D2688" i="1"/>
  <c r="B2688" i="1"/>
  <c r="L2687" i="1"/>
  <c r="K2687" i="1"/>
  <c r="J2687" i="1"/>
  <c r="D2687" i="1"/>
  <c r="B2687" i="1"/>
  <c r="L2686" i="1"/>
  <c r="K2686" i="1"/>
  <c r="J2686" i="1"/>
  <c r="D2686" i="1"/>
  <c r="B2686" i="1"/>
  <c r="L2685" i="1"/>
  <c r="K2685" i="1"/>
  <c r="J2685" i="1"/>
  <c r="D2685" i="1"/>
  <c r="B2685" i="1"/>
  <c r="L2684" i="1"/>
  <c r="K2684" i="1"/>
  <c r="J2684" i="1"/>
  <c r="D2684" i="1"/>
  <c r="B2684" i="1"/>
  <c r="L2683" i="1"/>
  <c r="K2683" i="1"/>
  <c r="J2683" i="1"/>
  <c r="D2683" i="1"/>
  <c r="B2683" i="1"/>
  <c r="L2682" i="1"/>
  <c r="K2682" i="1"/>
  <c r="J2682" i="1"/>
  <c r="D2682" i="1"/>
  <c r="B2682" i="1"/>
  <c r="L2681" i="1"/>
  <c r="K2681" i="1"/>
  <c r="J2681" i="1"/>
  <c r="D2681" i="1"/>
  <c r="B2681" i="1"/>
  <c r="L2680" i="1"/>
  <c r="K2680" i="1"/>
  <c r="J2680" i="1"/>
  <c r="D2680" i="1"/>
  <c r="B2680" i="1"/>
  <c r="L2679" i="1"/>
  <c r="K2679" i="1"/>
  <c r="J2679" i="1"/>
  <c r="D2679" i="1"/>
  <c r="B2679" i="1"/>
  <c r="L2678" i="1"/>
  <c r="K2678" i="1"/>
  <c r="J2678" i="1"/>
  <c r="D2678" i="1"/>
  <c r="B2678" i="1"/>
  <c r="L2677" i="1"/>
  <c r="K2677" i="1"/>
  <c r="J2677" i="1"/>
  <c r="D2677" i="1"/>
  <c r="B2677" i="1"/>
  <c r="L2676" i="1"/>
  <c r="K2676" i="1"/>
  <c r="J2676" i="1"/>
  <c r="D2676" i="1"/>
  <c r="B2676" i="1"/>
  <c r="L2675" i="1"/>
  <c r="K2675" i="1"/>
  <c r="J2675" i="1"/>
  <c r="D2675" i="1"/>
  <c r="B2675" i="1"/>
  <c r="L2674" i="1"/>
  <c r="K2674" i="1"/>
  <c r="J2674" i="1"/>
  <c r="D2674" i="1"/>
  <c r="B2674" i="1"/>
  <c r="L2673" i="1"/>
  <c r="K2673" i="1"/>
  <c r="J2673" i="1"/>
  <c r="D2673" i="1"/>
  <c r="B2673" i="1"/>
  <c r="L2672" i="1"/>
  <c r="K2672" i="1"/>
  <c r="J2672" i="1"/>
  <c r="D2672" i="1"/>
  <c r="B2672" i="1"/>
  <c r="L2671" i="1"/>
  <c r="K2671" i="1"/>
  <c r="J2671" i="1"/>
  <c r="D2671" i="1"/>
  <c r="B2671" i="1"/>
  <c r="L2670" i="1"/>
  <c r="K2670" i="1"/>
  <c r="J2670" i="1"/>
  <c r="D2670" i="1"/>
  <c r="B2670" i="1"/>
  <c r="L2669" i="1"/>
  <c r="K2669" i="1"/>
  <c r="J2669" i="1"/>
  <c r="D2669" i="1"/>
  <c r="B2669" i="1"/>
  <c r="L2668" i="1"/>
  <c r="K2668" i="1"/>
  <c r="J2668" i="1"/>
  <c r="D2668" i="1"/>
  <c r="B2668" i="1"/>
  <c r="L2667" i="1"/>
  <c r="K2667" i="1"/>
  <c r="J2667" i="1"/>
  <c r="D2667" i="1"/>
  <c r="B2667" i="1"/>
  <c r="L2666" i="1"/>
  <c r="K2666" i="1"/>
  <c r="J2666" i="1"/>
  <c r="D2666" i="1"/>
  <c r="B2666" i="1"/>
  <c r="L2665" i="1"/>
  <c r="K2665" i="1"/>
  <c r="J2665" i="1"/>
  <c r="D2665" i="1"/>
  <c r="B2665" i="1"/>
  <c r="L2664" i="1"/>
  <c r="K2664" i="1"/>
  <c r="J2664" i="1"/>
  <c r="D2664" i="1"/>
  <c r="B2664" i="1"/>
  <c r="L2663" i="1"/>
  <c r="K2663" i="1"/>
  <c r="J2663" i="1"/>
  <c r="D2663" i="1"/>
  <c r="B2663" i="1"/>
  <c r="L2662" i="1"/>
  <c r="K2662" i="1"/>
  <c r="J2662" i="1"/>
  <c r="D2662" i="1"/>
  <c r="B2662" i="1"/>
  <c r="L2661" i="1"/>
  <c r="K2661" i="1"/>
  <c r="J2661" i="1"/>
  <c r="D2661" i="1"/>
  <c r="B2661" i="1"/>
  <c r="L2660" i="1"/>
  <c r="K2660" i="1"/>
  <c r="J2660" i="1"/>
  <c r="D2660" i="1"/>
  <c r="B2660" i="1"/>
  <c r="L2659" i="1"/>
  <c r="K2659" i="1"/>
  <c r="J2659" i="1"/>
  <c r="D2659" i="1"/>
  <c r="B2659" i="1"/>
  <c r="L2658" i="1"/>
  <c r="K2658" i="1"/>
  <c r="J2658" i="1"/>
  <c r="D2658" i="1"/>
  <c r="B2658" i="1"/>
  <c r="L2657" i="1"/>
  <c r="K2657" i="1"/>
  <c r="J2657" i="1"/>
  <c r="D2657" i="1"/>
  <c r="B2657" i="1"/>
  <c r="L2656" i="1"/>
  <c r="K2656" i="1"/>
  <c r="J2656" i="1"/>
  <c r="D2656" i="1"/>
  <c r="B2656" i="1"/>
  <c r="L2655" i="1"/>
  <c r="K2655" i="1"/>
  <c r="J2655" i="1"/>
  <c r="D2655" i="1"/>
  <c r="B2655" i="1"/>
  <c r="L2654" i="1"/>
  <c r="K2654" i="1"/>
  <c r="J2654" i="1"/>
  <c r="D2654" i="1"/>
  <c r="B2654" i="1"/>
  <c r="L2653" i="1"/>
  <c r="K2653" i="1"/>
  <c r="J2653" i="1"/>
  <c r="D2653" i="1"/>
  <c r="B2653" i="1"/>
  <c r="L2652" i="1"/>
  <c r="K2652" i="1"/>
  <c r="J2652" i="1"/>
  <c r="D2652" i="1"/>
  <c r="B2652" i="1"/>
  <c r="L2651" i="1"/>
  <c r="K2651" i="1"/>
  <c r="J2651" i="1"/>
  <c r="D2651" i="1"/>
  <c r="B2651" i="1"/>
  <c r="L2650" i="1"/>
  <c r="K2650" i="1"/>
  <c r="J2650" i="1"/>
  <c r="D2650" i="1"/>
  <c r="B2650" i="1"/>
  <c r="L2649" i="1"/>
  <c r="K2649" i="1"/>
  <c r="J2649" i="1"/>
  <c r="D2649" i="1"/>
  <c r="B2649" i="1"/>
  <c r="L2648" i="1"/>
  <c r="K2648" i="1"/>
  <c r="J2648" i="1"/>
  <c r="D2648" i="1"/>
  <c r="B2648" i="1"/>
  <c r="L2647" i="1"/>
  <c r="K2647" i="1"/>
  <c r="J2647" i="1"/>
  <c r="D2647" i="1"/>
  <c r="B2647" i="1"/>
  <c r="L2646" i="1"/>
  <c r="K2646" i="1"/>
  <c r="J2646" i="1"/>
  <c r="D2646" i="1"/>
  <c r="B2646" i="1"/>
  <c r="L2645" i="1"/>
  <c r="K2645" i="1"/>
  <c r="J2645" i="1"/>
  <c r="D2645" i="1"/>
  <c r="B2645" i="1"/>
  <c r="L2644" i="1"/>
  <c r="K2644" i="1"/>
  <c r="J2644" i="1"/>
  <c r="D2644" i="1"/>
  <c r="B2644" i="1"/>
  <c r="L2643" i="1"/>
  <c r="K2643" i="1"/>
  <c r="J2643" i="1"/>
  <c r="D2643" i="1"/>
  <c r="B2643" i="1"/>
  <c r="L2642" i="1"/>
  <c r="K2642" i="1"/>
  <c r="J2642" i="1"/>
  <c r="D2642" i="1"/>
  <c r="B2642" i="1"/>
  <c r="L2641" i="1"/>
  <c r="K2641" i="1"/>
  <c r="J2641" i="1"/>
  <c r="D2641" i="1"/>
  <c r="B2641" i="1"/>
  <c r="L2640" i="1"/>
  <c r="K2640" i="1"/>
  <c r="J2640" i="1"/>
  <c r="D2640" i="1"/>
  <c r="B2640" i="1"/>
  <c r="L2639" i="1"/>
  <c r="K2639" i="1"/>
  <c r="J2639" i="1"/>
  <c r="D2639" i="1"/>
  <c r="B2639" i="1"/>
  <c r="L2638" i="1"/>
  <c r="K2638" i="1"/>
  <c r="J2638" i="1"/>
  <c r="D2638" i="1"/>
  <c r="B2638" i="1"/>
  <c r="L2637" i="1"/>
  <c r="K2637" i="1"/>
  <c r="J2637" i="1"/>
  <c r="D2637" i="1"/>
  <c r="B2637" i="1"/>
  <c r="L2636" i="1"/>
  <c r="K2636" i="1"/>
  <c r="J2636" i="1"/>
  <c r="D2636" i="1"/>
  <c r="B2636" i="1"/>
  <c r="L2635" i="1"/>
  <c r="K2635" i="1"/>
  <c r="J2635" i="1"/>
  <c r="D2635" i="1"/>
  <c r="B2635" i="1"/>
  <c r="L2634" i="1"/>
  <c r="K2634" i="1"/>
  <c r="J2634" i="1"/>
  <c r="D2634" i="1"/>
  <c r="B2634" i="1"/>
  <c r="L2633" i="1"/>
  <c r="K2633" i="1"/>
  <c r="J2633" i="1"/>
  <c r="D2633" i="1"/>
  <c r="B2633" i="1"/>
  <c r="L2632" i="1"/>
  <c r="K2632" i="1"/>
  <c r="J2632" i="1"/>
  <c r="D2632" i="1"/>
  <c r="B2632" i="1"/>
  <c r="L2631" i="1"/>
  <c r="K2631" i="1"/>
  <c r="J2631" i="1"/>
  <c r="D2631" i="1"/>
  <c r="B2631" i="1"/>
  <c r="L2630" i="1"/>
  <c r="K2630" i="1"/>
  <c r="J2630" i="1"/>
  <c r="D2630" i="1"/>
  <c r="B2630" i="1"/>
  <c r="L2629" i="1"/>
  <c r="K2629" i="1"/>
  <c r="J2629" i="1"/>
  <c r="D2629" i="1"/>
  <c r="B2629" i="1"/>
  <c r="L2628" i="1"/>
  <c r="K2628" i="1"/>
  <c r="J2628" i="1"/>
  <c r="D2628" i="1"/>
  <c r="B2628" i="1"/>
  <c r="L2627" i="1"/>
  <c r="K2627" i="1"/>
  <c r="J2627" i="1"/>
  <c r="D2627" i="1"/>
  <c r="B2627" i="1"/>
  <c r="L2626" i="1"/>
  <c r="K2626" i="1"/>
  <c r="J2626" i="1"/>
  <c r="D2626" i="1"/>
  <c r="B2626" i="1"/>
  <c r="L2625" i="1"/>
  <c r="K2625" i="1"/>
  <c r="J2625" i="1"/>
  <c r="D2625" i="1"/>
  <c r="B2625" i="1"/>
  <c r="L2624" i="1"/>
  <c r="K2624" i="1"/>
  <c r="J2624" i="1"/>
  <c r="D2624" i="1"/>
  <c r="B2624" i="1"/>
  <c r="L2623" i="1"/>
  <c r="K2623" i="1"/>
  <c r="J2623" i="1"/>
  <c r="D2623" i="1"/>
  <c r="B2623" i="1"/>
  <c r="L2622" i="1"/>
  <c r="K2622" i="1"/>
  <c r="J2622" i="1"/>
  <c r="D2622" i="1"/>
  <c r="B2622" i="1"/>
  <c r="L2621" i="1"/>
  <c r="K2621" i="1"/>
  <c r="J2621" i="1"/>
  <c r="D2621" i="1"/>
  <c r="B2621" i="1"/>
  <c r="L2620" i="1"/>
  <c r="K2620" i="1"/>
  <c r="J2620" i="1"/>
  <c r="D2620" i="1"/>
  <c r="B2620" i="1"/>
  <c r="L2619" i="1"/>
  <c r="K2619" i="1"/>
  <c r="J2619" i="1"/>
  <c r="D2619" i="1"/>
  <c r="B2619" i="1"/>
  <c r="L2618" i="1"/>
  <c r="K2618" i="1"/>
  <c r="J2618" i="1"/>
  <c r="D2618" i="1"/>
  <c r="B2618" i="1"/>
  <c r="L2617" i="1"/>
  <c r="K2617" i="1"/>
  <c r="J2617" i="1"/>
  <c r="D2617" i="1"/>
  <c r="B2617" i="1"/>
  <c r="L2616" i="1"/>
  <c r="K2616" i="1"/>
  <c r="J2616" i="1"/>
  <c r="D2616" i="1"/>
  <c r="B2616" i="1"/>
  <c r="L2615" i="1"/>
  <c r="K2615" i="1"/>
  <c r="J2615" i="1"/>
  <c r="D2615" i="1"/>
  <c r="B2615" i="1"/>
  <c r="L2614" i="1"/>
  <c r="K2614" i="1"/>
  <c r="J2614" i="1"/>
  <c r="D2614" i="1"/>
  <c r="B2614" i="1"/>
  <c r="L2613" i="1"/>
  <c r="K2613" i="1"/>
  <c r="J2613" i="1"/>
  <c r="D2613" i="1"/>
  <c r="B2613" i="1"/>
  <c r="L2612" i="1"/>
  <c r="K2612" i="1"/>
  <c r="J2612" i="1"/>
  <c r="D2612" i="1"/>
  <c r="B2612" i="1"/>
  <c r="L2611" i="1"/>
  <c r="K2611" i="1"/>
  <c r="J2611" i="1"/>
  <c r="D2611" i="1"/>
  <c r="B2611" i="1"/>
  <c r="L2610" i="1"/>
  <c r="K2610" i="1"/>
  <c r="J2610" i="1"/>
  <c r="D2610" i="1"/>
  <c r="B2610" i="1"/>
  <c r="L2609" i="1"/>
  <c r="K2609" i="1"/>
  <c r="J2609" i="1"/>
  <c r="D2609" i="1"/>
  <c r="B2609" i="1"/>
  <c r="L2608" i="1"/>
  <c r="K2608" i="1"/>
  <c r="J2608" i="1"/>
  <c r="D2608" i="1"/>
  <c r="B2608" i="1"/>
  <c r="L2607" i="1"/>
  <c r="K2607" i="1"/>
  <c r="J2607" i="1"/>
  <c r="D2607" i="1"/>
  <c r="B2607" i="1"/>
  <c r="L2606" i="1"/>
  <c r="K2606" i="1"/>
  <c r="J2606" i="1"/>
  <c r="D2606" i="1"/>
  <c r="B2606" i="1"/>
  <c r="L2605" i="1"/>
  <c r="K2605" i="1"/>
  <c r="J2605" i="1"/>
  <c r="D2605" i="1"/>
  <c r="B2605" i="1"/>
  <c r="L2604" i="1"/>
  <c r="K2604" i="1"/>
  <c r="J2604" i="1"/>
  <c r="D2604" i="1"/>
  <c r="B2604" i="1"/>
  <c r="L2603" i="1"/>
  <c r="K2603" i="1"/>
  <c r="J2603" i="1"/>
  <c r="D2603" i="1"/>
  <c r="B2603" i="1"/>
  <c r="L2602" i="1"/>
  <c r="K2602" i="1"/>
  <c r="J2602" i="1"/>
  <c r="D2602" i="1"/>
  <c r="B2602" i="1"/>
  <c r="L2601" i="1"/>
  <c r="K2601" i="1"/>
  <c r="J2601" i="1"/>
  <c r="D2601" i="1"/>
  <c r="B2601" i="1"/>
  <c r="L2600" i="1"/>
  <c r="K2600" i="1"/>
  <c r="J2600" i="1"/>
  <c r="D2600" i="1"/>
  <c r="B2600" i="1"/>
  <c r="L2599" i="1"/>
  <c r="K2599" i="1"/>
  <c r="J2599" i="1"/>
  <c r="D2599" i="1"/>
  <c r="B2599" i="1"/>
  <c r="L2598" i="1"/>
  <c r="K2598" i="1"/>
  <c r="J2598" i="1"/>
  <c r="D2598" i="1"/>
  <c r="B2598" i="1"/>
  <c r="L2597" i="1"/>
  <c r="K2597" i="1"/>
  <c r="J2597" i="1"/>
  <c r="D2597" i="1"/>
  <c r="B2597" i="1"/>
  <c r="L2596" i="1"/>
  <c r="K2596" i="1"/>
  <c r="J2596" i="1"/>
  <c r="D2596" i="1"/>
  <c r="B2596" i="1"/>
  <c r="L2595" i="1"/>
  <c r="K2595" i="1"/>
  <c r="J2595" i="1"/>
  <c r="D2595" i="1"/>
  <c r="B2595" i="1"/>
  <c r="L2594" i="1"/>
  <c r="K2594" i="1"/>
  <c r="J2594" i="1"/>
  <c r="D2594" i="1"/>
  <c r="B2594" i="1"/>
  <c r="L2593" i="1"/>
  <c r="K2593" i="1"/>
  <c r="J2593" i="1"/>
  <c r="D2593" i="1"/>
  <c r="B2593" i="1"/>
  <c r="L2592" i="1"/>
  <c r="K2592" i="1"/>
  <c r="J2592" i="1"/>
  <c r="D2592" i="1"/>
  <c r="B2592" i="1"/>
  <c r="L2591" i="1"/>
  <c r="K2591" i="1"/>
  <c r="J2591" i="1"/>
  <c r="D2591" i="1"/>
  <c r="B2591" i="1"/>
  <c r="L2590" i="1"/>
  <c r="K2590" i="1"/>
  <c r="J2590" i="1"/>
  <c r="D2590" i="1"/>
  <c r="B2590" i="1"/>
  <c r="L2589" i="1"/>
  <c r="K2589" i="1"/>
  <c r="J2589" i="1"/>
  <c r="D2589" i="1"/>
  <c r="B2589" i="1"/>
  <c r="L2588" i="1"/>
  <c r="K2588" i="1"/>
  <c r="J2588" i="1"/>
  <c r="D2588" i="1"/>
  <c r="B2588" i="1"/>
  <c r="L2587" i="1"/>
  <c r="K2587" i="1"/>
  <c r="J2587" i="1"/>
  <c r="D2587" i="1"/>
  <c r="B2587" i="1"/>
  <c r="L2586" i="1"/>
  <c r="K2586" i="1"/>
  <c r="J2586" i="1"/>
  <c r="D2586" i="1"/>
  <c r="B2586" i="1"/>
  <c r="L2585" i="1"/>
  <c r="K2585" i="1"/>
  <c r="J2585" i="1"/>
  <c r="D2585" i="1"/>
  <c r="B2585" i="1"/>
  <c r="L2584" i="1"/>
  <c r="K2584" i="1"/>
  <c r="J2584" i="1"/>
  <c r="D2584" i="1"/>
  <c r="B2584" i="1"/>
  <c r="L2583" i="1"/>
  <c r="K2583" i="1"/>
  <c r="J2583" i="1"/>
  <c r="D2583" i="1"/>
  <c r="B2583" i="1"/>
  <c r="L2582" i="1"/>
  <c r="K2582" i="1"/>
  <c r="J2582" i="1"/>
  <c r="D2582" i="1"/>
  <c r="B2582" i="1"/>
  <c r="L2581" i="1"/>
  <c r="K2581" i="1"/>
  <c r="J2581" i="1"/>
  <c r="D2581" i="1"/>
  <c r="B2581" i="1"/>
  <c r="L2580" i="1"/>
  <c r="K2580" i="1"/>
  <c r="J2580" i="1"/>
  <c r="D2580" i="1"/>
  <c r="B2580" i="1"/>
  <c r="L2579" i="1"/>
  <c r="K2579" i="1"/>
  <c r="J2579" i="1"/>
  <c r="D2579" i="1"/>
  <c r="B2579" i="1"/>
  <c r="L2578" i="1"/>
  <c r="K2578" i="1"/>
  <c r="J2578" i="1"/>
  <c r="D2578" i="1"/>
  <c r="B2578" i="1"/>
  <c r="L2577" i="1"/>
  <c r="K2577" i="1"/>
  <c r="J2577" i="1"/>
  <c r="D2577" i="1"/>
  <c r="B2577" i="1"/>
  <c r="L2576" i="1"/>
  <c r="K2576" i="1"/>
  <c r="J2576" i="1"/>
  <c r="D2576" i="1"/>
  <c r="B2576" i="1"/>
  <c r="L2575" i="1"/>
  <c r="K2575" i="1"/>
  <c r="J2575" i="1"/>
  <c r="D2575" i="1"/>
  <c r="B2575" i="1"/>
  <c r="L2574" i="1"/>
  <c r="K2574" i="1"/>
  <c r="J2574" i="1"/>
  <c r="D2574" i="1"/>
  <c r="B2574" i="1"/>
  <c r="L2573" i="1"/>
  <c r="K2573" i="1"/>
  <c r="J2573" i="1"/>
  <c r="D2573" i="1"/>
  <c r="B2573" i="1"/>
  <c r="L2572" i="1"/>
  <c r="K2572" i="1"/>
  <c r="J2572" i="1"/>
  <c r="D2572" i="1"/>
  <c r="B2572" i="1"/>
  <c r="L2571" i="1"/>
  <c r="K2571" i="1"/>
  <c r="J2571" i="1"/>
  <c r="D2571" i="1"/>
  <c r="B2571" i="1"/>
  <c r="L2570" i="1"/>
  <c r="K2570" i="1"/>
  <c r="J2570" i="1"/>
  <c r="D2570" i="1"/>
  <c r="B2570" i="1"/>
  <c r="L2569" i="1"/>
  <c r="K2569" i="1"/>
  <c r="J2569" i="1"/>
  <c r="D2569" i="1"/>
  <c r="B2569" i="1"/>
  <c r="L2568" i="1"/>
  <c r="K2568" i="1"/>
  <c r="J2568" i="1"/>
  <c r="D2568" i="1"/>
  <c r="B2568" i="1"/>
  <c r="L2567" i="1"/>
  <c r="K2567" i="1"/>
  <c r="J2567" i="1"/>
  <c r="D2567" i="1"/>
  <c r="B2567" i="1"/>
  <c r="L2566" i="1"/>
  <c r="K2566" i="1"/>
  <c r="J2566" i="1"/>
  <c r="D2566" i="1"/>
  <c r="B2566" i="1"/>
  <c r="L2565" i="1"/>
  <c r="K2565" i="1"/>
  <c r="J2565" i="1"/>
  <c r="D2565" i="1"/>
  <c r="B2565" i="1"/>
  <c r="L2564" i="1"/>
  <c r="K2564" i="1"/>
  <c r="J2564" i="1"/>
  <c r="D2564" i="1"/>
  <c r="B2564" i="1"/>
  <c r="L2563" i="1"/>
  <c r="K2563" i="1"/>
  <c r="J2563" i="1"/>
  <c r="D2563" i="1"/>
  <c r="B2563" i="1"/>
  <c r="L2562" i="1"/>
  <c r="K2562" i="1"/>
  <c r="J2562" i="1"/>
  <c r="D2562" i="1"/>
  <c r="B2562" i="1"/>
  <c r="L2561" i="1"/>
  <c r="K2561" i="1"/>
  <c r="J2561" i="1"/>
  <c r="D2561" i="1"/>
  <c r="B2561" i="1"/>
  <c r="L2560" i="1"/>
  <c r="K2560" i="1"/>
  <c r="J2560" i="1"/>
  <c r="D2560" i="1"/>
  <c r="B2560" i="1"/>
  <c r="L2559" i="1"/>
  <c r="K2559" i="1"/>
  <c r="J2559" i="1"/>
  <c r="D2559" i="1"/>
  <c r="B2559" i="1"/>
  <c r="L2558" i="1"/>
  <c r="K2558" i="1"/>
  <c r="J2558" i="1"/>
  <c r="D2558" i="1"/>
  <c r="B2558" i="1"/>
  <c r="L2557" i="1"/>
  <c r="K2557" i="1"/>
  <c r="J2557" i="1"/>
  <c r="D2557" i="1"/>
  <c r="B2557" i="1"/>
  <c r="L2556" i="1"/>
  <c r="K2556" i="1"/>
  <c r="J2556" i="1"/>
  <c r="D2556" i="1"/>
  <c r="B2556" i="1"/>
  <c r="L2555" i="1"/>
  <c r="K2555" i="1"/>
  <c r="J2555" i="1"/>
  <c r="D2555" i="1"/>
  <c r="B2555" i="1"/>
  <c r="L2554" i="1"/>
  <c r="K2554" i="1"/>
  <c r="J2554" i="1"/>
  <c r="D2554" i="1"/>
  <c r="B2554" i="1"/>
  <c r="L2553" i="1"/>
  <c r="K2553" i="1"/>
  <c r="J2553" i="1"/>
  <c r="D2553" i="1"/>
  <c r="B2553" i="1"/>
  <c r="L2552" i="1"/>
  <c r="K2552" i="1"/>
  <c r="J2552" i="1"/>
  <c r="D2552" i="1"/>
  <c r="B2552" i="1"/>
  <c r="L2551" i="1"/>
  <c r="K2551" i="1"/>
  <c r="J2551" i="1"/>
  <c r="D2551" i="1"/>
  <c r="B2551" i="1"/>
  <c r="L2550" i="1"/>
  <c r="K2550" i="1"/>
  <c r="J2550" i="1"/>
  <c r="D2550" i="1"/>
  <c r="B2550" i="1"/>
  <c r="L2549" i="1"/>
  <c r="K2549" i="1"/>
  <c r="J2549" i="1"/>
  <c r="D2549" i="1"/>
  <c r="B2549" i="1"/>
  <c r="L2548" i="1"/>
  <c r="K2548" i="1"/>
  <c r="J2548" i="1"/>
  <c r="D2548" i="1"/>
  <c r="B2548" i="1"/>
  <c r="L2547" i="1"/>
  <c r="K2547" i="1"/>
  <c r="J2547" i="1"/>
  <c r="D2547" i="1"/>
  <c r="B2547" i="1"/>
  <c r="L2546" i="1"/>
  <c r="K2546" i="1"/>
  <c r="J2546" i="1"/>
  <c r="D2546" i="1"/>
  <c r="B2546" i="1"/>
  <c r="L2545" i="1"/>
  <c r="K2545" i="1"/>
  <c r="J2545" i="1"/>
  <c r="D2545" i="1"/>
  <c r="B2545" i="1"/>
  <c r="L2544" i="1"/>
  <c r="K2544" i="1"/>
  <c r="J2544" i="1"/>
  <c r="D2544" i="1"/>
  <c r="B2544" i="1"/>
  <c r="L2543" i="1"/>
  <c r="K2543" i="1"/>
  <c r="J2543" i="1"/>
  <c r="D2543" i="1"/>
  <c r="B2543" i="1"/>
  <c r="L2542" i="1"/>
  <c r="K2542" i="1"/>
  <c r="J2542" i="1"/>
  <c r="D2542" i="1"/>
  <c r="B2542" i="1"/>
  <c r="L2541" i="1"/>
  <c r="K2541" i="1"/>
  <c r="J2541" i="1"/>
  <c r="D2541" i="1"/>
  <c r="B2541" i="1"/>
  <c r="L2540" i="1"/>
  <c r="K2540" i="1"/>
  <c r="J2540" i="1"/>
  <c r="D2540" i="1"/>
  <c r="B2540" i="1"/>
  <c r="L2539" i="1"/>
  <c r="K2539" i="1"/>
  <c r="J2539" i="1"/>
  <c r="D2539" i="1"/>
  <c r="B2539" i="1"/>
  <c r="L2538" i="1"/>
  <c r="K2538" i="1"/>
  <c r="J2538" i="1"/>
  <c r="D2538" i="1"/>
  <c r="B2538" i="1"/>
  <c r="L2537" i="1"/>
  <c r="K2537" i="1"/>
  <c r="J2537" i="1"/>
  <c r="D2537" i="1"/>
  <c r="B2537" i="1"/>
  <c r="L2536" i="1"/>
  <c r="K2536" i="1"/>
  <c r="J2536" i="1"/>
  <c r="D2536" i="1"/>
  <c r="B2536" i="1"/>
  <c r="L2535" i="1"/>
  <c r="K2535" i="1"/>
  <c r="J2535" i="1"/>
  <c r="D2535" i="1"/>
  <c r="B2535" i="1"/>
  <c r="L2534" i="1"/>
  <c r="K2534" i="1"/>
  <c r="J2534" i="1"/>
  <c r="D2534" i="1"/>
  <c r="B2534" i="1"/>
  <c r="L2533" i="1"/>
  <c r="K2533" i="1"/>
  <c r="J2533" i="1"/>
  <c r="D2533" i="1"/>
  <c r="B2533" i="1"/>
  <c r="L2532" i="1"/>
  <c r="K2532" i="1"/>
  <c r="J2532" i="1"/>
  <c r="D2532" i="1"/>
  <c r="B2532" i="1"/>
  <c r="L2531" i="1"/>
  <c r="K2531" i="1"/>
  <c r="J2531" i="1"/>
  <c r="D2531" i="1"/>
  <c r="B2531" i="1"/>
  <c r="L2530" i="1"/>
  <c r="K2530" i="1"/>
  <c r="J2530" i="1"/>
  <c r="D2530" i="1"/>
  <c r="B2530" i="1"/>
  <c r="L2529" i="1"/>
  <c r="K2529" i="1"/>
  <c r="J2529" i="1"/>
  <c r="D2529" i="1"/>
  <c r="B2529" i="1"/>
  <c r="L2528" i="1"/>
  <c r="K2528" i="1"/>
  <c r="J2528" i="1"/>
  <c r="D2528" i="1"/>
  <c r="B2528" i="1"/>
  <c r="L2527" i="1"/>
  <c r="K2527" i="1"/>
  <c r="J2527" i="1"/>
  <c r="D2527" i="1"/>
  <c r="B2527" i="1"/>
  <c r="L2526" i="1"/>
  <c r="K2526" i="1"/>
  <c r="J2526" i="1"/>
  <c r="D2526" i="1"/>
  <c r="B2526" i="1"/>
  <c r="L2525" i="1"/>
  <c r="K2525" i="1"/>
  <c r="J2525" i="1"/>
  <c r="D2525" i="1"/>
  <c r="B2525" i="1"/>
  <c r="L2524" i="1"/>
  <c r="K2524" i="1"/>
  <c r="J2524" i="1"/>
  <c r="D2524" i="1"/>
  <c r="B2524" i="1"/>
  <c r="L2523" i="1"/>
  <c r="K2523" i="1"/>
  <c r="J2523" i="1"/>
  <c r="D2523" i="1"/>
  <c r="B2523" i="1"/>
  <c r="L2522" i="1"/>
  <c r="K2522" i="1"/>
  <c r="J2522" i="1"/>
  <c r="D2522" i="1"/>
  <c r="B2522" i="1"/>
  <c r="L2521" i="1"/>
  <c r="K2521" i="1"/>
  <c r="J2521" i="1"/>
  <c r="D2521" i="1"/>
  <c r="B2521" i="1"/>
  <c r="L2520" i="1"/>
  <c r="K2520" i="1"/>
  <c r="J2520" i="1"/>
  <c r="D2520" i="1"/>
  <c r="B2520" i="1"/>
  <c r="L2519" i="1"/>
  <c r="K2519" i="1"/>
  <c r="J2519" i="1"/>
  <c r="D2519" i="1"/>
  <c r="B2519" i="1"/>
  <c r="L2518" i="1"/>
  <c r="K2518" i="1"/>
  <c r="J2518" i="1"/>
  <c r="D2518" i="1"/>
  <c r="B2518" i="1"/>
  <c r="L2517" i="1"/>
  <c r="K2517" i="1"/>
  <c r="J2517" i="1"/>
  <c r="D2517" i="1"/>
  <c r="B2517" i="1"/>
  <c r="L2516" i="1"/>
  <c r="K2516" i="1"/>
  <c r="J2516" i="1"/>
  <c r="D2516" i="1"/>
  <c r="B2516" i="1"/>
  <c r="L2515" i="1"/>
  <c r="K2515" i="1"/>
  <c r="J2515" i="1"/>
  <c r="D2515" i="1"/>
  <c r="B2515" i="1"/>
  <c r="L2514" i="1"/>
  <c r="K2514" i="1"/>
  <c r="J2514" i="1"/>
  <c r="D2514" i="1"/>
  <c r="B2514" i="1"/>
  <c r="L2513" i="1"/>
  <c r="K2513" i="1"/>
  <c r="J2513" i="1"/>
  <c r="D2513" i="1"/>
  <c r="B2513" i="1"/>
  <c r="L2512" i="1"/>
  <c r="K2512" i="1"/>
  <c r="J2512" i="1"/>
  <c r="D2512" i="1"/>
  <c r="B2512" i="1"/>
  <c r="L2511" i="1"/>
  <c r="K2511" i="1"/>
  <c r="J2511" i="1"/>
  <c r="D2511" i="1"/>
  <c r="B2511" i="1"/>
  <c r="L2510" i="1"/>
  <c r="K2510" i="1"/>
  <c r="J2510" i="1"/>
  <c r="D2510" i="1"/>
  <c r="B2510" i="1"/>
  <c r="L2509" i="1"/>
  <c r="K2509" i="1"/>
  <c r="J2509" i="1"/>
  <c r="D2509" i="1"/>
  <c r="B2509" i="1"/>
  <c r="L2508" i="1"/>
  <c r="K2508" i="1"/>
  <c r="J2508" i="1"/>
  <c r="D2508" i="1"/>
  <c r="B2508" i="1"/>
  <c r="L2507" i="1"/>
  <c r="K2507" i="1"/>
  <c r="J2507" i="1"/>
  <c r="D2507" i="1"/>
  <c r="B2507" i="1"/>
  <c r="L2506" i="1"/>
  <c r="K2506" i="1"/>
  <c r="J2506" i="1"/>
  <c r="D2506" i="1"/>
  <c r="B2506" i="1"/>
  <c r="L2505" i="1"/>
  <c r="K2505" i="1"/>
  <c r="J2505" i="1"/>
  <c r="D2505" i="1"/>
  <c r="B2505" i="1"/>
  <c r="L2504" i="1"/>
  <c r="K2504" i="1"/>
  <c r="J2504" i="1"/>
  <c r="D2504" i="1"/>
  <c r="B2504" i="1"/>
  <c r="L2503" i="1"/>
  <c r="K2503" i="1"/>
  <c r="J2503" i="1"/>
  <c r="D2503" i="1"/>
  <c r="B2503" i="1"/>
  <c r="L2502" i="1"/>
  <c r="K2502" i="1"/>
  <c r="J2502" i="1"/>
  <c r="D2502" i="1"/>
  <c r="B2502" i="1"/>
  <c r="L2501" i="1"/>
  <c r="K2501" i="1"/>
  <c r="J2501" i="1"/>
  <c r="D2501" i="1"/>
  <c r="B2501" i="1"/>
  <c r="L2500" i="1"/>
  <c r="K2500" i="1"/>
  <c r="J2500" i="1"/>
  <c r="D2500" i="1"/>
  <c r="B2500" i="1"/>
  <c r="L2499" i="1"/>
  <c r="K2499" i="1"/>
  <c r="J2499" i="1"/>
  <c r="D2499" i="1"/>
  <c r="B2499" i="1"/>
  <c r="L2498" i="1"/>
  <c r="K2498" i="1"/>
  <c r="J2498" i="1"/>
  <c r="D2498" i="1"/>
  <c r="B2498" i="1"/>
  <c r="L2497" i="1"/>
  <c r="K2497" i="1"/>
  <c r="J2497" i="1"/>
  <c r="D2497" i="1"/>
  <c r="B2497" i="1"/>
  <c r="L2496" i="1"/>
  <c r="K2496" i="1"/>
  <c r="J2496" i="1"/>
  <c r="D2496" i="1"/>
  <c r="B2496" i="1"/>
  <c r="L2495" i="1"/>
  <c r="K2495" i="1"/>
  <c r="J2495" i="1"/>
  <c r="D2495" i="1"/>
  <c r="B2495" i="1"/>
  <c r="L2494" i="1"/>
  <c r="K2494" i="1"/>
  <c r="J2494" i="1"/>
  <c r="D2494" i="1"/>
  <c r="B2494" i="1"/>
  <c r="L2493" i="1"/>
  <c r="K2493" i="1"/>
  <c r="J2493" i="1"/>
  <c r="D2493" i="1"/>
  <c r="B2493" i="1"/>
  <c r="L2492" i="1"/>
  <c r="K2492" i="1"/>
  <c r="J2492" i="1"/>
  <c r="D2492" i="1"/>
  <c r="B2492" i="1"/>
  <c r="L2491" i="1"/>
  <c r="K2491" i="1"/>
  <c r="J2491" i="1"/>
  <c r="D2491" i="1"/>
  <c r="B2491" i="1"/>
  <c r="L2490" i="1"/>
  <c r="K2490" i="1"/>
  <c r="J2490" i="1"/>
  <c r="D2490" i="1"/>
  <c r="B2490" i="1"/>
  <c r="L2489" i="1"/>
  <c r="K2489" i="1"/>
  <c r="J2489" i="1"/>
  <c r="D2489" i="1"/>
  <c r="B2489" i="1"/>
  <c r="L2488" i="1"/>
  <c r="K2488" i="1"/>
  <c r="J2488" i="1"/>
  <c r="D2488" i="1"/>
  <c r="B2488" i="1"/>
  <c r="L2487" i="1"/>
  <c r="K2487" i="1"/>
  <c r="J2487" i="1"/>
  <c r="D2487" i="1"/>
  <c r="B2487" i="1"/>
  <c r="L2486" i="1"/>
  <c r="K2486" i="1"/>
  <c r="J2486" i="1"/>
  <c r="D2486" i="1"/>
  <c r="B2486" i="1"/>
  <c r="L2485" i="1"/>
  <c r="K2485" i="1"/>
  <c r="J2485" i="1"/>
  <c r="D2485" i="1"/>
  <c r="B2485" i="1"/>
  <c r="L2484" i="1"/>
  <c r="K2484" i="1"/>
  <c r="J2484" i="1"/>
  <c r="D2484" i="1"/>
  <c r="B2484" i="1"/>
  <c r="L2483" i="1"/>
  <c r="K2483" i="1"/>
  <c r="J2483" i="1"/>
  <c r="D2483" i="1"/>
  <c r="B2483" i="1"/>
  <c r="L2482" i="1"/>
  <c r="K2482" i="1"/>
  <c r="J2482" i="1"/>
  <c r="D2482" i="1"/>
  <c r="B2482" i="1"/>
  <c r="L2481" i="1"/>
  <c r="K2481" i="1"/>
  <c r="J2481" i="1"/>
  <c r="D2481" i="1"/>
  <c r="B2481" i="1"/>
  <c r="L2480" i="1"/>
  <c r="K2480" i="1"/>
  <c r="J2480" i="1"/>
  <c r="D2480" i="1"/>
  <c r="B2480" i="1"/>
  <c r="L2479" i="1"/>
  <c r="K2479" i="1"/>
  <c r="J2479" i="1"/>
  <c r="D2479" i="1"/>
  <c r="B2479" i="1"/>
  <c r="L2478" i="1"/>
  <c r="K2478" i="1"/>
  <c r="J2478" i="1"/>
  <c r="D2478" i="1"/>
  <c r="B2478" i="1"/>
  <c r="L2477" i="1"/>
  <c r="K2477" i="1"/>
  <c r="J2477" i="1"/>
  <c r="D2477" i="1"/>
  <c r="B2477" i="1"/>
  <c r="L2476" i="1"/>
  <c r="K2476" i="1"/>
  <c r="J2476" i="1"/>
  <c r="D2476" i="1"/>
  <c r="B2476" i="1"/>
  <c r="L2475" i="1"/>
  <c r="K2475" i="1"/>
  <c r="J2475" i="1"/>
  <c r="D2475" i="1"/>
  <c r="B2475" i="1"/>
  <c r="L2474" i="1"/>
  <c r="K2474" i="1"/>
  <c r="J2474" i="1"/>
  <c r="D2474" i="1"/>
  <c r="B2474" i="1"/>
  <c r="L2473" i="1"/>
  <c r="K2473" i="1"/>
  <c r="J2473" i="1"/>
  <c r="D2473" i="1"/>
  <c r="B2473" i="1"/>
  <c r="L2472" i="1"/>
  <c r="K2472" i="1"/>
  <c r="J2472" i="1"/>
  <c r="D2472" i="1"/>
  <c r="B2472" i="1"/>
  <c r="L2471" i="1"/>
  <c r="K2471" i="1"/>
  <c r="J2471" i="1"/>
  <c r="D2471" i="1"/>
  <c r="B2471" i="1"/>
  <c r="L2470" i="1"/>
  <c r="K2470" i="1"/>
  <c r="J2470" i="1"/>
  <c r="D2470" i="1"/>
  <c r="B2470" i="1"/>
  <c r="L2469" i="1"/>
  <c r="K2469" i="1"/>
  <c r="J2469" i="1"/>
  <c r="D2469" i="1"/>
  <c r="B2469" i="1"/>
  <c r="L2468" i="1"/>
  <c r="K2468" i="1"/>
  <c r="J2468" i="1"/>
  <c r="D2468" i="1"/>
  <c r="B2468" i="1"/>
  <c r="L2467" i="1"/>
  <c r="K2467" i="1"/>
  <c r="J2467" i="1"/>
  <c r="D2467" i="1"/>
  <c r="B2467" i="1"/>
  <c r="L2466" i="1"/>
  <c r="K2466" i="1"/>
  <c r="J2466" i="1"/>
  <c r="D2466" i="1"/>
  <c r="B2466" i="1"/>
  <c r="L2465" i="1"/>
  <c r="K2465" i="1"/>
  <c r="J2465" i="1"/>
  <c r="D2465" i="1"/>
  <c r="B2465" i="1"/>
  <c r="L2464" i="1"/>
  <c r="K2464" i="1"/>
  <c r="J2464" i="1"/>
  <c r="D2464" i="1"/>
  <c r="B2464" i="1"/>
  <c r="L2463" i="1"/>
  <c r="K2463" i="1"/>
  <c r="J2463" i="1"/>
  <c r="D2463" i="1"/>
  <c r="B2463" i="1"/>
  <c r="L2462" i="1"/>
  <c r="K2462" i="1"/>
  <c r="J2462" i="1"/>
  <c r="D2462" i="1"/>
  <c r="B2462" i="1"/>
  <c r="L2461" i="1"/>
  <c r="K2461" i="1"/>
  <c r="J2461" i="1"/>
  <c r="D2461" i="1"/>
  <c r="B2461" i="1"/>
  <c r="L2460" i="1"/>
  <c r="K2460" i="1"/>
  <c r="J2460" i="1"/>
  <c r="D2460" i="1"/>
  <c r="B2460" i="1"/>
  <c r="L2459" i="1"/>
  <c r="K2459" i="1"/>
  <c r="J2459" i="1"/>
  <c r="D2459" i="1"/>
  <c r="B2459" i="1"/>
  <c r="L2458" i="1"/>
  <c r="K2458" i="1"/>
  <c r="J2458" i="1"/>
  <c r="D2458" i="1"/>
  <c r="B2458" i="1"/>
  <c r="L2457" i="1"/>
  <c r="K2457" i="1"/>
  <c r="J2457" i="1"/>
  <c r="D2457" i="1"/>
  <c r="B2457" i="1"/>
  <c r="L2456" i="1"/>
  <c r="K2456" i="1"/>
  <c r="J2456" i="1"/>
  <c r="D2456" i="1"/>
  <c r="B2456" i="1"/>
  <c r="L2455" i="1"/>
  <c r="K2455" i="1"/>
  <c r="J2455" i="1"/>
  <c r="D2455" i="1"/>
  <c r="B2455" i="1"/>
  <c r="L2454" i="1"/>
  <c r="K2454" i="1"/>
  <c r="J2454" i="1"/>
  <c r="D2454" i="1"/>
  <c r="B2454" i="1"/>
  <c r="L2453" i="1"/>
  <c r="K2453" i="1"/>
  <c r="J2453" i="1"/>
  <c r="D2453" i="1"/>
  <c r="B2453" i="1"/>
  <c r="L2452" i="1"/>
  <c r="K2452" i="1"/>
  <c r="J2452" i="1"/>
  <c r="D2452" i="1"/>
  <c r="B2452" i="1"/>
  <c r="L2451" i="1"/>
  <c r="K2451" i="1"/>
  <c r="J2451" i="1"/>
  <c r="D2451" i="1"/>
  <c r="B2451" i="1"/>
  <c r="L2450" i="1"/>
  <c r="K2450" i="1"/>
  <c r="J2450" i="1"/>
  <c r="D2450" i="1"/>
  <c r="B2450" i="1"/>
  <c r="L2449" i="1"/>
  <c r="K2449" i="1"/>
  <c r="J2449" i="1"/>
  <c r="D2449" i="1"/>
  <c r="B2449" i="1"/>
  <c r="L2448" i="1"/>
  <c r="K2448" i="1"/>
  <c r="J2448" i="1"/>
  <c r="D2448" i="1"/>
  <c r="B2448" i="1"/>
  <c r="L2447" i="1"/>
  <c r="K2447" i="1"/>
  <c r="J2447" i="1"/>
  <c r="D2447" i="1"/>
  <c r="B2447" i="1"/>
  <c r="L2446" i="1"/>
  <c r="K2446" i="1"/>
  <c r="J2446" i="1"/>
  <c r="D2446" i="1"/>
  <c r="B2446" i="1"/>
  <c r="L2445" i="1"/>
  <c r="K2445" i="1"/>
  <c r="J2445" i="1"/>
  <c r="D2445" i="1"/>
  <c r="B2445" i="1"/>
  <c r="L2444" i="1"/>
  <c r="K2444" i="1"/>
  <c r="J2444" i="1"/>
  <c r="D2444" i="1"/>
  <c r="B2444" i="1"/>
  <c r="L2443" i="1"/>
  <c r="K2443" i="1"/>
  <c r="J2443" i="1"/>
  <c r="D2443" i="1"/>
  <c r="B2443" i="1"/>
  <c r="L2442" i="1"/>
  <c r="K2442" i="1"/>
  <c r="J2442" i="1"/>
  <c r="D2442" i="1"/>
  <c r="B2442" i="1"/>
  <c r="L2441" i="1"/>
  <c r="K2441" i="1"/>
  <c r="J2441" i="1"/>
  <c r="D2441" i="1"/>
  <c r="B2441" i="1"/>
  <c r="L2440" i="1"/>
  <c r="K2440" i="1"/>
  <c r="J2440" i="1"/>
  <c r="D2440" i="1"/>
  <c r="B2440" i="1"/>
  <c r="L2439" i="1"/>
  <c r="K2439" i="1"/>
  <c r="J2439" i="1"/>
  <c r="D2439" i="1"/>
  <c r="B2439" i="1"/>
  <c r="L2438" i="1"/>
  <c r="K2438" i="1"/>
  <c r="J2438" i="1"/>
  <c r="D2438" i="1"/>
  <c r="B2438" i="1"/>
  <c r="L2437" i="1"/>
  <c r="K2437" i="1"/>
  <c r="J2437" i="1"/>
  <c r="D2437" i="1"/>
  <c r="B2437" i="1"/>
  <c r="L2436" i="1"/>
  <c r="K2436" i="1"/>
  <c r="J2436" i="1"/>
  <c r="D2436" i="1"/>
  <c r="B2436" i="1"/>
  <c r="L2435" i="1"/>
  <c r="K2435" i="1"/>
  <c r="J2435" i="1"/>
  <c r="D2435" i="1"/>
  <c r="B2435" i="1"/>
  <c r="L2434" i="1"/>
  <c r="K2434" i="1"/>
  <c r="J2434" i="1"/>
  <c r="D2434" i="1"/>
  <c r="B2434" i="1"/>
  <c r="L2433" i="1"/>
  <c r="K2433" i="1"/>
  <c r="J2433" i="1"/>
  <c r="D2433" i="1"/>
  <c r="B2433" i="1"/>
  <c r="L2432" i="1"/>
  <c r="K2432" i="1"/>
  <c r="J2432" i="1"/>
  <c r="D2432" i="1"/>
  <c r="B2432" i="1"/>
  <c r="L2431" i="1"/>
  <c r="K2431" i="1"/>
  <c r="J2431" i="1"/>
  <c r="D2431" i="1"/>
  <c r="B2431" i="1"/>
  <c r="L2430" i="1"/>
  <c r="K2430" i="1"/>
  <c r="J2430" i="1"/>
  <c r="D2430" i="1"/>
  <c r="B2430" i="1"/>
  <c r="L2429" i="1"/>
  <c r="K2429" i="1"/>
  <c r="J2429" i="1"/>
  <c r="D2429" i="1"/>
  <c r="B2429" i="1"/>
  <c r="L2428" i="1"/>
  <c r="K2428" i="1"/>
  <c r="J2428" i="1"/>
  <c r="D2428" i="1"/>
  <c r="B2428" i="1"/>
  <c r="L2427" i="1"/>
  <c r="K2427" i="1"/>
  <c r="J2427" i="1"/>
  <c r="D2427" i="1"/>
  <c r="B2427" i="1"/>
  <c r="L2426" i="1"/>
  <c r="K2426" i="1"/>
  <c r="J2426" i="1"/>
  <c r="L2425" i="1"/>
  <c r="K2425" i="1"/>
  <c r="J2425" i="1"/>
  <c r="L2424" i="1"/>
  <c r="K2424" i="1"/>
  <c r="J2424" i="1"/>
  <c r="L2423" i="1"/>
  <c r="K2423" i="1"/>
  <c r="J2423" i="1"/>
  <c r="L2422" i="1"/>
  <c r="K2422" i="1"/>
  <c r="J2422" i="1"/>
  <c r="L2421" i="1"/>
  <c r="K2421" i="1"/>
  <c r="J2421" i="1"/>
  <c r="L2420" i="1"/>
  <c r="K2420" i="1"/>
  <c r="J2420" i="1"/>
  <c r="L2419" i="1"/>
  <c r="K2419" i="1"/>
  <c r="J2419" i="1"/>
  <c r="L2418" i="1"/>
  <c r="K2418" i="1"/>
  <c r="J2418" i="1"/>
  <c r="L2417" i="1"/>
  <c r="K2417" i="1"/>
  <c r="J2417" i="1"/>
  <c r="L2416" i="1"/>
  <c r="K2416" i="1"/>
  <c r="J2416" i="1"/>
  <c r="L2415" i="1"/>
  <c r="K2415" i="1"/>
  <c r="J2415" i="1"/>
  <c r="L2414" i="1"/>
  <c r="K2414" i="1"/>
  <c r="J2414" i="1"/>
  <c r="L2413" i="1"/>
  <c r="K2413" i="1"/>
  <c r="J2413" i="1"/>
  <c r="L2412" i="1"/>
  <c r="K2412" i="1"/>
  <c r="J2412" i="1"/>
  <c r="L2411" i="1"/>
  <c r="K2411" i="1"/>
  <c r="J2411" i="1"/>
  <c r="L2410" i="1"/>
  <c r="K2410" i="1"/>
  <c r="J2410" i="1"/>
  <c r="L2409" i="1"/>
  <c r="K2409" i="1"/>
  <c r="J2409" i="1"/>
  <c r="L2408" i="1"/>
  <c r="K2408" i="1"/>
  <c r="J2408" i="1"/>
  <c r="L2407" i="1"/>
  <c r="K2407" i="1"/>
  <c r="J2407" i="1"/>
  <c r="L2406" i="1"/>
  <c r="K2406" i="1"/>
  <c r="J2406" i="1"/>
  <c r="L2405" i="1"/>
  <c r="K2405" i="1"/>
  <c r="J2405" i="1"/>
  <c r="L2404" i="1"/>
  <c r="K2404" i="1"/>
  <c r="J2404" i="1"/>
  <c r="L2403" i="1"/>
  <c r="K2403" i="1"/>
  <c r="J2403" i="1"/>
  <c r="L2402" i="1"/>
  <c r="K2402" i="1"/>
  <c r="J2402" i="1"/>
  <c r="L2401" i="1"/>
  <c r="K2401" i="1"/>
  <c r="J2401" i="1"/>
  <c r="L2400" i="1"/>
  <c r="K2400" i="1"/>
  <c r="J2400" i="1"/>
  <c r="L2399" i="1"/>
  <c r="K2399" i="1"/>
  <c r="J2399" i="1"/>
  <c r="L2398" i="1"/>
  <c r="K2398" i="1"/>
  <c r="J2398" i="1"/>
  <c r="L2397" i="1"/>
  <c r="K2397" i="1"/>
  <c r="J2397" i="1"/>
  <c r="L2396" i="1"/>
  <c r="K2396" i="1"/>
  <c r="J2396" i="1"/>
  <c r="L2395" i="1"/>
  <c r="K2395" i="1"/>
  <c r="J2395" i="1"/>
  <c r="L2394" i="1"/>
  <c r="K2394" i="1"/>
  <c r="J2394" i="1"/>
  <c r="L2393" i="1"/>
  <c r="K2393" i="1"/>
  <c r="J2393" i="1"/>
  <c r="L2392" i="1"/>
  <c r="K2392" i="1"/>
  <c r="J2392" i="1"/>
  <c r="L2391" i="1"/>
  <c r="K2391" i="1"/>
  <c r="J2391" i="1"/>
  <c r="L2390" i="1"/>
  <c r="K2390" i="1"/>
  <c r="J2390" i="1"/>
  <c r="L2389" i="1"/>
  <c r="K2389" i="1"/>
  <c r="J2389" i="1"/>
  <c r="L2388" i="1"/>
  <c r="K2388" i="1"/>
  <c r="J2388" i="1"/>
  <c r="L2387" i="1"/>
  <c r="K2387" i="1"/>
  <c r="J2387" i="1"/>
  <c r="L2386" i="1"/>
  <c r="K2386" i="1"/>
  <c r="J2386" i="1"/>
  <c r="L2385" i="1"/>
  <c r="K2385" i="1"/>
  <c r="J2385" i="1"/>
  <c r="A2385" i="1"/>
  <c r="A2386" i="1" s="1"/>
  <c r="L2384" i="1"/>
  <c r="K2384" i="1"/>
  <c r="J2384" i="1"/>
  <c r="D2384" i="1"/>
  <c r="B2384" i="1"/>
  <c r="A2384" i="1"/>
  <c r="L2383" i="1"/>
  <c r="K2383" i="1"/>
  <c r="J2383" i="1"/>
  <c r="D2383" i="1"/>
  <c r="B2383" i="1"/>
  <c r="L2382" i="1"/>
  <c r="K2382" i="1"/>
  <c r="J2382" i="1"/>
  <c r="D2382" i="1"/>
  <c r="B2382" i="1"/>
  <c r="L2381" i="1"/>
  <c r="K2381" i="1"/>
  <c r="J2381" i="1"/>
  <c r="D2381" i="1"/>
  <c r="B2381" i="1"/>
  <c r="L2380" i="1"/>
  <c r="K2380" i="1"/>
  <c r="J2380" i="1"/>
  <c r="D2380" i="1"/>
  <c r="B2380" i="1"/>
  <c r="L2379" i="1"/>
  <c r="K2379" i="1"/>
  <c r="J2379" i="1"/>
  <c r="D2379" i="1"/>
  <c r="B2379" i="1"/>
  <c r="L2378" i="1"/>
  <c r="K2378" i="1"/>
  <c r="J2378" i="1"/>
  <c r="D2378" i="1"/>
  <c r="B2378" i="1"/>
  <c r="L2377" i="1"/>
  <c r="K2377" i="1"/>
  <c r="J2377" i="1"/>
  <c r="D2377" i="1"/>
  <c r="B2377" i="1"/>
  <c r="L2376" i="1"/>
  <c r="K2376" i="1"/>
  <c r="J2376" i="1"/>
  <c r="D2376" i="1"/>
  <c r="B2376" i="1"/>
  <c r="L2375" i="1"/>
  <c r="K2375" i="1"/>
  <c r="J2375" i="1"/>
  <c r="D2375" i="1"/>
  <c r="B2375" i="1"/>
  <c r="L2374" i="1"/>
  <c r="K2374" i="1"/>
  <c r="J2374" i="1"/>
  <c r="D2374" i="1"/>
  <c r="B2374" i="1"/>
  <c r="L2373" i="1"/>
  <c r="K2373" i="1"/>
  <c r="J2373" i="1"/>
  <c r="D2373" i="1"/>
  <c r="B2373" i="1"/>
  <c r="L2372" i="1"/>
  <c r="K2372" i="1"/>
  <c r="J2372" i="1"/>
  <c r="D2372" i="1"/>
  <c r="B2372" i="1"/>
  <c r="L2371" i="1"/>
  <c r="K2371" i="1"/>
  <c r="J2371" i="1"/>
  <c r="D2371" i="1"/>
  <c r="B2371" i="1"/>
  <c r="L2370" i="1"/>
  <c r="K2370" i="1"/>
  <c r="J2370" i="1"/>
  <c r="D2370" i="1"/>
  <c r="B2370" i="1"/>
  <c r="L2369" i="1"/>
  <c r="K2369" i="1"/>
  <c r="J2369" i="1"/>
  <c r="D2369" i="1"/>
  <c r="B2369" i="1"/>
  <c r="L2368" i="1"/>
  <c r="K2368" i="1"/>
  <c r="J2368" i="1"/>
  <c r="D2368" i="1"/>
  <c r="B2368" i="1"/>
  <c r="L2367" i="1"/>
  <c r="K2367" i="1"/>
  <c r="J2367" i="1"/>
  <c r="D2367" i="1"/>
  <c r="B2367" i="1"/>
  <c r="L2366" i="1"/>
  <c r="K2366" i="1"/>
  <c r="J2366" i="1"/>
  <c r="D2366" i="1"/>
  <c r="B2366" i="1"/>
  <c r="L2365" i="1"/>
  <c r="K2365" i="1"/>
  <c r="J2365" i="1"/>
  <c r="D2365" i="1"/>
  <c r="B2365" i="1"/>
  <c r="L2364" i="1"/>
  <c r="K2364" i="1"/>
  <c r="J2364" i="1"/>
  <c r="D2364" i="1"/>
  <c r="B2364" i="1"/>
  <c r="L2363" i="1"/>
  <c r="K2363" i="1"/>
  <c r="J2363" i="1"/>
  <c r="D2363" i="1"/>
  <c r="B2363" i="1"/>
  <c r="L2362" i="1"/>
  <c r="K2362" i="1"/>
  <c r="J2362" i="1"/>
  <c r="D2362" i="1"/>
  <c r="B2362" i="1"/>
  <c r="L2361" i="1"/>
  <c r="K2361" i="1"/>
  <c r="J2361" i="1"/>
  <c r="D2361" i="1"/>
  <c r="B2361" i="1"/>
  <c r="L2360" i="1"/>
  <c r="K2360" i="1"/>
  <c r="J2360" i="1"/>
  <c r="D2360" i="1"/>
  <c r="B2360" i="1"/>
  <c r="L2359" i="1"/>
  <c r="K2359" i="1"/>
  <c r="J2359" i="1"/>
  <c r="D2359" i="1"/>
  <c r="B2359" i="1"/>
  <c r="L2358" i="1"/>
  <c r="K2358" i="1"/>
  <c r="J2358" i="1"/>
  <c r="D2358" i="1"/>
  <c r="B2358" i="1"/>
  <c r="L2357" i="1"/>
  <c r="K2357" i="1"/>
  <c r="J2357" i="1"/>
  <c r="D2357" i="1"/>
  <c r="B2357" i="1"/>
  <c r="L2356" i="1"/>
  <c r="K2356" i="1"/>
  <c r="J2356" i="1"/>
  <c r="D2356" i="1"/>
  <c r="B2356" i="1"/>
  <c r="L2355" i="1"/>
  <c r="K2355" i="1"/>
  <c r="J2355" i="1"/>
  <c r="D2355" i="1"/>
  <c r="B2355" i="1"/>
  <c r="L2354" i="1"/>
  <c r="K2354" i="1"/>
  <c r="J2354" i="1"/>
  <c r="D2354" i="1"/>
  <c r="B2354" i="1"/>
  <c r="L2353" i="1"/>
  <c r="K2353" i="1"/>
  <c r="J2353" i="1"/>
  <c r="D2353" i="1"/>
  <c r="B2353" i="1"/>
  <c r="L2352" i="1"/>
  <c r="K2352" i="1"/>
  <c r="J2352" i="1"/>
  <c r="D2352" i="1"/>
  <c r="B2352" i="1"/>
  <c r="L2351" i="1"/>
  <c r="K2351" i="1"/>
  <c r="J2351" i="1"/>
  <c r="D2351" i="1"/>
  <c r="B2351" i="1"/>
  <c r="L2350" i="1"/>
  <c r="K2350" i="1"/>
  <c r="J2350" i="1"/>
  <c r="D2350" i="1"/>
  <c r="B2350" i="1"/>
  <c r="L2349" i="1"/>
  <c r="K2349" i="1"/>
  <c r="J2349" i="1"/>
  <c r="D2349" i="1"/>
  <c r="B2349" i="1"/>
  <c r="L2348" i="1"/>
  <c r="K2348" i="1"/>
  <c r="J2348" i="1"/>
  <c r="D2348" i="1"/>
  <c r="B2348" i="1"/>
  <c r="L2347" i="1"/>
  <c r="K2347" i="1"/>
  <c r="J2347" i="1"/>
  <c r="D2347" i="1"/>
  <c r="B2347" i="1"/>
  <c r="L2346" i="1"/>
  <c r="K2346" i="1"/>
  <c r="J2346" i="1"/>
  <c r="D2346" i="1"/>
  <c r="B2346" i="1"/>
  <c r="L2345" i="1"/>
  <c r="K2345" i="1"/>
  <c r="J2345" i="1"/>
  <c r="D2345" i="1"/>
  <c r="B2345" i="1"/>
  <c r="L2344" i="1"/>
  <c r="K2344" i="1"/>
  <c r="J2344" i="1"/>
  <c r="D2344" i="1"/>
  <c r="B2344" i="1"/>
  <c r="L2343" i="1"/>
  <c r="K2343" i="1"/>
  <c r="J2343" i="1"/>
  <c r="D2343" i="1"/>
  <c r="B2343" i="1"/>
  <c r="L2342" i="1"/>
  <c r="K2342" i="1"/>
  <c r="J2342" i="1"/>
  <c r="D2342" i="1"/>
  <c r="B2342" i="1"/>
  <c r="L2341" i="1"/>
  <c r="K2341" i="1"/>
  <c r="J2341" i="1"/>
  <c r="D2341" i="1"/>
  <c r="B2341" i="1"/>
  <c r="L2340" i="1"/>
  <c r="K2340" i="1"/>
  <c r="J2340" i="1"/>
  <c r="D2340" i="1"/>
  <c r="B2340" i="1"/>
  <c r="L2339" i="1"/>
  <c r="K2339" i="1"/>
  <c r="J2339" i="1"/>
  <c r="D2339" i="1"/>
  <c r="B2339" i="1"/>
  <c r="L2338" i="1"/>
  <c r="K2338" i="1"/>
  <c r="J2338" i="1"/>
  <c r="D2338" i="1"/>
  <c r="B2338" i="1"/>
  <c r="L2337" i="1"/>
  <c r="K2337" i="1"/>
  <c r="J2337" i="1"/>
  <c r="D2337" i="1"/>
  <c r="B2337" i="1"/>
  <c r="L2336" i="1"/>
  <c r="K2336" i="1"/>
  <c r="J2336" i="1"/>
  <c r="D2336" i="1"/>
  <c r="B2336" i="1"/>
  <c r="L2335" i="1"/>
  <c r="K2335" i="1"/>
  <c r="J2335" i="1"/>
  <c r="D2335" i="1"/>
  <c r="B2335" i="1"/>
  <c r="L2334" i="1"/>
  <c r="K2334" i="1"/>
  <c r="J2334" i="1"/>
  <c r="D2334" i="1"/>
  <c r="B2334" i="1"/>
  <c r="L2333" i="1"/>
  <c r="K2333" i="1"/>
  <c r="J2333" i="1"/>
  <c r="D2333" i="1"/>
  <c r="B2333" i="1"/>
  <c r="L2332" i="1"/>
  <c r="K2332" i="1"/>
  <c r="J2332" i="1"/>
  <c r="D2332" i="1"/>
  <c r="B2332" i="1"/>
  <c r="L2331" i="1"/>
  <c r="K2331" i="1"/>
  <c r="J2331" i="1"/>
  <c r="D2331" i="1"/>
  <c r="B2331" i="1"/>
  <c r="L2330" i="1"/>
  <c r="K2330" i="1"/>
  <c r="J2330" i="1"/>
  <c r="D2330" i="1"/>
  <c r="B2330" i="1"/>
  <c r="L2329" i="1"/>
  <c r="K2329" i="1"/>
  <c r="J2329" i="1"/>
  <c r="D2329" i="1"/>
  <c r="B2329" i="1"/>
  <c r="L2328" i="1"/>
  <c r="K2328" i="1"/>
  <c r="J2328" i="1"/>
  <c r="D2328" i="1"/>
  <c r="B2328" i="1"/>
  <c r="L2327" i="1"/>
  <c r="K2327" i="1"/>
  <c r="J2327" i="1"/>
  <c r="D2327" i="1"/>
  <c r="B2327" i="1"/>
  <c r="L2326" i="1"/>
  <c r="K2326" i="1"/>
  <c r="J2326" i="1"/>
  <c r="D2326" i="1"/>
  <c r="B2326" i="1"/>
  <c r="L2325" i="1"/>
  <c r="K2325" i="1"/>
  <c r="J2325" i="1"/>
  <c r="D2325" i="1"/>
  <c r="B2325" i="1"/>
  <c r="L2324" i="1"/>
  <c r="K2324" i="1"/>
  <c r="J2324" i="1"/>
  <c r="D2324" i="1"/>
  <c r="B2324" i="1"/>
  <c r="L2323" i="1"/>
  <c r="K2323" i="1"/>
  <c r="J2323" i="1"/>
  <c r="D2323" i="1"/>
  <c r="B2323" i="1"/>
  <c r="L2322" i="1"/>
  <c r="K2322" i="1"/>
  <c r="J2322" i="1"/>
  <c r="D2322" i="1"/>
  <c r="B2322" i="1"/>
  <c r="L2321" i="1"/>
  <c r="K2321" i="1"/>
  <c r="J2321" i="1"/>
  <c r="D2321" i="1"/>
  <c r="B2321" i="1"/>
  <c r="L2320" i="1"/>
  <c r="K2320" i="1"/>
  <c r="J2320" i="1"/>
  <c r="D2320" i="1"/>
  <c r="B2320" i="1"/>
  <c r="L2319" i="1"/>
  <c r="K2319" i="1"/>
  <c r="J2319" i="1"/>
  <c r="D2319" i="1"/>
  <c r="B2319" i="1"/>
  <c r="L2318" i="1"/>
  <c r="K2318" i="1"/>
  <c r="J2318" i="1"/>
  <c r="D2318" i="1"/>
  <c r="B2318" i="1"/>
  <c r="L2317" i="1"/>
  <c r="K2317" i="1"/>
  <c r="J2317" i="1"/>
  <c r="D2317" i="1"/>
  <c r="B2317" i="1"/>
  <c r="L2316" i="1"/>
  <c r="K2316" i="1"/>
  <c r="J2316" i="1"/>
  <c r="D2316" i="1"/>
  <c r="B2316" i="1"/>
  <c r="L2315" i="1"/>
  <c r="K2315" i="1"/>
  <c r="J2315" i="1"/>
  <c r="D2315" i="1"/>
  <c r="B2315" i="1"/>
  <c r="L2314" i="1"/>
  <c r="K2314" i="1"/>
  <c r="J2314" i="1"/>
  <c r="D2314" i="1"/>
  <c r="B2314" i="1"/>
  <c r="L2313" i="1"/>
  <c r="K2313" i="1"/>
  <c r="J2313" i="1"/>
  <c r="D2313" i="1"/>
  <c r="B2313" i="1"/>
  <c r="L2312" i="1"/>
  <c r="K2312" i="1"/>
  <c r="J2312" i="1"/>
  <c r="D2312" i="1"/>
  <c r="B2312" i="1"/>
  <c r="L2311" i="1"/>
  <c r="K2311" i="1"/>
  <c r="J2311" i="1"/>
  <c r="D2311" i="1"/>
  <c r="B2311" i="1"/>
  <c r="L2310" i="1"/>
  <c r="K2310" i="1"/>
  <c r="J2310" i="1"/>
  <c r="D2310" i="1"/>
  <c r="B2310" i="1"/>
  <c r="L2309" i="1"/>
  <c r="K2309" i="1"/>
  <c r="J2309" i="1"/>
  <c r="D2309" i="1"/>
  <c r="B2309" i="1"/>
  <c r="L2308" i="1"/>
  <c r="K2308" i="1"/>
  <c r="J2308" i="1"/>
  <c r="D2308" i="1"/>
  <c r="B2308" i="1"/>
  <c r="L2307" i="1"/>
  <c r="K2307" i="1"/>
  <c r="J2307" i="1"/>
  <c r="D2307" i="1"/>
  <c r="B2307" i="1"/>
  <c r="L2306" i="1"/>
  <c r="K2306" i="1"/>
  <c r="J2306" i="1"/>
  <c r="D2306" i="1"/>
  <c r="B2306" i="1"/>
  <c r="L2305" i="1"/>
  <c r="K2305" i="1"/>
  <c r="J2305" i="1"/>
  <c r="D2305" i="1"/>
  <c r="B2305" i="1"/>
  <c r="L2304" i="1"/>
  <c r="K2304" i="1"/>
  <c r="J2304" i="1"/>
  <c r="D2304" i="1"/>
  <c r="B2304" i="1"/>
  <c r="L2303" i="1"/>
  <c r="K2303" i="1"/>
  <c r="J2303" i="1"/>
  <c r="D2303" i="1"/>
  <c r="B2303" i="1"/>
  <c r="L2302" i="1"/>
  <c r="K2302" i="1"/>
  <c r="J2302" i="1"/>
  <c r="D2302" i="1"/>
  <c r="B2302" i="1"/>
  <c r="L2301" i="1"/>
  <c r="K2301" i="1"/>
  <c r="J2301" i="1"/>
  <c r="D2301" i="1"/>
  <c r="B2301" i="1"/>
  <c r="L2300" i="1"/>
  <c r="K2300" i="1"/>
  <c r="J2300" i="1"/>
  <c r="D2300" i="1"/>
  <c r="B2300" i="1"/>
  <c r="L2299" i="1"/>
  <c r="K2299" i="1"/>
  <c r="J2299" i="1"/>
  <c r="D2299" i="1"/>
  <c r="B2299" i="1"/>
  <c r="L2298" i="1"/>
  <c r="K2298" i="1"/>
  <c r="J2298" i="1"/>
  <c r="D2298" i="1"/>
  <c r="B2298" i="1"/>
  <c r="L2297" i="1"/>
  <c r="K2297" i="1"/>
  <c r="J2297" i="1"/>
  <c r="D2297" i="1"/>
  <c r="B2297" i="1"/>
  <c r="L2296" i="1"/>
  <c r="K2296" i="1"/>
  <c r="J2296" i="1"/>
  <c r="D2296" i="1"/>
  <c r="B2296" i="1"/>
  <c r="L2295" i="1"/>
  <c r="K2295" i="1"/>
  <c r="J2295" i="1"/>
  <c r="D2295" i="1"/>
  <c r="B2295" i="1"/>
  <c r="L2294" i="1"/>
  <c r="K2294" i="1"/>
  <c r="J2294" i="1"/>
  <c r="D2294" i="1"/>
  <c r="B2294" i="1"/>
  <c r="L2293" i="1"/>
  <c r="K2293" i="1"/>
  <c r="J2293" i="1"/>
  <c r="D2293" i="1"/>
  <c r="B2293" i="1"/>
  <c r="L2292" i="1"/>
  <c r="K2292" i="1"/>
  <c r="J2292" i="1"/>
  <c r="D2292" i="1"/>
  <c r="B2292" i="1"/>
  <c r="L2291" i="1"/>
  <c r="K2291" i="1"/>
  <c r="J2291" i="1"/>
  <c r="D2291" i="1"/>
  <c r="B2291" i="1"/>
  <c r="L2290" i="1"/>
  <c r="K2290" i="1"/>
  <c r="J2290" i="1"/>
  <c r="D2290" i="1"/>
  <c r="B2290" i="1"/>
  <c r="L2289" i="1"/>
  <c r="K2289" i="1"/>
  <c r="J2289" i="1"/>
  <c r="D2289" i="1"/>
  <c r="B2289" i="1"/>
  <c r="L2288" i="1"/>
  <c r="K2288" i="1"/>
  <c r="J2288" i="1"/>
  <c r="D2288" i="1"/>
  <c r="B2288" i="1"/>
  <c r="L2287" i="1"/>
  <c r="K2287" i="1"/>
  <c r="J2287" i="1"/>
  <c r="D2287" i="1"/>
  <c r="B2287" i="1"/>
  <c r="L2286" i="1"/>
  <c r="K2286" i="1"/>
  <c r="J2286" i="1"/>
  <c r="D2286" i="1"/>
  <c r="B2286" i="1"/>
  <c r="L2285" i="1"/>
  <c r="K2285" i="1"/>
  <c r="J2285" i="1"/>
  <c r="D2285" i="1"/>
  <c r="B2285" i="1"/>
  <c r="L2284" i="1"/>
  <c r="K2284" i="1"/>
  <c r="J2284" i="1"/>
  <c r="D2284" i="1"/>
  <c r="B2284" i="1"/>
  <c r="L2283" i="1"/>
  <c r="K2283" i="1"/>
  <c r="J2283" i="1"/>
  <c r="D2283" i="1"/>
  <c r="B2283" i="1"/>
  <c r="L2282" i="1"/>
  <c r="K2282" i="1"/>
  <c r="J2282" i="1"/>
  <c r="D2282" i="1"/>
  <c r="B2282" i="1"/>
  <c r="L2281" i="1"/>
  <c r="K2281" i="1"/>
  <c r="J2281" i="1"/>
  <c r="D2281" i="1"/>
  <c r="B2281" i="1"/>
  <c r="L2280" i="1"/>
  <c r="K2280" i="1"/>
  <c r="J2280" i="1"/>
  <c r="D2280" i="1"/>
  <c r="B2280" i="1"/>
  <c r="L2279" i="1"/>
  <c r="K2279" i="1"/>
  <c r="J2279" i="1"/>
  <c r="D2279" i="1"/>
  <c r="B2279" i="1"/>
  <c r="L2278" i="1"/>
  <c r="K2278" i="1"/>
  <c r="J2278" i="1"/>
  <c r="D2278" i="1"/>
  <c r="B2278" i="1"/>
  <c r="L2277" i="1"/>
  <c r="K2277" i="1"/>
  <c r="J2277" i="1"/>
  <c r="D2277" i="1"/>
  <c r="B2277" i="1"/>
  <c r="L2276" i="1"/>
  <c r="K2276" i="1"/>
  <c r="J2276" i="1"/>
  <c r="D2276" i="1"/>
  <c r="B2276" i="1"/>
  <c r="L2275" i="1"/>
  <c r="K2275" i="1"/>
  <c r="J2275" i="1"/>
  <c r="D2275" i="1"/>
  <c r="B2275" i="1"/>
  <c r="L2274" i="1"/>
  <c r="K2274" i="1"/>
  <c r="J2274" i="1"/>
  <c r="D2274" i="1"/>
  <c r="B2274" i="1"/>
  <c r="L2273" i="1"/>
  <c r="K2273" i="1"/>
  <c r="J2273" i="1"/>
  <c r="D2273" i="1"/>
  <c r="B2273" i="1"/>
  <c r="L2272" i="1"/>
  <c r="K2272" i="1"/>
  <c r="J2272" i="1"/>
  <c r="D2272" i="1"/>
  <c r="B2272" i="1"/>
  <c r="L2271" i="1"/>
  <c r="K2271" i="1"/>
  <c r="J2271" i="1"/>
  <c r="D2271" i="1"/>
  <c r="B2271" i="1"/>
  <c r="L2270" i="1"/>
  <c r="K2270" i="1"/>
  <c r="J2270" i="1"/>
  <c r="D2270" i="1"/>
  <c r="B2270" i="1"/>
  <c r="L2269" i="1"/>
  <c r="K2269" i="1"/>
  <c r="J2269" i="1"/>
  <c r="D2269" i="1"/>
  <c r="B2269" i="1"/>
  <c r="L2268" i="1"/>
  <c r="K2268" i="1"/>
  <c r="J2268" i="1"/>
  <c r="D2268" i="1"/>
  <c r="B2268" i="1"/>
  <c r="L2267" i="1"/>
  <c r="K2267" i="1"/>
  <c r="J2267" i="1"/>
  <c r="D2267" i="1"/>
  <c r="B2267" i="1"/>
  <c r="L2266" i="1"/>
  <c r="K2266" i="1"/>
  <c r="J2266" i="1"/>
  <c r="D2266" i="1"/>
  <c r="B2266" i="1"/>
  <c r="L2265" i="1"/>
  <c r="K2265" i="1"/>
  <c r="J2265" i="1"/>
  <c r="D2265" i="1"/>
  <c r="B2265" i="1"/>
  <c r="L2264" i="1"/>
  <c r="K2264" i="1"/>
  <c r="J2264" i="1"/>
  <c r="D2264" i="1"/>
  <c r="B2264" i="1"/>
  <c r="L2263" i="1"/>
  <c r="K2263" i="1"/>
  <c r="J2263" i="1"/>
  <c r="D2263" i="1"/>
  <c r="B2263" i="1"/>
  <c r="L2262" i="1"/>
  <c r="K2262" i="1"/>
  <c r="J2262" i="1"/>
  <c r="D2262" i="1"/>
  <c r="B2262" i="1"/>
  <c r="L2261" i="1"/>
  <c r="K2261" i="1"/>
  <c r="J2261" i="1"/>
  <c r="D2261" i="1"/>
  <c r="B2261" i="1"/>
  <c r="L2260" i="1"/>
  <c r="K2260" i="1"/>
  <c r="J2260" i="1"/>
  <c r="D2260" i="1"/>
  <c r="B2260" i="1"/>
  <c r="L2259" i="1"/>
  <c r="K2259" i="1"/>
  <c r="J2259" i="1"/>
  <c r="D2259" i="1"/>
  <c r="B2259" i="1"/>
  <c r="L2258" i="1"/>
  <c r="K2258" i="1"/>
  <c r="J2258" i="1"/>
  <c r="D2258" i="1"/>
  <c r="B2258" i="1"/>
  <c r="L2257" i="1"/>
  <c r="K2257" i="1"/>
  <c r="J2257" i="1"/>
  <c r="D2257" i="1"/>
  <c r="B2257" i="1"/>
  <c r="L2256" i="1"/>
  <c r="K2256" i="1"/>
  <c r="J2256" i="1"/>
  <c r="D2256" i="1"/>
  <c r="B2256" i="1"/>
  <c r="L2255" i="1"/>
  <c r="K2255" i="1"/>
  <c r="J2255" i="1"/>
  <c r="D2255" i="1"/>
  <c r="B2255" i="1"/>
  <c r="L2254" i="1"/>
  <c r="K2254" i="1"/>
  <c r="J2254" i="1"/>
  <c r="D2254" i="1"/>
  <c r="B2254" i="1"/>
  <c r="L2253" i="1"/>
  <c r="K2253" i="1"/>
  <c r="J2253" i="1"/>
  <c r="D2253" i="1"/>
  <c r="B2253" i="1"/>
  <c r="L2252" i="1"/>
  <c r="K2252" i="1"/>
  <c r="J2252" i="1"/>
  <c r="D2252" i="1"/>
  <c r="B2252" i="1"/>
  <c r="L2251" i="1"/>
  <c r="K2251" i="1"/>
  <c r="J2251" i="1"/>
  <c r="D2251" i="1"/>
  <c r="B2251" i="1"/>
  <c r="L2250" i="1"/>
  <c r="K2250" i="1"/>
  <c r="J2250" i="1"/>
  <c r="D2250" i="1"/>
  <c r="B2250" i="1"/>
  <c r="L2249" i="1"/>
  <c r="K2249" i="1"/>
  <c r="J2249" i="1"/>
  <c r="D2249" i="1"/>
  <c r="B2249" i="1"/>
  <c r="L2248" i="1"/>
  <c r="K2248" i="1"/>
  <c r="J2248" i="1"/>
  <c r="D2248" i="1"/>
  <c r="B2248" i="1"/>
  <c r="L2247" i="1"/>
  <c r="K2247" i="1"/>
  <c r="J2247" i="1"/>
  <c r="D2247" i="1"/>
  <c r="B2247" i="1"/>
  <c r="L2246" i="1"/>
  <c r="K2246" i="1"/>
  <c r="J2246" i="1"/>
  <c r="D2246" i="1"/>
  <c r="B2246" i="1"/>
  <c r="L2245" i="1"/>
  <c r="K2245" i="1"/>
  <c r="J2245" i="1"/>
  <c r="D2245" i="1"/>
  <c r="B2245" i="1"/>
  <c r="L2244" i="1"/>
  <c r="K2244" i="1"/>
  <c r="J2244" i="1"/>
  <c r="D2244" i="1"/>
  <c r="B2244" i="1"/>
  <c r="L2243" i="1"/>
  <c r="K2243" i="1"/>
  <c r="J2243" i="1"/>
  <c r="D2243" i="1"/>
  <c r="B2243" i="1"/>
  <c r="L2242" i="1"/>
  <c r="K2242" i="1"/>
  <c r="J2242" i="1"/>
  <c r="D2242" i="1"/>
  <c r="B2242" i="1"/>
  <c r="L2241" i="1"/>
  <c r="K2241" i="1"/>
  <c r="J2241" i="1"/>
  <c r="D2241" i="1"/>
  <c r="B2241" i="1"/>
  <c r="L2240" i="1"/>
  <c r="K2240" i="1"/>
  <c r="J2240" i="1"/>
  <c r="D2240" i="1"/>
  <c r="B2240" i="1"/>
  <c r="L2239" i="1"/>
  <c r="K2239" i="1"/>
  <c r="J2239" i="1"/>
  <c r="D2239" i="1"/>
  <c r="B2239" i="1"/>
  <c r="L2238" i="1"/>
  <c r="K2238" i="1"/>
  <c r="J2238" i="1"/>
  <c r="D2238" i="1"/>
  <c r="B2238" i="1"/>
  <c r="L2237" i="1"/>
  <c r="K2237" i="1"/>
  <c r="J2237" i="1"/>
  <c r="D2237" i="1"/>
  <c r="B2237" i="1"/>
  <c r="L2236" i="1"/>
  <c r="K2236" i="1"/>
  <c r="J2236" i="1"/>
  <c r="D2236" i="1"/>
  <c r="B2236" i="1"/>
  <c r="L2235" i="1"/>
  <c r="K2235" i="1"/>
  <c r="J2235" i="1"/>
  <c r="D2235" i="1"/>
  <c r="B2235" i="1"/>
  <c r="L2234" i="1"/>
  <c r="K2234" i="1"/>
  <c r="J2234" i="1"/>
  <c r="D2234" i="1"/>
  <c r="B2234" i="1"/>
  <c r="L2233" i="1"/>
  <c r="K2233" i="1"/>
  <c r="J2233" i="1"/>
  <c r="D2233" i="1"/>
  <c r="B2233" i="1"/>
  <c r="L2232" i="1"/>
  <c r="K2232" i="1"/>
  <c r="J2232" i="1"/>
  <c r="D2232" i="1"/>
  <c r="B2232" i="1"/>
  <c r="L2231" i="1"/>
  <c r="K2231" i="1"/>
  <c r="J2231" i="1"/>
  <c r="D2231" i="1"/>
  <c r="B2231" i="1"/>
  <c r="L2230" i="1"/>
  <c r="K2230" i="1"/>
  <c r="J2230" i="1"/>
  <c r="D2230" i="1"/>
  <c r="B2230" i="1"/>
  <c r="L2229" i="1"/>
  <c r="K2229" i="1"/>
  <c r="J2229" i="1"/>
  <c r="D2229" i="1"/>
  <c r="B2229" i="1"/>
  <c r="L2228" i="1"/>
  <c r="K2228" i="1"/>
  <c r="J2228" i="1"/>
  <c r="D2228" i="1"/>
  <c r="B2228" i="1"/>
  <c r="L2227" i="1"/>
  <c r="K2227" i="1"/>
  <c r="J2227" i="1"/>
  <c r="D2227" i="1"/>
  <c r="B2227" i="1"/>
  <c r="L2226" i="1"/>
  <c r="K2226" i="1"/>
  <c r="J2226" i="1"/>
  <c r="D2226" i="1"/>
  <c r="B2226" i="1"/>
  <c r="L2225" i="1"/>
  <c r="K2225" i="1"/>
  <c r="J2225" i="1"/>
  <c r="D2225" i="1"/>
  <c r="B2225" i="1"/>
  <c r="L2224" i="1"/>
  <c r="K2224" i="1"/>
  <c r="J2224" i="1"/>
  <c r="D2224" i="1"/>
  <c r="B2224" i="1"/>
  <c r="L2223" i="1"/>
  <c r="K2223" i="1"/>
  <c r="J2223" i="1"/>
  <c r="D2223" i="1"/>
  <c r="B2223" i="1"/>
  <c r="L2222" i="1"/>
  <c r="K2222" i="1"/>
  <c r="J2222" i="1"/>
  <c r="D2222" i="1"/>
  <c r="B2222" i="1"/>
  <c r="L2221" i="1"/>
  <c r="K2221" i="1"/>
  <c r="J2221" i="1"/>
  <c r="D2221" i="1"/>
  <c r="B2221" i="1"/>
  <c r="L2220" i="1"/>
  <c r="K2220" i="1"/>
  <c r="J2220" i="1"/>
  <c r="D2220" i="1"/>
  <c r="B2220" i="1"/>
  <c r="L2219" i="1"/>
  <c r="K2219" i="1"/>
  <c r="J2219" i="1"/>
  <c r="D2219" i="1"/>
  <c r="B2219" i="1"/>
  <c r="L2218" i="1"/>
  <c r="K2218" i="1"/>
  <c r="J2218" i="1"/>
  <c r="D2218" i="1"/>
  <c r="B2218" i="1"/>
  <c r="L2217" i="1"/>
  <c r="K2217" i="1"/>
  <c r="J2217" i="1"/>
  <c r="D2217" i="1"/>
  <c r="B2217" i="1"/>
  <c r="L2216" i="1"/>
  <c r="K2216" i="1"/>
  <c r="J2216" i="1"/>
  <c r="D2216" i="1"/>
  <c r="B2216" i="1"/>
  <c r="L2215" i="1"/>
  <c r="K2215" i="1"/>
  <c r="J2215" i="1"/>
  <c r="D2215" i="1"/>
  <c r="B2215" i="1"/>
  <c r="L2214" i="1"/>
  <c r="K2214" i="1"/>
  <c r="J2214" i="1"/>
  <c r="D2214" i="1"/>
  <c r="B2214" i="1"/>
  <c r="L2213" i="1"/>
  <c r="K2213" i="1"/>
  <c r="J2213" i="1"/>
  <c r="D2213" i="1"/>
  <c r="B2213" i="1"/>
  <c r="L2212" i="1"/>
  <c r="K2212" i="1"/>
  <c r="J2212" i="1"/>
  <c r="D2212" i="1"/>
  <c r="B2212" i="1"/>
  <c r="L2211" i="1"/>
  <c r="K2211" i="1"/>
  <c r="J2211" i="1"/>
  <c r="D2211" i="1"/>
  <c r="B2211" i="1"/>
  <c r="L2210" i="1"/>
  <c r="K2210" i="1"/>
  <c r="J2210" i="1"/>
  <c r="D2210" i="1"/>
  <c r="B2210" i="1"/>
  <c r="L2209" i="1"/>
  <c r="K2209" i="1"/>
  <c r="J2209" i="1"/>
  <c r="D2209" i="1"/>
  <c r="B2209" i="1"/>
  <c r="L2208" i="1"/>
  <c r="K2208" i="1"/>
  <c r="J2208" i="1"/>
  <c r="D2208" i="1"/>
  <c r="B2208" i="1"/>
  <c r="L2207" i="1"/>
  <c r="K2207" i="1"/>
  <c r="J2207" i="1"/>
  <c r="D2207" i="1"/>
  <c r="B2207" i="1"/>
  <c r="L2206" i="1"/>
  <c r="K2206" i="1"/>
  <c r="J2206" i="1"/>
  <c r="D2206" i="1"/>
  <c r="B2206" i="1"/>
  <c r="L2205" i="1"/>
  <c r="K2205" i="1"/>
  <c r="J2205" i="1"/>
  <c r="D2205" i="1"/>
  <c r="B2205" i="1"/>
  <c r="L2204" i="1"/>
  <c r="K2204" i="1"/>
  <c r="J2204" i="1"/>
  <c r="D2204" i="1"/>
  <c r="B2204" i="1"/>
  <c r="L2203" i="1"/>
  <c r="K2203" i="1"/>
  <c r="J2203" i="1"/>
  <c r="D2203" i="1"/>
  <c r="B2203" i="1"/>
  <c r="L2202" i="1"/>
  <c r="K2202" i="1"/>
  <c r="J2202" i="1"/>
  <c r="D2202" i="1"/>
  <c r="B2202" i="1"/>
  <c r="L2201" i="1"/>
  <c r="K2201" i="1"/>
  <c r="J2201" i="1"/>
  <c r="D2201" i="1"/>
  <c r="B2201" i="1"/>
  <c r="L2200" i="1"/>
  <c r="K2200" i="1"/>
  <c r="J2200" i="1"/>
  <c r="D2200" i="1"/>
  <c r="B2200" i="1"/>
  <c r="L2199" i="1"/>
  <c r="K2199" i="1"/>
  <c r="J2199" i="1"/>
  <c r="D2199" i="1"/>
  <c r="B2199" i="1"/>
  <c r="L2198" i="1"/>
  <c r="K2198" i="1"/>
  <c r="J2198" i="1"/>
  <c r="D2198" i="1"/>
  <c r="B2198" i="1"/>
  <c r="L2197" i="1"/>
  <c r="K2197" i="1"/>
  <c r="J2197" i="1"/>
  <c r="D2197" i="1"/>
  <c r="B2197" i="1"/>
  <c r="L2196" i="1"/>
  <c r="K2196" i="1"/>
  <c r="J2196" i="1"/>
  <c r="D2196" i="1"/>
  <c r="B2196" i="1"/>
  <c r="L2195" i="1"/>
  <c r="K2195" i="1"/>
  <c r="J2195" i="1"/>
  <c r="D2195" i="1"/>
  <c r="B2195" i="1"/>
  <c r="L2194" i="1"/>
  <c r="K2194" i="1"/>
  <c r="J2194" i="1"/>
  <c r="D2194" i="1"/>
  <c r="B2194" i="1"/>
  <c r="L2193" i="1"/>
  <c r="K2193" i="1"/>
  <c r="J2193" i="1"/>
  <c r="D2193" i="1"/>
  <c r="B2193" i="1"/>
  <c r="L2192" i="1"/>
  <c r="K2192" i="1"/>
  <c r="J2192" i="1"/>
  <c r="D2192" i="1"/>
  <c r="B2192" i="1"/>
  <c r="L2191" i="1"/>
  <c r="K2191" i="1"/>
  <c r="J2191" i="1"/>
  <c r="D2191" i="1"/>
  <c r="B2191" i="1"/>
  <c r="L2190" i="1"/>
  <c r="K2190" i="1"/>
  <c r="J2190" i="1"/>
  <c r="D2190" i="1"/>
  <c r="B2190" i="1"/>
  <c r="L2189" i="1"/>
  <c r="K2189" i="1"/>
  <c r="J2189" i="1"/>
  <c r="D2189" i="1"/>
  <c r="B2189" i="1"/>
  <c r="L2188" i="1"/>
  <c r="K2188" i="1"/>
  <c r="J2188" i="1"/>
  <c r="D2188" i="1"/>
  <c r="B2188" i="1"/>
  <c r="L2187" i="1"/>
  <c r="K2187" i="1"/>
  <c r="J2187" i="1"/>
  <c r="D2187" i="1"/>
  <c r="B2187" i="1"/>
  <c r="L2186" i="1"/>
  <c r="K2186" i="1"/>
  <c r="J2186" i="1"/>
  <c r="D2186" i="1"/>
  <c r="B2186" i="1"/>
  <c r="L2185" i="1"/>
  <c r="K2185" i="1"/>
  <c r="J2185" i="1"/>
  <c r="D2185" i="1"/>
  <c r="B2185" i="1"/>
  <c r="L2184" i="1"/>
  <c r="K2184" i="1"/>
  <c r="J2184" i="1"/>
  <c r="D2184" i="1"/>
  <c r="B2184" i="1"/>
  <c r="L2183" i="1"/>
  <c r="K2183" i="1"/>
  <c r="J2183" i="1"/>
  <c r="D2183" i="1"/>
  <c r="B2183" i="1"/>
  <c r="L2182" i="1"/>
  <c r="K2182" i="1"/>
  <c r="J2182" i="1"/>
  <c r="D2182" i="1"/>
  <c r="B2182" i="1"/>
  <c r="L2181" i="1"/>
  <c r="K2181" i="1"/>
  <c r="J2181" i="1"/>
  <c r="D2181" i="1"/>
  <c r="B2181" i="1"/>
  <c r="L2180" i="1"/>
  <c r="K2180" i="1"/>
  <c r="J2180" i="1"/>
  <c r="D2180" i="1"/>
  <c r="B2180" i="1"/>
  <c r="L2179" i="1"/>
  <c r="K2179" i="1"/>
  <c r="J2179" i="1"/>
  <c r="D2179" i="1"/>
  <c r="B2179" i="1"/>
  <c r="L2178" i="1"/>
  <c r="K2178" i="1"/>
  <c r="J2178" i="1"/>
  <c r="D2178" i="1"/>
  <c r="B2178" i="1"/>
  <c r="L2177" i="1"/>
  <c r="K2177" i="1"/>
  <c r="J2177" i="1"/>
  <c r="D2177" i="1"/>
  <c r="B2177" i="1"/>
  <c r="L2176" i="1"/>
  <c r="K2176" i="1"/>
  <c r="J2176" i="1"/>
  <c r="D2176" i="1"/>
  <c r="B2176" i="1"/>
  <c r="L2175" i="1"/>
  <c r="K2175" i="1"/>
  <c r="J2175" i="1"/>
  <c r="D2175" i="1"/>
  <c r="B2175" i="1"/>
  <c r="L2174" i="1"/>
  <c r="K2174" i="1"/>
  <c r="J2174" i="1"/>
  <c r="D2174" i="1"/>
  <c r="B2174" i="1"/>
  <c r="L2173" i="1"/>
  <c r="K2173" i="1"/>
  <c r="J2173" i="1"/>
  <c r="D2173" i="1"/>
  <c r="B2173" i="1"/>
  <c r="L2172" i="1"/>
  <c r="K2172" i="1"/>
  <c r="J2172" i="1"/>
  <c r="D2172" i="1"/>
  <c r="B2172" i="1"/>
  <c r="L2171" i="1"/>
  <c r="K2171" i="1"/>
  <c r="J2171" i="1"/>
  <c r="D2171" i="1"/>
  <c r="B2171" i="1"/>
  <c r="L2170" i="1"/>
  <c r="K2170" i="1"/>
  <c r="J2170" i="1"/>
  <c r="D2170" i="1"/>
  <c r="B2170" i="1"/>
  <c r="L2169" i="1"/>
  <c r="K2169" i="1"/>
  <c r="J2169" i="1"/>
  <c r="D2169" i="1"/>
  <c r="B2169" i="1"/>
  <c r="L2168" i="1"/>
  <c r="K2168" i="1"/>
  <c r="J2168" i="1"/>
  <c r="D2168" i="1"/>
  <c r="B2168" i="1"/>
  <c r="L2167" i="1"/>
  <c r="K2167" i="1"/>
  <c r="J2167" i="1"/>
  <c r="D2167" i="1"/>
  <c r="B2167" i="1"/>
  <c r="L2166" i="1"/>
  <c r="K2166" i="1"/>
  <c r="J2166" i="1"/>
  <c r="D2166" i="1"/>
  <c r="B2166" i="1"/>
  <c r="L2165" i="1"/>
  <c r="K2165" i="1"/>
  <c r="J2165" i="1"/>
  <c r="D2165" i="1"/>
  <c r="B2165" i="1"/>
  <c r="L2164" i="1"/>
  <c r="K2164" i="1"/>
  <c r="J2164" i="1"/>
  <c r="D2164" i="1"/>
  <c r="B2164" i="1"/>
  <c r="L2163" i="1"/>
  <c r="K2163" i="1"/>
  <c r="J2163" i="1"/>
  <c r="D2163" i="1"/>
  <c r="B2163" i="1"/>
  <c r="L2162" i="1"/>
  <c r="K2162" i="1"/>
  <c r="J2162" i="1"/>
  <c r="D2162" i="1"/>
  <c r="B2162" i="1"/>
  <c r="L2161" i="1"/>
  <c r="K2161" i="1"/>
  <c r="J2161" i="1"/>
  <c r="D2161" i="1"/>
  <c r="B2161" i="1"/>
  <c r="L2160" i="1"/>
  <c r="K2160" i="1"/>
  <c r="J2160" i="1"/>
  <c r="D2160" i="1"/>
  <c r="B2160" i="1"/>
  <c r="L2159" i="1"/>
  <c r="K2159" i="1"/>
  <c r="J2159" i="1"/>
  <c r="D2159" i="1"/>
  <c r="B2159" i="1"/>
  <c r="L2158" i="1"/>
  <c r="K2158" i="1"/>
  <c r="J2158" i="1"/>
  <c r="D2158" i="1"/>
  <c r="B2158" i="1"/>
  <c r="L2157" i="1"/>
  <c r="K2157" i="1"/>
  <c r="J2157" i="1"/>
  <c r="D2157" i="1"/>
  <c r="B2157" i="1"/>
  <c r="L2156" i="1"/>
  <c r="K2156" i="1"/>
  <c r="J2156" i="1"/>
  <c r="D2156" i="1"/>
  <c r="B2156" i="1"/>
  <c r="L2155" i="1"/>
  <c r="K2155" i="1"/>
  <c r="J2155" i="1"/>
  <c r="D2155" i="1"/>
  <c r="B2155" i="1"/>
  <c r="L2154" i="1"/>
  <c r="K2154" i="1"/>
  <c r="J2154" i="1"/>
  <c r="D2154" i="1"/>
  <c r="B2154" i="1"/>
  <c r="L2153" i="1"/>
  <c r="K2153" i="1"/>
  <c r="J2153" i="1"/>
  <c r="D2153" i="1"/>
  <c r="B2153" i="1"/>
  <c r="L2152" i="1"/>
  <c r="K2152" i="1"/>
  <c r="J2152" i="1"/>
  <c r="D2152" i="1"/>
  <c r="B2152" i="1"/>
  <c r="L2151" i="1"/>
  <c r="K2151" i="1"/>
  <c r="J2151" i="1"/>
  <c r="D2151" i="1"/>
  <c r="B2151" i="1"/>
  <c r="L2150" i="1"/>
  <c r="K2150" i="1"/>
  <c r="J2150" i="1"/>
  <c r="D2150" i="1"/>
  <c r="B2150" i="1"/>
  <c r="L2149" i="1"/>
  <c r="K2149" i="1"/>
  <c r="J2149" i="1"/>
  <c r="D2149" i="1"/>
  <c r="B2149" i="1"/>
  <c r="L2148" i="1"/>
  <c r="K2148" i="1"/>
  <c r="J2148" i="1"/>
  <c r="D2148" i="1"/>
  <c r="B2148" i="1"/>
  <c r="L2147" i="1"/>
  <c r="K2147" i="1"/>
  <c r="J2147" i="1"/>
  <c r="D2147" i="1"/>
  <c r="B2147" i="1"/>
  <c r="L2146" i="1"/>
  <c r="K2146" i="1"/>
  <c r="J2146" i="1"/>
  <c r="D2146" i="1"/>
  <c r="B2146" i="1"/>
  <c r="L2145" i="1"/>
  <c r="K2145" i="1"/>
  <c r="J2145" i="1"/>
  <c r="D2145" i="1"/>
  <c r="B2145" i="1"/>
  <c r="L2144" i="1"/>
  <c r="K2144" i="1"/>
  <c r="J2144" i="1"/>
  <c r="D2144" i="1"/>
  <c r="B2144" i="1"/>
  <c r="L2143" i="1"/>
  <c r="K2143" i="1"/>
  <c r="J2143" i="1"/>
  <c r="D2143" i="1"/>
  <c r="B2143" i="1"/>
  <c r="L2142" i="1"/>
  <c r="K2142" i="1"/>
  <c r="J2142" i="1"/>
  <c r="D2142" i="1"/>
  <c r="B2142" i="1"/>
  <c r="L2141" i="1"/>
  <c r="K2141" i="1"/>
  <c r="J2141" i="1"/>
  <c r="D2141" i="1"/>
  <c r="B2141" i="1"/>
  <c r="L2140" i="1"/>
  <c r="K2140" i="1"/>
  <c r="J2140" i="1"/>
  <c r="D2140" i="1"/>
  <c r="B2140" i="1"/>
  <c r="L2139" i="1"/>
  <c r="K2139" i="1"/>
  <c r="J2139" i="1"/>
  <c r="D2139" i="1"/>
  <c r="B2139" i="1"/>
  <c r="L2138" i="1"/>
  <c r="K2138" i="1"/>
  <c r="J2138" i="1"/>
  <c r="D2138" i="1"/>
  <c r="B2138" i="1"/>
  <c r="L2137" i="1"/>
  <c r="K2137" i="1"/>
  <c r="J2137" i="1"/>
  <c r="D2137" i="1"/>
  <c r="B2137" i="1"/>
  <c r="L2136" i="1"/>
  <c r="K2136" i="1"/>
  <c r="J2136" i="1"/>
  <c r="D2136" i="1"/>
  <c r="B2136" i="1"/>
  <c r="L2135" i="1"/>
  <c r="K2135" i="1"/>
  <c r="J2135" i="1"/>
  <c r="D2135" i="1"/>
  <c r="B2135" i="1"/>
  <c r="L2134" i="1"/>
  <c r="K2134" i="1"/>
  <c r="J2134" i="1"/>
  <c r="D2134" i="1"/>
  <c r="B2134" i="1"/>
  <c r="L2133" i="1"/>
  <c r="K2133" i="1"/>
  <c r="J2133" i="1"/>
  <c r="D2133" i="1"/>
  <c r="B2133" i="1"/>
  <c r="L2132" i="1"/>
  <c r="K2132" i="1"/>
  <c r="J2132" i="1"/>
  <c r="D2132" i="1"/>
  <c r="B2132" i="1"/>
  <c r="L2131" i="1"/>
  <c r="K2131" i="1"/>
  <c r="J2131" i="1"/>
  <c r="D2131" i="1"/>
  <c r="B2131" i="1"/>
  <c r="L2130" i="1"/>
  <c r="K2130" i="1"/>
  <c r="J2130" i="1"/>
  <c r="D2130" i="1"/>
  <c r="B2130" i="1"/>
  <c r="L2129" i="1"/>
  <c r="K2129" i="1"/>
  <c r="J2129" i="1"/>
  <c r="D2129" i="1"/>
  <c r="B2129" i="1"/>
  <c r="L2128" i="1"/>
  <c r="K2128" i="1"/>
  <c r="J2128" i="1"/>
  <c r="D2128" i="1"/>
  <c r="B2128" i="1"/>
  <c r="L2127" i="1"/>
  <c r="K2127" i="1"/>
  <c r="J2127" i="1"/>
  <c r="D2127" i="1"/>
  <c r="B2127" i="1"/>
  <c r="L2126" i="1"/>
  <c r="K2126" i="1"/>
  <c r="J2126" i="1"/>
  <c r="D2126" i="1"/>
  <c r="B2126" i="1"/>
  <c r="L2125" i="1"/>
  <c r="K2125" i="1"/>
  <c r="J2125" i="1"/>
  <c r="D2125" i="1"/>
  <c r="B2125" i="1"/>
  <c r="L2124" i="1"/>
  <c r="K2124" i="1"/>
  <c r="J2124" i="1"/>
  <c r="D2124" i="1"/>
  <c r="B2124" i="1"/>
  <c r="L2123" i="1"/>
  <c r="K2123" i="1"/>
  <c r="J2123" i="1"/>
  <c r="D2123" i="1"/>
  <c r="B2123" i="1"/>
  <c r="L2122" i="1"/>
  <c r="K2122" i="1"/>
  <c r="J2122" i="1"/>
  <c r="D2122" i="1"/>
  <c r="B2122" i="1"/>
  <c r="L2121" i="1"/>
  <c r="K2121" i="1"/>
  <c r="J2121" i="1"/>
  <c r="D2121" i="1"/>
  <c r="B2121" i="1"/>
  <c r="L2120" i="1"/>
  <c r="K2120" i="1"/>
  <c r="J2120" i="1"/>
  <c r="D2120" i="1"/>
  <c r="B2120" i="1"/>
  <c r="L2119" i="1"/>
  <c r="K2119" i="1"/>
  <c r="J2119" i="1"/>
  <c r="D2119" i="1"/>
  <c r="B2119" i="1"/>
  <c r="L2118" i="1"/>
  <c r="K2118" i="1"/>
  <c r="J2118" i="1"/>
  <c r="D2118" i="1"/>
  <c r="B2118" i="1"/>
  <c r="L2117" i="1"/>
  <c r="K2117" i="1"/>
  <c r="J2117" i="1"/>
  <c r="D2117" i="1"/>
  <c r="B2117" i="1"/>
  <c r="L2116" i="1"/>
  <c r="K2116" i="1"/>
  <c r="J2116" i="1"/>
  <c r="D2116" i="1"/>
  <c r="B2116" i="1"/>
  <c r="L2115" i="1"/>
  <c r="K2115" i="1"/>
  <c r="J2115" i="1"/>
  <c r="D2115" i="1"/>
  <c r="B2115" i="1"/>
  <c r="L2114" i="1"/>
  <c r="K2114" i="1"/>
  <c r="J2114" i="1"/>
  <c r="D2114" i="1"/>
  <c r="B2114" i="1"/>
  <c r="L2113" i="1"/>
  <c r="K2113" i="1"/>
  <c r="J2113" i="1"/>
  <c r="D2113" i="1"/>
  <c r="B2113" i="1"/>
  <c r="L2112" i="1"/>
  <c r="K2112" i="1"/>
  <c r="J2112" i="1"/>
  <c r="D2112" i="1"/>
  <c r="B2112" i="1"/>
  <c r="L2111" i="1"/>
  <c r="K2111" i="1"/>
  <c r="J2111" i="1"/>
  <c r="D2111" i="1"/>
  <c r="B2111" i="1"/>
  <c r="L2110" i="1"/>
  <c r="K2110" i="1"/>
  <c r="J2110" i="1"/>
  <c r="D2110" i="1"/>
  <c r="B2110" i="1"/>
  <c r="L2109" i="1"/>
  <c r="K2109" i="1"/>
  <c r="J2109" i="1"/>
  <c r="D2109" i="1"/>
  <c r="B2109" i="1"/>
  <c r="L2108" i="1"/>
  <c r="K2108" i="1"/>
  <c r="J2108" i="1"/>
  <c r="D2108" i="1"/>
  <c r="B2108" i="1"/>
  <c r="L2107" i="1"/>
  <c r="K2107" i="1"/>
  <c r="J2107" i="1"/>
  <c r="D2107" i="1"/>
  <c r="B2107" i="1"/>
  <c r="L2106" i="1"/>
  <c r="K2106" i="1"/>
  <c r="J2106" i="1"/>
  <c r="D2106" i="1"/>
  <c r="B2106" i="1"/>
  <c r="L2105" i="1"/>
  <c r="K2105" i="1"/>
  <c r="J2105" i="1"/>
  <c r="D2105" i="1"/>
  <c r="B2105" i="1"/>
  <c r="L2104" i="1"/>
  <c r="K2104" i="1"/>
  <c r="J2104" i="1"/>
  <c r="D2104" i="1"/>
  <c r="B2104" i="1"/>
  <c r="L2103" i="1"/>
  <c r="K2103" i="1"/>
  <c r="J2103" i="1"/>
  <c r="D2103" i="1"/>
  <c r="B2103" i="1"/>
  <c r="L2102" i="1"/>
  <c r="K2102" i="1"/>
  <c r="J2102" i="1"/>
  <c r="D2102" i="1"/>
  <c r="B2102" i="1"/>
  <c r="L2101" i="1"/>
  <c r="K2101" i="1"/>
  <c r="J2101" i="1"/>
  <c r="D2101" i="1"/>
  <c r="B2101" i="1"/>
  <c r="L2100" i="1"/>
  <c r="K2100" i="1"/>
  <c r="J2100" i="1"/>
  <c r="D2100" i="1"/>
  <c r="B2100" i="1"/>
  <c r="L2099" i="1"/>
  <c r="K2099" i="1"/>
  <c r="J2099" i="1"/>
  <c r="D2099" i="1"/>
  <c r="B2099" i="1"/>
  <c r="L2098" i="1"/>
  <c r="K2098" i="1"/>
  <c r="J2098" i="1"/>
  <c r="D2098" i="1"/>
  <c r="B2098" i="1"/>
  <c r="L2097" i="1"/>
  <c r="K2097" i="1"/>
  <c r="J2097" i="1"/>
  <c r="D2097" i="1"/>
  <c r="B2097" i="1"/>
  <c r="L2096" i="1"/>
  <c r="K2096" i="1"/>
  <c r="J2096" i="1"/>
  <c r="D2096" i="1"/>
  <c r="B2096" i="1"/>
  <c r="L2095" i="1"/>
  <c r="K2095" i="1"/>
  <c r="J2095" i="1"/>
  <c r="D2095" i="1"/>
  <c r="B2095" i="1"/>
  <c r="L2094" i="1"/>
  <c r="K2094" i="1"/>
  <c r="J2094" i="1"/>
  <c r="D2094" i="1"/>
  <c r="B2094" i="1"/>
  <c r="L2093" i="1"/>
  <c r="K2093" i="1"/>
  <c r="J2093" i="1"/>
  <c r="D2093" i="1"/>
  <c r="B2093" i="1"/>
  <c r="L2092" i="1"/>
  <c r="K2092" i="1"/>
  <c r="J2092" i="1"/>
  <c r="D2092" i="1"/>
  <c r="B2092" i="1"/>
  <c r="L2091" i="1"/>
  <c r="K2091" i="1"/>
  <c r="J2091" i="1"/>
  <c r="D2091" i="1"/>
  <c r="B2091" i="1"/>
  <c r="L2090" i="1"/>
  <c r="K2090" i="1"/>
  <c r="J2090" i="1"/>
  <c r="D2090" i="1"/>
  <c r="B2090" i="1"/>
  <c r="L2089" i="1"/>
  <c r="K2089" i="1"/>
  <c r="J2089" i="1"/>
  <c r="D2089" i="1"/>
  <c r="B2089" i="1"/>
  <c r="L2088" i="1"/>
  <c r="K2088" i="1"/>
  <c r="J2088" i="1"/>
  <c r="D2088" i="1"/>
  <c r="B2088" i="1"/>
  <c r="L2087" i="1"/>
  <c r="K2087" i="1"/>
  <c r="J2087" i="1"/>
  <c r="D2087" i="1"/>
  <c r="B2087" i="1"/>
  <c r="L2086" i="1"/>
  <c r="K2086" i="1"/>
  <c r="J2086" i="1"/>
  <c r="D2086" i="1"/>
  <c r="B2086" i="1"/>
  <c r="L2085" i="1"/>
  <c r="K2085" i="1"/>
  <c r="J2085" i="1"/>
  <c r="D2085" i="1"/>
  <c r="B2085" i="1"/>
  <c r="L2084" i="1"/>
  <c r="K2084" i="1"/>
  <c r="J2084" i="1"/>
  <c r="D2084" i="1"/>
  <c r="B2084" i="1"/>
  <c r="L2083" i="1"/>
  <c r="K2083" i="1"/>
  <c r="J2083" i="1"/>
  <c r="D2083" i="1"/>
  <c r="B2083" i="1"/>
  <c r="L2082" i="1"/>
  <c r="K2082" i="1"/>
  <c r="J2082" i="1"/>
  <c r="D2082" i="1"/>
  <c r="B2082" i="1"/>
  <c r="L2081" i="1"/>
  <c r="K2081" i="1"/>
  <c r="J2081" i="1"/>
  <c r="D2081" i="1"/>
  <c r="B2081" i="1"/>
  <c r="L2080" i="1"/>
  <c r="K2080" i="1"/>
  <c r="J2080" i="1"/>
  <c r="D2080" i="1"/>
  <c r="B2080" i="1"/>
  <c r="L2079" i="1"/>
  <c r="K2079" i="1"/>
  <c r="J2079" i="1"/>
  <c r="D2079" i="1"/>
  <c r="B2079" i="1"/>
  <c r="L2078" i="1"/>
  <c r="K2078" i="1"/>
  <c r="J2078" i="1"/>
  <c r="D2078" i="1"/>
  <c r="B2078" i="1"/>
  <c r="L2077" i="1"/>
  <c r="K2077" i="1"/>
  <c r="J2077" i="1"/>
  <c r="D2077" i="1"/>
  <c r="B2077" i="1"/>
  <c r="L2076" i="1"/>
  <c r="K2076" i="1"/>
  <c r="J2076" i="1"/>
  <c r="D2076" i="1"/>
  <c r="B2076" i="1"/>
  <c r="L2075" i="1"/>
  <c r="K2075" i="1"/>
  <c r="J2075" i="1"/>
  <c r="D2075" i="1"/>
  <c r="B2075" i="1"/>
  <c r="L2074" i="1"/>
  <c r="K2074" i="1"/>
  <c r="J2074" i="1"/>
  <c r="D2074" i="1"/>
  <c r="B2074" i="1"/>
  <c r="L2073" i="1"/>
  <c r="K2073" i="1"/>
  <c r="J2073" i="1"/>
  <c r="D2073" i="1"/>
  <c r="B2073" i="1"/>
  <c r="L2072" i="1"/>
  <c r="K2072" i="1"/>
  <c r="J2072" i="1"/>
  <c r="D2072" i="1"/>
  <c r="B2072" i="1"/>
  <c r="L2071" i="1"/>
  <c r="K2071" i="1"/>
  <c r="J2071" i="1"/>
  <c r="D2071" i="1"/>
  <c r="B2071" i="1"/>
  <c r="L2070" i="1"/>
  <c r="K2070" i="1"/>
  <c r="J2070" i="1"/>
  <c r="D2070" i="1"/>
  <c r="B2070" i="1"/>
  <c r="L2069" i="1"/>
  <c r="K2069" i="1"/>
  <c r="J2069" i="1"/>
  <c r="D2069" i="1"/>
  <c r="B2069" i="1"/>
  <c r="L2068" i="1"/>
  <c r="K2068" i="1"/>
  <c r="J2068" i="1"/>
  <c r="D2068" i="1"/>
  <c r="B2068" i="1"/>
  <c r="L2067" i="1"/>
  <c r="K2067" i="1"/>
  <c r="J2067" i="1"/>
  <c r="D2067" i="1"/>
  <c r="B2067" i="1"/>
  <c r="L2066" i="1"/>
  <c r="K2066" i="1"/>
  <c r="J2066" i="1"/>
  <c r="D2066" i="1"/>
  <c r="B2066" i="1"/>
  <c r="L2065" i="1"/>
  <c r="K2065" i="1"/>
  <c r="J2065" i="1"/>
  <c r="D2065" i="1"/>
  <c r="B2065" i="1"/>
  <c r="L2064" i="1"/>
  <c r="K2064" i="1"/>
  <c r="J2064" i="1"/>
  <c r="D2064" i="1"/>
  <c r="B2064" i="1"/>
  <c r="L2063" i="1"/>
  <c r="K2063" i="1"/>
  <c r="J2063" i="1"/>
  <c r="D2063" i="1"/>
  <c r="B2063" i="1"/>
  <c r="L2062" i="1"/>
  <c r="K2062" i="1"/>
  <c r="J2062" i="1"/>
  <c r="D2062" i="1"/>
  <c r="B2062" i="1"/>
  <c r="L2061" i="1"/>
  <c r="K2061" i="1"/>
  <c r="J2061" i="1"/>
  <c r="D2061" i="1"/>
  <c r="B2061" i="1"/>
  <c r="L2060" i="1"/>
  <c r="K2060" i="1"/>
  <c r="J2060" i="1"/>
  <c r="D2060" i="1"/>
  <c r="B2060" i="1"/>
  <c r="L2059" i="1"/>
  <c r="K2059" i="1"/>
  <c r="J2059" i="1"/>
  <c r="D2059" i="1"/>
  <c r="B2059" i="1"/>
  <c r="L2058" i="1"/>
  <c r="K2058" i="1"/>
  <c r="J2058" i="1"/>
  <c r="D2058" i="1"/>
  <c r="B2058" i="1"/>
  <c r="L2057" i="1"/>
  <c r="K2057" i="1"/>
  <c r="J2057" i="1"/>
  <c r="D2057" i="1"/>
  <c r="B2057" i="1"/>
  <c r="L2056" i="1"/>
  <c r="K2056" i="1"/>
  <c r="J2056" i="1"/>
  <c r="D2056" i="1"/>
  <c r="B2056" i="1"/>
  <c r="L2055" i="1"/>
  <c r="K2055" i="1"/>
  <c r="J2055" i="1"/>
  <c r="D2055" i="1"/>
  <c r="B2055" i="1"/>
  <c r="L2054" i="1"/>
  <c r="K2054" i="1"/>
  <c r="J2054" i="1"/>
  <c r="D2054" i="1"/>
  <c r="B2054" i="1"/>
  <c r="L2053" i="1"/>
  <c r="K2053" i="1"/>
  <c r="J2053" i="1"/>
  <c r="D2053" i="1"/>
  <c r="B2053" i="1"/>
  <c r="L2052" i="1"/>
  <c r="K2052" i="1"/>
  <c r="J2052" i="1"/>
  <c r="D2052" i="1"/>
  <c r="B2052" i="1"/>
  <c r="L2051" i="1"/>
  <c r="K2051" i="1"/>
  <c r="J2051" i="1"/>
  <c r="D2051" i="1"/>
  <c r="B2051" i="1"/>
  <c r="L2050" i="1"/>
  <c r="K2050" i="1"/>
  <c r="J2050" i="1"/>
  <c r="D2050" i="1"/>
  <c r="B2050" i="1"/>
  <c r="L2049" i="1"/>
  <c r="K2049" i="1"/>
  <c r="J2049" i="1"/>
  <c r="D2049" i="1"/>
  <c r="B2049" i="1"/>
  <c r="L2048" i="1"/>
  <c r="K2048" i="1"/>
  <c r="J2048" i="1"/>
  <c r="D2048" i="1"/>
  <c r="B2048" i="1"/>
  <c r="L2047" i="1"/>
  <c r="K2047" i="1"/>
  <c r="J2047" i="1"/>
  <c r="D2047" i="1"/>
  <c r="B2047" i="1"/>
  <c r="L2046" i="1"/>
  <c r="K2046" i="1"/>
  <c r="J2046" i="1"/>
  <c r="D2046" i="1"/>
  <c r="B2046" i="1"/>
  <c r="L2045" i="1"/>
  <c r="K2045" i="1"/>
  <c r="J2045" i="1"/>
  <c r="D2045" i="1"/>
  <c r="B2045" i="1"/>
  <c r="L2044" i="1"/>
  <c r="K2044" i="1"/>
  <c r="J2044" i="1"/>
  <c r="D2044" i="1"/>
  <c r="B2044" i="1"/>
  <c r="L2043" i="1"/>
  <c r="K2043" i="1"/>
  <c r="J2043" i="1"/>
  <c r="D2043" i="1"/>
  <c r="B2043" i="1"/>
  <c r="L2042" i="1"/>
  <c r="K2042" i="1"/>
  <c r="J2042" i="1"/>
  <c r="D2042" i="1"/>
  <c r="B2042" i="1"/>
  <c r="L2041" i="1"/>
  <c r="K2041" i="1"/>
  <c r="J2041" i="1"/>
  <c r="D2041" i="1"/>
  <c r="B2041" i="1"/>
  <c r="L2040" i="1"/>
  <c r="K2040" i="1"/>
  <c r="J2040" i="1"/>
  <c r="D2040" i="1"/>
  <c r="B2040" i="1"/>
  <c r="L2039" i="1"/>
  <c r="K2039" i="1"/>
  <c r="J2039" i="1"/>
  <c r="D2039" i="1"/>
  <c r="B2039" i="1"/>
  <c r="L2038" i="1"/>
  <c r="K2038" i="1"/>
  <c r="J2038" i="1"/>
  <c r="D2038" i="1"/>
  <c r="B2038" i="1"/>
  <c r="L2037" i="1"/>
  <c r="K2037" i="1"/>
  <c r="J2037" i="1"/>
  <c r="D2037" i="1"/>
  <c r="B2037" i="1"/>
  <c r="L2036" i="1"/>
  <c r="K2036" i="1"/>
  <c r="J2036" i="1"/>
  <c r="D2036" i="1"/>
  <c r="B2036" i="1"/>
  <c r="L2035" i="1"/>
  <c r="K2035" i="1"/>
  <c r="J2035" i="1"/>
  <c r="D2035" i="1"/>
  <c r="B2035" i="1"/>
  <c r="L2034" i="1"/>
  <c r="K2034" i="1"/>
  <c r="J2034" i="1"/>
  <c r="D2034" i="1"/>
  <c r="B2034" i="1"/>
  <c r="L2033" i="1"/>
  <c r="K2033" i="1"/>
  <c r="J2033" i="1"/>
  <c r="D2033" i="1"/>
  <c r="B2033" i="1"/>
  <c r="L2032" i="1"/>
  <c r="K2032" i="1"/>
  <c r="J2032" i="1"/>
  <c r="D2032" i="1"/>
  <c r="B2032" i="1"/>
  <c r="L2031" i="1"/>
  <c r="K2031" i="1"/>
  <c r="J2031" i="1"/>
  <c r="D2031" i="1"/>
  <c r="B2031" i="1"/>
  <c r="L2030" i="1"/>
  <c r="K2030" i="1"/>
  <c r="J2030" i="1"/>
  <c r="D2030" i="1"/>
  <c r="B2030" i="1"/>
  <c r="L2029" i="1"/>
  <c r="K2029" i="1"/>
  <c r="J2029" i="1"/>
  <c r="D2029" i="1"/>
  <c r="B2029" i="1"/>
  <c r="L2028" i="1"/>
  <c r="K2028" i="1"/>
  <c r="J2028" i="1"/>
  <c r="D2028" i="1"/>
  <c r="B2028" i="1"/>
  <c r="L2027" i="1"/>
  <c r="K2027" i="1"/>
  <c r="J2027" i="1"/>
  <c r="D2027" i="1"/>
  <c r="B2027" i="1"/>
  <c r="L2026" i="1"/>
  <c r="K2026" i="1"/>
  <c r="J2026" i="1"/>
  <c r="D2026" i="1"/>
  <c r="B2026" i="1"/>
  <c r="L2025" i="1"/>
  <c r="K2025" i="1"/>
  <c r="J2025" i="1"/>
  <c r="D2025" i="1"/>
  <c r="B2025" i="1"/>
  <c r="L2024" i="1"/>
  <c r="K2024" i="1"/>
  <c r="J2024" i="1"/>
  <c r="D2024" i="1"/>
  <c r="B2024" i="1"/>
  <c r="L2023" i="1"/>
  <c r="K2023" i="1"/>
  <c r="J2023" i="1"/>
  <c r="D2023" i="1"/>
  <c r="B2023" i="1"/>
  <c r="L2022" i="1"/>
  <c r="K2022" i="1"/>
  <c r="J2022" i="1"/>
  <c r="D2022" i="1"/>
  <c r="B2022" i="1"/>
  <c r="L2021" i="1"/>
  <c r="K2021" i="1"/>
  <c r="J2021" i="1"/>
  <c r="D2021" i="1"/>
  <c r="B2021" i="1"/>
  <c r="L2020" i="1"/>
  <c r="K2020" i="1"/>
  <c r="J2020" i="1"/>
  <c r="D2020" i="1"/>
  <c r="B2020" i="1"/>
  <c r="L2019" i="1"/>
  <c r="K2019" i="1"/>
  <c r="J2019" i="1"/>
  <c r="D2019" i="1"/>
  <c r="B2019" i="1"/>
  <c r="L2018" i="1"/>
  <c r="K2018" i="1"/>
  <c r="J2018" i="1"/>
  <c r="D2018" i="1"/>
  <c r="B2018" i="1"/>
  <c r="L2017" i="1"/>
  <c r="K2017" i="1"/>
  <c r="J2017" i="1"/>
  <c r="D2017" i="1"/>
  <c r="B2017" i="1"/>
  <c r="L2016" i="1"/>
  <c r="K2016" i="1"/>
  <c r="J2016" i="1"/>
  <c r="D2016" i="1"/>
  <c r="B2016" i="1"/>
  <c r="L2015" i="1"/>
  <c r="K2015" i="1"/>
  <c r="J2015" i="1"/>
  <c r="D2015" i="1"/>
  <c r="B2015" i="1"/>
  <c r="L2014" i="1"/>
  <c r="K2014" i="1"/>
  <c r="J2014" i="1"/>
  <c r="D2014" i="1"/>
  <c r="B2014" i="1"/>
  <c r="L2013" i="1"/>
  <c r="K2013" i="1"/>
  <c r="J2013" i="1"/>
  <c r="D2013" i="1"/>
  <c r="B2013" i="1"/>
  <c r="L2012" i="1"/>
  <c r="K2012" i="1"/>
  <c r="J2012" i="1"/>
  <c r="D2012" i="1"/>
  <c r="B2012" i="1"/>
  <c r="L2011" i="1"/>
  <c r="K2011" i="1"/>
  <c r="J2011" i="1"/>
  <c r="D2011" i="1"/>
  <c r="B2011" i="1"/>
  <c r="L2010" i="1"/>
  <c r="K2010" i="1"/>
  <c r="J2010" i="1"/>
  <c r="D2010" i="1"/>
  <c r="B2010" i="1"/>
  <c r="L2009" i="1"/>
  <c r="K2009" i="1"/>
  <c r="J2009" i="1"/>
  <c r="D2009" i="1"/>
  <c r="B2009" i="1"/>
  <c r="L2008" i="1"/>
  <c r="K2008" i="1"/>
  <c r="J2008" i="1"/>
  <c r="D2008" i="1"/>
  <c r="B2008" i="1"/>
  <c r="L2007" i="1"/>
  <c r="K2007" i="1"/>
  <c r="J2007" i="1"/>
  <c r="D2007" i="1"/>
  <c r="B2007" i="1"/>
  <c r="L2006" i="1"/>
  <c r="K2006" i="1"/>
  <c r="J2006" i="1"/>
  <c r="D2006" i="1"/>
  <c r="B2006" i="1"/>
  <c r="L2005" i="1"/>
  <c r="K2005" i="1"/>
  <c r="J2005" i="1"/>
  <c r="D2005" i="1"/>
  <c r="B2005" i="1"/>
  <c r="L2004" i="1"/>
  <c r="K2004" i="1"/>
  <c r="J2004" i="1"/>
  <c r="D2004" i="1"/>
  <c r="B2004" i="1"/>
  <c r="L2003" i="1"/>
  <c r="K2003" i="1"/>
  <c r="J2003" i="1"/>
  <c r="D2003" i="1"/>
  <c r="B2003" i="1"/>
  <c r="L2002" i="1"/>
  <c r="K2002" i="1"/>
  <c r="J2002" i="1"/>
  <c r="D2002" i="1"/>
  <c r="B2002" i="1"/>
  <c r="L2001" i="1"/>
  <c r="K2001" i="1"/>
  <c r="J2001" i="1"/>
  <c r="D2001" i="1"/>
  <c r="B2001" i="1"/>
  <c r="L2000" i="1"/>
  <c r="K2000" i="1"/>
  <c r="J2000" i="1"/>
  <c r="D2000" i="1"/>
  <c r="B2000" i="1"/>
  <c r="L1999" i="1"/>
  <c r="K1999" i="1"/>
  <c r="J1999" i="1"/>
  <c r="D1999" i="1"/>
  <c r="B1999" i="1"/>
  <c r="L1998" i="1"/>
  <c r="K1998" i="1"/>
  <c r="J1998" i="1"/>
  <c r="D1998" i="1"/>
  <c r="B1998" i="1"/>
  <c r="L1997" i="1"/>
  <c r="K1997" i="1"/>
  <c r="J1997" i="1"/>
  <c r="D1997" i="1"/>
  <c r="B1997" i="1"/>
  <c r="L1996" i="1"/>
  <c r="K1996" i="1"/>
  <c r="J1996" i="1"/>
  <c r="D1996" i="1"/>
  <c r="B1996" i="1"/>
  <c r="L1995" i="1"/>
  <c r="K1995" i="1"/>
  <c r="J1995" i="1"/>
  <c r="D1995" i="1"/>
  <c r="B1995" i="1"/>
  <c r="L1994" i="1"/>
  <c r="K1994" i="1"/>
  <c r="J1994" i="1"/>
  <c r="D1994" i="1"/>
  <c r="B1994" i="1"/>
  <c r="L1993" i="1"/>
  <c r="K1993" i="1"/>
  <c r="J1993" i="1"/>
  <c r="D1993" i="1"/>
  <c r="B1993" i="1"/>
  <c r="L1992" i="1"/>
  <c r="K1992" i="1"/>
  <c r="J1992" i="1"/>
  <c r="D1992" i="1"/>
  <c r="B1992" i="1"/>
  <c r="L1991" i="1"/>
  <c r="K1991" i="1"/>
  <c r="J1991" i="1"/>
  <c r="D1991" i="1"/>
  <c r="B1991" i="1"/>
  <c r="L1990" i="1"/>
  <c r="K1990" i="1"/>
  <c r="J1990" i="1"/>
  <c r="D1990" i="1"/>
  <c r="B1990" i="1"/>
  <c r="L1989" i="1"/>
  <c r="K1989" i="1"/>
  <c r="J1989" i="1"/>
  <c r="D1989" i="1"/>
  <c r="B1989" i="1"/>
  <c r="L1988" i="1"/>
  <c r="K1988" i="1"/>
  <c r="J1988" i="1"/>
  <c r="D1988" i="1"/>
  <c r="B1988" i="1"/>
  <c r="L1987" i="1"/>
  <c r="K1987" i="1"/>
  <c r="J1987" i="1"/>
  <c r="D1987" i="1"/>
  <c r="B1987" i="1"/>
  <c r="L1986" i="1"/>
  <c r="K1986" i="1"/>
  <c r="J1986" i="1"/>
  <c r="D1986" i="1"/>
  <c r="B1986" i="1"/>
  <c r="L1985" i="1"/>
  <c r="K1985" i="1"/>
  <c r="J1985" i="1"/>
  <c r="D1985" i="1"/>
  <c r="B1985" i="1"/>
  <c r="L1984" i="1"/>
  <c r="K1984" i="1"/>
  <c r="J1984" i="1"/>
  <c r="D1984" i="1"/>
  <c r="B1984" i="1"/>
  <c r="L1983" i="1"/>
  <c r="K1983" i="1"/>
  <c r="J1983" i="1"/>
  <c r="D1983" i="1"/>
  <c r="B1983" i="1"/>
  <c r="L1982" i="1"/>
  <c r="K1982" i="1"/>
  <c r="J1982" i="1"/>
  <c r="D1982" i="1"/>
  <c r="B1982" i="1"/>
  <c r="L1981" i="1"/>
  <c r="K1981" i="1"/>
  <c r="J1981" i="1"/>
  <c r="D1981" i="1"/>
  <c r="B1981" i="1"/>
  <c r="L1980" i="1"/>
  <c r="K1980" i="1"/>
  <c r="J1980" i="1"/>
  <c r="D1980" i="1"/>
  <c r="B1980" i="1"/>
  <c r="L1979" i="1"/>
  <c r="K1979" i="1"/>
  <c r="J1979" i="1"/>
  <c r="D1979" i="1"/>
  <c r="B1979" i="1"/>
  <c r="L1978" i="1"/>
  <c r="K1978" i="1"/>
  <c r="J1978" i="1"/>
  <c r="D1978" i="1"/>
  <c r="B1978" i="1"/>
  <c r="L1977" i="1"/>
  <c r="K1977" i="1"/>
  <c r="J1977" i="1"/>
  <c r="D1977" i="1"/>
  <c r="B1977" i="1"/>
  <c r="L1976" i="1"/>
  <c r="K1976" i="1"/>
  <c r="J1976" i="1"/>
  <c r="D1976" i="1"/>
  <c r="B1976" i="1"/>
  <c r="L1975" i="1"/>
  <c r="K1975" i="1"/>
  <c r="J1975" i="1"/>
  <c r="D1975" i="1"/>
  <c r="B1975" i="1"/>
  <c r="L1974" i="1"/>
  <c r="K1974" i="1"/>
  <c r="J1974" i="1"/>
  <c r="D1974" i="1"/>
  <c r="B1974" i="1"/>
  <c r="L1973" i="1"/>
  <c r="K1973" i="1"/>
  <c r="J1973" i="1"/>
  <c r="D1973" i="1"/>
  <c r="B1973" i="1"/>
  <c r="L1972" i="1"/>
  <c r="K1972" i="1"/>
  <c r="J1972" i="1"/>
  <c r="D1972" i="1"/>
  <c r="B1972" i="1"/>
  <c r="L1971" i="1"/>
  <c r="K1971" i="1"/>
  <c r="J1971" i="1"/>
  <c r="D1971" i="1"/>
  <c r="B1971" i="1"/>
  <c r="L1970" i="1"/>
  <c r="K1970" i="1"/>
  <c r="J1970" i="1"/>
  <c r="D1970" i="1"/>
  <c r="B1970" i="1"/>
  <c r="L1969" i="1"/>
  <c r="K1969" i="1"/>
  <c r="J1969" i="1"/>
  <c r="D1969" i="1"/>
  <c r="B1969" i="1"/>
  <c r="L1968" i="1"/>
  <c r="K1968" i="1"/>
  <c r="J1968" i="1"/>
  <c r="D1968" i="1"/>
  <c r="B1968" i="1"/>
  <c r="L1967" i="1"/>
  <c r="K1967" i="1"/>
  <c r="J1967" i="1"/>
  <c r="D1967" i="1"/>
  <c r="B1967" i="1"/>
  <c r="L1966" i="1"/>
  <c r="K1966" i="1"/>
  <c r="J1966" i="1"/>
  <c r="D1966" i="1"/>
  <c r="B1966" i="1"/>
  <c r="L1965" i="1"/>
  <c r="K1965" i="1"/>
  <c r="J1965" i="1"/>
  <c r="D1965" i="1"/>
  <c r="B1965" i="1"/>
  <c r="L1964" i="1"/>
  <c r="K1964" i="1"/>
  <c r="J1964" i="1"/>
  <c r="D1964" i="1"/>
  <c r="B1964" i="1"/>
  <c r="L1963" i="1"/>
  <c r="K1963" i="1"/>
  <c r="J1963" i="1"/>
  <c r="D1963" i="1"/>
  <c r="B1963" i="1"/>
  <c r="L1962" i="1"/>
  <c r="K1962" i="1"/>
  <c r="J1962" i="1"/>
  <c r="D1962" i="1"/>
  <c r="B1962" i="1"/>
  <c r="L1961" i="1"/>
  <c r="K1961" i="1"/>
  <c r="J1961" i="1"/>
  <c r="D1961" i="1"/>
  <c r="B1961" i="1"/>
  <c r="L1960" i="1"/>
  <c r="K1960" i="1"/>
  <c r="J1960" i="1"/>
  <c r="D1960" i="1"/>
  <c r="B1960" i="1"/>
  <c r="L1959" i="1"/>
  <c r="K1959" i="1"/>
  <c r="J1959" i="1"/>
  <c r="D1959" i="1"/>
  <c r="B1959" i="1"/>
  <c r="L1958" i="1"/>
  <c r="K1958" i="1"/>
  <c r="J1958" i="1"/>
  <c r="D1958" i="1"/>
  <c r="B1958" i="1"/>
  <c r="L1957" i="1"/>
  <c r="K1957" i="1"/>
  <c r="J1957" i="1"/>
  <c r="D1957" i="1"/>
  <c r="B1957" i="1"/>
  <c r="L1956" i="1"/>
  <c r="K1956" i="1"/>
  <c r="J1956" i="1"/>
  <c r="D1956" i="1"/>
  <c r="B1956" i="1"/>
  <c r="L1955" i="1"/>
  <c r="K1955" i="1"/>
  <c r="J1955" i="1"/>
  <c r="D1955" i="1"/>
  <c r="B1955" i="1"/>
  <c r="L1954" i="1"/>
  <c r="K1954" i="1"/>
  <c r="J1954" i="1"/>
  <c r="D1954" i="1"/>
  <c r="B1954" i="1"/>
  <c r="L1953" i="1"/>
  <c r="K1953" i="1"/>
  <c r="J1953" i="1"/>
  <c r="D1953" i="1"/>
  <c r="B1953" i="1"/>
  <c r="L1952" i="1"/>
  <c r="K1952" i="1"/>
  <c r="J1952" i="1"/>
  <c r="D1952" i="1"/>
  <c r="B1952" i="1"/>
  <c r="L1951" i="1"/>
  <c r="K1951" i="1"/>
  <c r="J1951" i="1"/>
  <c r="D1951" i="1"/>
  <c r="B1951" i="1"/>
  <c r="L1950" i="1"/>
  <c r="K1950" i="1"/>
  <c r="J1950" i="1"/>
  <c r="D1950" i="1"/>
  <c r="B1950" i="1"/>
  <c r="L1949" i="1"/>
  <c r="K1949" i="1"/>
  <c r="J1949" i="1"/>
  <c r="D1949" i="1"/>
  <c r="B1949" i="1"/>
  <c r="L1948" i="1"/>
  <c r="K1948" i="1"/>
  <c r="J1948" i="1"/>
  <c r="D1948" i="1"/>
  <c r="B1948" i="1"/>
  <c r="L1947" i="1"/>
  <c r="K1947" i="1"/>
  <c r="J1947" i="1"/>
  <c r="D1947" i="1"/>
  <c r="B1947" i="1"/>
  <c r="L1946" i="1"/>
  <c r="K1946" i="1"/>
  <c r="J1946" i="1"/>
  <c r="D1946" i="1"/>
  <c r="B1946" i="1"/>
  <c r="L1945" i="1"/>
  <c r="K1945" i="1"/>
  <c r="J1945" i="1"/>
  <c r="D1945" i="1"/>
  <c r="B1945" i="1"/>
  <c r="L1944" i="1"/>
  <c r="K1944" i="1"/>
  <c r="J1944" i="1"/>
  <c r="D1944" i="1"/>
  <c r="B1944" i="1"/>
  <c r="L1943" i="1"/>
  <c r="K1943" i="1"/>
  <c r="J1943" i="1"/>
  <c r="D1943" i="1"/>
  <c r="B1943" i="1"/>
  <c r="L1942" i="1"/>
  <c r="K1942" i="1"/>
  <c r="J1942" i="1"/>
  <c r="D1942" i="1"/>
  <c r="B1942" i="1"/>
  <c r="L1941" i="1"/>
  <c r="K1941" i="1"/>
  <c r="J1941" i="1"/>
  <c r="D1941" i="1"/>
  <c r="B1941" i="1"/>
  <c r="L1940" i="1"/>
  <c r="K1940" i="1"/>
  <c r="J1940" i="1"/>
  <c r="D1940" i="1"/>
  <c r="B1940" i="1"/>
  <c r="L1939" i="1"/>
  <c r="K1939" i="1"/>
  <c r="J1939" i="1"/>
  <c r="D1939" i="1"/>
  <c r="B1939" i="1"/>
  <c r="L1938" i="1"/>
  <c r="K1938" i="1"/>
  <c r="J1938" i="1"/>
  <c r="D1938" i="1"/>
  <c r="B1938" i="1"/>
  <c r="L1937" i="1"/>
  <c r="K1937" i="1"/>
  <c r="J1937" i="1"/>
  <c r="D1937" i="1"/>
  <c r="B1937" i="1"/>
  <c r="L1936" i="1"/>
  <c r="K1936" i="1"/>
  <c r="J1936" i="1"/>
  <c r="D1936" i="1"/>
  <c r="B1936" i="1"/>
  <c r="L1935" i="1"/>
  <c r="K1935" i="1"/>
  <c r="J1935" i="1"/>
  <c r="D1935" i="1"/>
  <c r="B1935" i="1"/>
  <c r="L1934" i="1"/>
  <c r="K1934" i="1"/>
  <c r="J1934" i="1"/>
  <c r="D1934" i="1"/>
  <c r="B1934" i="1"/>
  <c r="L1933" i="1"/>
  <c r="K1933" i="1"/>
  <c r="J1933" i="1"/>
  <c r="D1933" i="1"/>
  <c r="B1933" i="1"/>
  <c r="L1932" i="1"/>
  <c r="K1932" i="1"/>
  <c r="J1932" i="1"/>
  <c r="D1932" i="1"/>
  <c r="B1932" i="1"/>
  <c r="L1931" i="1"/>
  <c r="K1931" i="1"/>
  <c r="J1931" i="1"/>
  <c r="D1931" i="1"/>
  <c r="B1931" i="1"/>
  <c r="L1930" i="1"/>
  <c r="K1930" i="1"/>
  <c r="J1930" i="1"/>
  <c r="D1930" i="1"/>
  <c r="B1930" i="1"/>
  <c r="L1929" i="1"/>
  <c r="K1929" i="1"/>
  <c r="J1929" i="1"/>
  <c r="D1929" i="1"/>
  <c r="B1929" i="1"/>
  <c r="L1928" i="1"/>
  <c r="K1928" i="1"/>
  <c r="J1928" i="1"/>
  <c r="D1928" i="1"/>
  <c r="B1928" i="1"/>
  <c r="L1927" i="1"/>
  <c r="K1927" i="1"/>
  <c r="J1927" i="1"/>
  <c r="D1927" i="1"/>
  <c r="B1927" i="1"/>
  <c r="L1926" i="1"/>
  <c r="K1926" i="1"/>
  <c r="J1926" i="1"/>
  <c r="D1926" i="1"/>
  <c r="B1926" i="1"/>
  <c r="L1925" i="1"/>
  <c r="K1925" i="1"/>
  <c r="J1925" i="1"/>
  <c r="D1925" i="1"/>
  <c r="B1925" i="1"/>
  <c r="L1924" i="1"/>
  <c r="K1924" i="1"/>
  <c r="J1924" i="1"/>
  <c r="D1924" i="1"/>
  <c r="B1924" i="1"/>
  <c r="L1923" i="1"/>
  <c r="K1923" i="1"/>
  <c r="J1923" i="1"/>
  <c r="D1923" i="1"/>
  <c r="B1923" i="1"/>
  <c r="L1922" i="1"/>
  <c r="K1922" i="1"/>
  <c r="J1922" i="1"/>
  <c r="D1922" i="1"/>
  <c r="B1922" i="1"/>
  <c r="L1921" i="1"/>
  <c r="K1921" i="1"/>
  <c r="J1921" i="1"/>
  <c r="D1921" i="1"/>
  <c r="B1921" i="1"/>
  <c r="L1920" i="1"/>
  <c r="K1920" i="1"/>
  <c r="J1920" i="1"/>
  <c r="D1920" i="1"/>
  <c r="B1920" i="1"/>
  <c r="L1919" i="1"/>
  <c r="K1919" i="1"/>
  <c r="J1919" i="1"/>
  <c r="D1919" i="1"/>
  <c r="B1919" i="1"/>
  <c r="L1918" i="1"/>
  <c r="K1918" i="1"/>
  <c r="J1918" i="1"/>
  <c r="D1918" i="1"/>
  <c r="B1918" i="1"/>
  <c r="L1917" i="1"/>
  <c r="K1917" i="1"/>
  <c r="J1917" i="1"/>
  <c r="D1917" i="1"/>
  <c r="B1917" i="1"/>
  <c r="L1916" i="1"/>
  <c r="K1916" i="1"/>
  <c r="J1916" i="1"/>
  <c r="D1916" i="1"/>
  <c r="B1916" i="1"/>
  <c r="L1915" i="1"/>
  <c r="K1915" i="1"/>
  <c r="J1915" i="1"/>
  <c r="D1915" i="1"/>
  <c r="B1915" i="1"/>
  <c r="L1914" i="1"/>
  <c r="K1914" i="1"/>
  <c r="J1914" i="1"/>
  <c r="D1914" i="1"/>
  <c r="B1914" i="1"/>
  <c r="L1913" i="1"/>
  <c r="K1913" i="1"/>
  <c r="J1913" i="1"/>
  <c r="D1913" i="1"/>
  <c r="B1913" i="1"/>
  <c r="L1912" i="1"/>
  <c r="K1912" i="1"/>
  <c r="J1912" i="1"/>
  <c r="D1912" i="1"/>
  <c r="B1912" i="1"/>
  <c r="L1911" i="1"/>
  <c r="K1911" i="1"/>
  <c r="J1911" i="1"/>
  <c r="D1911" i="1"/>
  <c r="B1911" i="1"/>
  <c r="L1910" i="1"/>
  <c r="K1910" i="1"/>
  <c r="J1910" i="1"/>
  <c r="D1910" i="1"/>
  <c r="B1910" i="1"/>
  <c r="L1909" i="1"/>
  <c r="K1909" i="1"/>
  <c r="J1909" i="1"/>
  <c r="D1909" i="1"/>
  <c r="B1909" i="1"/>
  <c r="L1908" i="1"/>
  <c r="K1908" i="1"/>
  <c r="J1908" i="1"/>
  <c r="D1908" i="1"/>
  <c r="B1908" i="1"/>
  <c r="L1907" i="1"/>
  <c r="K1907" i="1"/>
  <c r="J1907" i="1"/>
  <c r="D1907" i="1"/>
  <c r="B1907" i="1"/>
  <c r="L1906" i="1"/>
  <c r="K1906" i="1"/>
  <c r="J1906" i="1"/>
  <c r="D1906" i="1"/>
  <c r="B1906" i="1"/>
  <c r="L1905" i="1"/>
  <c r="K1905" i="1"/>
  <c r="J1905" i="1"/>
  <c r="D1905" i="1"/>
  <c r="B1905" i="1"/>
  <c r="L1904" i="1"/>
  <c r="K1904" i="1"/>
  <c r="J1904" i="1"/>
  <c r="D1904" i="1"/>
  <c r="B1904" i="1"/>
  <c r="L1903" i="1"/>
  <c r="K1903" i="1"/>
  <c r="J1903" i="1"/>
  <c r="D1903" i="1"/>
  <c r="B1903" i="1"/>
  <c r="L1902" i="1"/>
  <c r="K1902" i="1"/>
  <c r="J1902" i="1"/>
  <c r="D1902" i="1"/>
  <c r="B1902" i="1"/>
  <c r="L1901" i="1"/>
  <c r="K1901" i="1"/>
  <c r="J1901" i="1"/>
  <c r="D1901" i="1"/>
  <c r="B1901" i="1"/>
  <c r="L1900" i="1"/>
  <c r="K1900" i="1"/>
  <c r="J1900" i="1"/>
  <c r="D1900" i="1"/>
  <c r="B1900" i="1"/>
  <c r="L1899" i="1"/>
  <c r="K1899" i="1"/>
  <c r="J1899" i="1"/>
  <c r="D1899" i="1"/>
  <c r="B1899" i="1"/>
  <c r="L1898" i="1"/>
  <c r="K1898" i="1"/>
  <c r="J1898" i="1"/>
  <c r="D1898" i="1"/>
  <c r="B1898" i="1"/>
  <c r="L1897" i="1"/>
  <c r="K1897" i="1"/>
  <c r="J1897" i="1"/>
  <c r="D1897" i="1"/>
  <c r="B1897" i="1"/>
  <c r="L1896" i="1"/>
  <c r="K1896" i="1"/>
  <c r="J1896" i="1"/>
  <c r="D1896" i="1"/>
  <c r="B1896" i="1"/>
  <c r="L1895" i="1"/>
  <c r="K1895" i="1"/>
  <c r="J1895" i="1"/>
  <c r="D1895" i="1"/>
  <c r="B1895" i="1"/>
  <c r="L1894" i="1"/>
  <c r="K1894" i="1"/>
  <c r="J1894" i="1"/>
  <c r="D1894" i="1"/>
  <c r="B1894" i="1"/>
  <c r="L1893" i="1"/>
  <c r="K1893" i="1"/>
  <c r="J1893" i="1"/>
  <c r="D1893" i="1"/>
  <c r="B1893" i="1"/>
  <c r="L1892" i="1"/>
  <c r="K1892" i="1"/>
  <c r="J1892" i="1"/>
  <c r="D1892" i="1"/>
  <c r="B1892" i="1"/>
  <c r="L1891" i="1"/>
  <c r="K1891" i="1"/>
  <c r="J1891" i="1"/>
  <c r="D1891" i="1"/>
  <c r="B1891" i="1"/>
  <c r="L1890" i="1"/>
  <c r="K1890" i="1"/>
  <c r="J1890" i="1"/>
  <c r="D1890" i="1"/>
  <c r="B1890" i="1"/>
  <c r="L1889" i="1"/>
  <c r="K1889" i="1"/>
  <c r="J1889" i="1"/>
  <c r="D1889" i="1"/>
  <c r="B1889" i="1"/>
  <c r="L1888" i="1"/>
  <c r="K1888" i="1"/>
  <c r="J1888" i="1"/>
  <c r="D1888" i="1"/>
  <c r="B1888" i="1"/>
  <c r="L1887" i="1"/>
  <c r="K1887" i="1"/>
  <c r="J1887" i="1"/>
  <c r="D1887" i="1"/>
  <c r="B1887" i="1"/>
  <c r="L1886" i="1"/>
  <c r="K1886" i="1"/>
  <c r="J1886" i="1"/>
  <c r="D1886" i="1"/>
  <c r="B1886" i="1"/>
  <c r="L1885" i="1"/>
  <c r="K1885" i="1"/>
  <c r="J1885" i="1"/>
  <c r="D1885" i="1"/>
  <c r="B1885" i="1"/>
  <c r="L1884" i="1"/>
  <c r="K1884" i="1"/>
  <c r="J1884" i="1"/>
  <c r="D1884" i="1"/>
  <c r="B1884" i="1"/>
  <c r="L1883" i="1"/>
  <c r="K1883" i="1"/>
  <c r="J1883" i="1"/>
  <c r="D1883" i="1"/>
  <c r="B1883" i="1"/>
  <c r="L1882" i="1"/>
  <c r="K1882" i="1"/>
  <c r="J1882" i="1"/>
  <c r="D1882" i="1"/>
  <c r="B1882" i="1"/>
  <c r="L1881" i="1"/>
  <c r="K1881" i="1"/>
  <c r="J1881" i="1"/>
  <c r="D1881" i="1"/>
  <c r="B1881" i="1"/>
  <c r="L1880" i="1"/>
  <c r="K1880" i="1"/>
  <c r="J1880" i="1"/>
  <c r="D1880" i="1"/>
  <c r="B1880" i="1"/>
  <c r="L1879" i="1"/>
  <c r="K1879" i="1"/>
  <c r="J1879" i="1"/>
  <c r="D1879" i="1"/>
  <c r="B1879" i="1"/>
  <c r="L1878" i="1"/>
  <c r="K1878" i="1"/>
  <c r="J1878" i="1"/>
  <c r="D1878" i="1"/>
  <c r="B1878" i="1"/>
  <c r="L1877" i="1"/>
  <c r="K1877" i="1"/>
  <c r="J1877" i="1"/>
  <c r="D1877" i="1"/>
  <c r="B1877" i="1"/>
  <c r="L1876" i="1"/>
  <c r="K1876" i="1"/>
  <c r="J1876" i="1"/>
  <c r="D1876" i="1"/>
  <c r="B1876" i="1"/>
  <c r="L1875" i="1"/>
  <c r="K1875" i="1"/>
  <c r="J1875" i="1"/>
  <c r="D1875" i="1"/>
  <c r="B1875" i="1"/>
  <c r="L1874" i="1"/>
  <c r="K1874" i="1"/>
  <c r="J1874" i="1"/>
  <c r="D1874" i="1"/>
  <c r="B1874" i="1"/>
  <c r="L1873" i="1"/>
  <c r="K1873" i="1"/>
  <c r="J1873" i="1"/>
  <c r="D1873" i="1"/>
  <c r="B1873" i="1"/>
  <c r="L1872" i="1"/>
  <c r="K1872" i="1"/>
  <c r="J1872" i="1"/>
  <c r="D1872" i="1"/>
  <c r="B1872" i="1"/>
  <c r="L1871" i="1"/>
  <c r="K1871" i="1"/>
  <c r="J1871" i="1"/>
  <c r="D1871" i="1"/>
  <c r="B1871" i="1"/>
  <c r="L1870" i="1"/>
  <c r="K1870" i="1"/>
  <c r="J1870" i="1"/>
  <c r="D1870" i="1"/>
  <c r="B1870" i="1"/>
  <c r="L1869" i="1"/>
  <c r="K1869" i="1"/>
  <c r="J1869" i="1"/>
  <c r="D1869" i="1"/>
  <c r="B1869" i="1"/>
  <c r="L1868" i="1"/>
  <c r="K1868" i="1"/>
  <c r="J1868" i="1"/>
  <c r="D1868" i="1"/>
  <c r="B1868" i="1"/>
  <c r="L1867" i="1"/>
  <c r="K1867" i="1"/>
  <c r="J1867" i="1"/>
  <c r="D1867" i="1"/>
  <c r="B1867" i="1"/>
  <c r="L1866" i="1"/>
  <c r="K1866" i="1"/>
  <c r="J1866" i="1"/>
  <c r="D1866" i="1"/>
  <c r="B1866" i="1"/>
  <c r="L1865" i="1"/>
  <c r="K1865" i="1"/>
  <c r="J1865" i="1"/>
  <c r="D1865" i="1"/>
  <c r="B1865" i="1"/>
  <c r="L1864" i="1"/>
  <c r="K1864" i="1"/>
  <c r="J1864" i="1"/>
  <c r="D1864" i="1"/>
  <c r="B1864" i="1"/>
  <c r="L1863" i="1"/>
  <c r="K1863" i="1"/>
  <c r="J1863" i="1"/>
  <c r="D1863" i="1"/>
  <c r="B1863" i="1"/>
  <c r="L1862" i="1"/>
  <c r="K1862" i="1"/>
  <c r="J1862" i="1"/>
  <c r="D1862" i="1"/>
  <c r="B1862" i="1"/>
  <c r="L1861" i="1"/>
  <c r="K1861" i="1"/>
  <c r="J1861" i="1"/>
  <c r="D1861" i="1"/>
  <c r="B1861" i="1"/>
  <c r="L1860" i="1"/>
  <c r="K1860" i="1"/>
  <c r="J1860" i="1"/>
  <c r="D1860" i="1"/>
  <c r="B1860" i="1"/>
  <c r="L1859" i="1"/>
  <c r="K1859" i="1"/>
  <c r="J1859" i="1"/>
  <c r="D1859" i="1"/>
  <c r="B1859" i="1"/>
  <c r="L1858" i="1"/>
  <c r="K1858" i="1"/>
  <c r="J1858" i="1"/>
  <c r="D1858" i="1"/>
  <c r="B1858" i="1"/>
  <c r="L1857" i="1"/>
  <c r="K1857" i="1"/>
  <c r="J1857" i="1"/>
  <c r="D1857" i="1"/>
  <c r="B1857" i="1"/>
  <c r="L1856" i="1"/>
  <c r="K1856" i="1"/>
  <c r="J1856" i="1"/>
  <c r="D1856" i="1"/>
  <c r="B1856" i="1"/>
  <c r="L1855" i="1"/>
  <c r="K1855" i="1"/>
  <c r="J1855" i="1"/>
  <c r="D1855" i="1"/>
  <c r="B1855" i="1"/>
  <c r="L1854" i="1"/>
  <c r="K1854" i="1"/>
  <c r="J1854" i="1"/>
  <c r="D1854" i="1"/>
  <c r="B1854" i="1"/>
  <c r="L1853" i="1"/>
  <c r="K1853" i="1"/>
  <c r="J1853" i="1"/>
  <c r="D1853" i="1"/>
  <c r="B1853" i="1"/>
  <c r="L1852" i="1"/>
  <c r="K1852" i="1"/>
  <c r="J1852" i="1"/>
  <c r="D1852" i="1"/>
  <c r="B1852" i="1"/>
  <c r="L1851" i="1"/>
  <c r="K1851" i="1"/>
  <c r="J1851" i="1"/>
  <c r="D1851" i="1"/>
  <c r="B1851" i="1"/>
  <c r="L1850" i="1"/>
  <c r="K1850" i="1"/>
  <c r="J1850" i="1"/>
  <c r="D1850" i="1"/>
  <c r="B1850" i="1"/>
  <c r="L1849" i="1"/>
  <c r="K1849" i="1"/>
  <c r="J1849" i="1"/>
  <c r="D1849" i="1"/>
  <c r="B1849" i="1"/>
  <c r="L1848" i="1"/>
  <c r="K1848" i="1"/>
  <c r="J1848" i="1"/>
  <c r="D1848" i="1"/>
  <c r="B1848" i="1"/>
  <c r="L1847" i="1"/>
  <c r="K1847" i="1"/>
  <c r="J1847" i="1"/>
  <c r="D1847" i="1"/>
  <c r="B1847" i="1"/>
  <c r="L1846" i="1"/>
  <c r="K1846" i="1"/>
  <c r="J1846" i="1"/>
  <c r="D1846" i="1"/>
  <c r="B1846" i="1"/>
  <c r="L1845" i="1"/>
  <c r="K1845" i="1"/>
  <c r="J1845" i="1"/>
  <c r="D1845" i="1"/>
  <c r="B1845" i="1"/>
  <c r="L1844" i="1"/>
  <c r="K1844" i="1"/>
  <c r="J1844" i="1"/>
  <c r="D1844" i="1"/>
  <c r="B1844" i="1"/>
  <c r="L1843" i="1"/>
  <c r="K1843" i="1"/>
  <c r="J1843" i="1"/>
  <c r="D1843" i="1"/>
  <c r="B1843" i="1"/>
  <c r="L1842" i="1"/>
  <c r="K1842" i="1"/>
  <c r="J1842" i="1"/>
  <c r="D1842" i="1"/>
  <c r="B1842" i="1"/>
  <c r="L1841" i="1"/>
  <c r="K1841" i="1"/>
  <c r="J1841" i="1"/>
  <c r="D1841" i="1"/>
  <c r="B1841" i="1"/>
  <c r="L1840" i="1"/>
  <c r="K1840" i="1"/>
  <c r="J1840" i="1"/>
  <c r="D1840" i="1"/>
  <c r="B1840" i="1"/>
  <c r="L1839" i="1"/>
  <c r="K1839" i="1"/>
  <c r="J1839" i="1"/>
  <c r="D1839" i="1"/>
  <c r="B1839" i="1"/>
  <c r="L1838" i="1"/>
  <c r="K1838" i="1"/>
  <c r="J1838" i="1"/>
  <c r="D1838" i="1"/>
  <c r="B1838" i="1"/>
  <c r="L1837" i="1"/>
  <c r="K1837" i="1"/>
  <c r="J1837" i="1"/>
  <c r="D1837" i="1"/>
  <c r="B1837" i="1"/>
  <c r="L1836" i="1"/>
  <c r="K1836" i="1"/>
  <c r="J1836" i="1"/>
  <c r="D1836" i="1"/>
  <c r="B1836" i="1"/>
  <c r="L1835" i="1"/>
  <c r="K1835" i="1"/>
  <c r="J1835" i="1"/>
  <c r="D1835" i="1"/>
  <c r="B1835" i="1"/>
  <c r="L1834" i="1"/>
  <c r="K1834" i="1"/>
  <c r="J1834" i="1"/>
  <c r="D1834" i="1"/>
  <c r="B1834" i="1"/>
  <c r="L1833" i="1"/>
  <c r="K1833" i="1"/>
  <c r="J1833" i="1"/>
  <c r="D1833" i="1"/>
  <c r="B1833" i="1"/>
  <c r="L1832" i="1"/>
  <c r="K1832" i="1"/>
  <c r="J1832" i="1"/>
  <c r="D1832" i="1"/>
  <c r="B1832" i="1"/>
  <c r="L1831" i="1"/>
  <c r="K1831" i="1"/>
  <c r="J1831" i="1"/>
  <c r="D1831" i="1"/>
  <c r="B1831" i="1"/>
  <c r="L1830" i="1"/>
  <c r="K1830" i="1"/>
  <c r="J1830" i="1"/>
  <c r="D1830" i="1"/>
  <c r="B1830" i="1"/>
  <c r="L1829" i="1"/>
  <c r="K1829" i="1"/>
  <c r="J1829" i="1"/>
  <c r="D1829" i="1"/>
  <c r="B1829" i="1"/>
  <c r="L1828" i="1"/>
  <c r="K1828" i="1"/>
  <c r="J1828" i="1"/>
  <c r="D1828" i="1"/>
  <c r="B1828" i="1"/>
  <c r="L1827" i="1"/>
  <c r="K1827" i="1"/>
  <c r="J1827" i="1"/>
  <c r="D1827" i="1"/>
  <c r="B1827" i="1"/>
  <c r="L1826" i="1"/>
  <c r="K1826" i="1"/>
  <c r="J1826" i="1"/>
  <c r="D1826" i="1"/>
  <c r="B1826" i="1"/>
  <c r="L1825" i="1"/>
  <c r="K1825" i="1"/>
  <c r="J1825" i="1"/>
  <c r="D1825" i="1"/>
  <c r="B1825" i="1"/>
  <c r="L1824" i="1"/>
  <c r="K1824" i="1"/>
  <c r="J1824" i="1"/>
  <c r="D1824" i="1"/>
  <c r="B1824" i="1"/>
  <c r="L1823" i="1"/>
  <c r="K1823" i="1"/>
  <c r="J1823" i="1"/>
  <c r="D1823" i="1"/>
  <c r="B1823" i="1"/>
  <c r="L1822" i="1"/>
  <c r="K1822" i="1"/>
  <c r="J1822" i="1"/>
  <c r="D1822" i="1"/>
  <c r="B1822" i="1"/>
  <c r="L1821" i="1"/>
  <c r="K1821" i="1"/>
  <c r="J1821" i="1"/>
  <c r="D1821" i="1"/>
  <c r="B1821" i="1"/>
  <c r="L1820" i="1"/>
  <c r="K1820" i="1"/>
  <c r="J1820" i="1"/>
  <c r="D1820" i="1"/>
  <c r="B1820" i="1"/>
  <c r="L1819" i="1"/>
  <c r="K1819" i="1"/>
  <c r="J1819" i="1"/>
  <c r="D1819" i="1"/>
  <c r="B1819" i="1"/>
  <c r="L1818" i="1"/>
  <c r="K1818" i="1"/>
  <c r="J1818" i="1"/>
  <c r="D1818" i="1"/>
  <c r="B1818" i="1"/>
  <c r="L1817" i="1"/>
  <c r="K1817" i="1"/>
  <c r="J1817" i="1"/>
  <c r="D1817" i="1"/>
  <c r="B1817" i="1"/>
  <c r="L1816" i="1"/>
  <c r="K1816" i="1"/>
  <c r="J1816" i="1"/>
  <c r="D1816" i="1"/>
  <c r="B1816" i="1"/>
  <c r="L1815" i="1"/>
  <c r="K1815" i="1"/>
  <c r="J1815" i="1"/>
  <c r="D1815" i="1"/>
  <c r="B1815" i="1"/>
  <c r="L1814" i="1"/>
  <c r="K1814" i="1"/>
  <c r="J1814" i="1"/>
  <c r="D1814" i="1"/>
  <c r="B1814" i="1"/>
  <c r="L1813" i="1"/>
  <c r="K1813" i="1"/>
  <c r="J1813" i="1"/>
  <c r="D1813" i="1"/>
  <c r="B1813" i="1"/>
  <c r="L1812" i="1"/>
  <c r="K1812" i="1"/>
  <c r="J1812" i="1"/>
  <c r="D1812" i="1"/>
  <c r="B1812" i="1"/>
  <c r="L1811" i="1"/>
  <c r="K1811" i="1"/>
  <c r="J1811" i="1"/>
  <c r="D1811" i="1"/>
  <c r="B1811" i="1"/>
  <c r="L1810" i="1"/>
  <c r="K1810" i="1"/>
  <c r="J1810" i="1"/>
  <c r="D1810" i="1"/>
  <c r="B1810" i="1"/>
  <c r="L1809" i="1"/>
  <c r="K1809" i="1"/>
  <c r="J1809" i="1"/>
  <c r="D1809" i="1"/>
  <c r="B1809" i="1"/>
  <c r="L1808" i="1"/>
  <c r="K1808" i="1"/>
  <c r="J1808" i="1"/>
  <c r="D1808" i="1"/>
  <c r="B1808" i="1"/>
  <c r="L1807" i="1"/>
  <c r="K1807" i="1"/>
  <c r="J1807" i="1"/>
  <c r="D1807" i="1"/>
  <c r="B1807" i="1"/>
  <c r="L1806" i="1"/>
  <c r="K1806" i="1"/>
  <c r="J1806" i="1"/>
  <c r="D1806" i="1"/>
  <c r="B1806" i="1"/>
  <c r="L1805" i="1"/>
  <c r="K1805" i="1"/>
  <c r="J1805" i="1"/>
  <c r="D1805" i="1"/>
  <c r="B1805" i="1"/>
  <c r="L1804" i="1"/>
  <c r="K1804" i="1"/>
  <c r="J1804" i="1"/>
  <c r="D1804" i="1"/>
  <c r="B1804" i="1"/>
  <c r="L1803" i="1"/>
  <c r="K1803" i="1"/>
  <c r="J1803" i="1"/>
  <c r="D1803" i="1"/>
  <c r="B1803" i="1"/>
  <c r="L1802" i="1"/>
  <c r="K1802" i="1"/>
  <c r="J1802" i="1"/>
  <c r="D1802" i="1"/>
  <c r="B1802" i="1"/>
  <c r="L1801" i="1"/>
  <c r="K1801" i="1"/>
  <c r="J1801" i="1"/>
  <c r="D1801" i="1"/>
  <c r="B1801" i="1"/>
  <c r="L1800" i="1"/>
  <c r="K1800" i="1"/>
  <c r="J1800" i="1"/>
  <c r="D1800" i="1"/>
  <c r="B1800" i="1"/>
  <c r="L1799" i="1"/>
  <c r="K1799" i="1"/>
  <c r="J1799" i="1"/>
  <c r="D1799" i="1"/>
  <c r="B1799" i="1"/>
  <c r="L1798" i="1"/>
  <c r="K1798" i="1"/>
  <c r="J1798" i="1"/>
  <c r="D1798" i="1"/>
  <c r="B1798" i="1"/>
  <c r="L1797" i="1"/>
  <c r="K1797" i="1"/>
  <c r="J1797" i="1"/>
  <c r="D1797" i="1"/>
  <c r="B1797" i="1"/>
  <c r="L1796" i="1"/>
  <c r="K1796" i="1"/>
  <c r="J1796" i="1"/>
  <c r="D1796" i="1"/>
  <c r="B1796" i="1"/>
  <c r="L1795" i="1"/>
  <c r="K1795" i="1"/>
  <c r="J1795" i="1"/>
  <c r="D1795" i="1"/>
  <c r="B1795" i="1"/>
  <c r="L1794" i="1"/>
  <c r="K1794" i="1"/>
  <c r="J1794" i="1"/>
  <c r="D1794" i="1"/>
  <c r="B1794" i="1"/>
  <c r="L1793" i="1"/>
  <c r="K1793" i="1"/>
  <c r="J1793" i="1"/>
  <c r="D1793" i="1"/>
  <c r="B1793" i="1"/>
  <c r="L1792" i="1"/>
  <c r="K1792" i="1"/>
  <c r="J1792" i="1"/>
  <c r="D1792" i="1"/>
  <c r="B1792" i="1"/>
  <c r="L1791" i="1"/>
  <c r="K1791" i="1"/>
  <c r="J1791" i="1"/>
  <c r="D1791" i="1"/>
  <c r="B1791" i="1"/>
  <c r="L1790" i="1"/>
  <c r="K1790" i="1"/>
  <c r="J1790" i="1"/>
  <c r="D1790" i="1"/>
  <c r="B1790" i="1"/>
  <c r="L1789" i="1"/>
  <c r="K1789" i="1"/>
  <c r="J1789" i="1"/>
  <c r="D1789" i="1"/>
  <c r="B1789" i="1"/>
  <c r="L1788" i="1"/>
  <c r="K1788" i="1"/>
  <c r="J1788" i="1"/>
  <c r="D1788" i="1"/>
  <c r="B1788" i="1"/>
  <c r="L1787" i="1"/>
  <c r="K1787" i="1"/>
  <c r="J1787" i="1"/>
  <c r="D1787" i="1"/>
  <c r="B1787" i="1"/>
  <c r="L1786" i="1"/>
  <c r="K1786" i="1"/>
  <c r="J1786" i="1"/>
  <c r="D1786" i="1"/>
  <c r="B1786" i="1"/>
  <c r="L1785" i="1"/>
  <c r="K1785" i="1"/>
  <c r="J1785" i="1"/>
  <c r="D1785" i="1"/>
  <c r="B1785" i="1"/>
  <c r="L1784" i="1"/>
  <c r="K1784" i="1"/>
  <c r="J1784" i="1"/>
  <c r="D1784" i="1"/>
  <c r="B1784" i="1"/>
  <c r="L1783" i="1"/>
  <c r="K1783" i="1"/>
  <c r="J1783" i="1"/>
  <c r="D1783" i="1"/>
  <c r="B1783" i="1"/>
  <c r="L1782" i="1"/>
  <c r="K1782" i="1"/>
  <c r="J1782" i="1"/>
  <c r="D1782" i="1"/>
  <c r="B1782" i="1"/>
  <c r="L1781" i="1"/>
  <c r="K1781" i="1"/>
  <c r="J1781" i="1"/>
  <c r="D1781" i="1"/>
  <c r="B1781" i="1"/>
  <c r="L1780" i="1"/>
  <c r="K1780" i="1"/>
  <c r="J1780" i="1"/>
  <c r="D1780" i="1"/>
  <c r="B1780" i="1"/>
  <c r="L1779" i="1"/>
  <c r="K1779" i="1"/>
  <c r="J1779" i="1"/>
  <c r="D1779" i="1"/>
  <c r="B1779" i="1"/>
  <c r="L1778" i="1"/>
  <c r="K1778" i="1"/>
  <c r="J1778" i="1"/>
  <c r="D1778" i="1"/>
  <c r="B1778" i="1"/>
  <c r="L1777" i="1"/>
  <c r="K1777" i="1"/>
  <c r="J1777" i="1"/>
  <c r="D1777" i="1"/>
  <c r="B1777" i="1"/>
  <c r="L1776" i="1"/>
  <c r="K1776" i="1"/>
  <c r="J1776" i="1"/>
  <c r="D1776" i="1"/>
  <c r="B1776" i="1"/>
  <c r="L1775" i="1"/>
  <c r="K1775" i="1"/>
  <c r="J1775" i="1"/>
  <c r="D1775" i="1"/>
  <c r="B1775" i="1"/>
  <c r="L1774" i="1"/>
  <c r="K1774" i="1"/>
  <c r="J1774" i="1"/>
  <c r="D1774" i="1"/>
  <c r="B1774" i="1"/>
  <c r="L1773" i="1"/>
  <c r="K1773" i="1"/>
  <c r="J1773" i="1"/>
  <c r="D1773" i="1"/>
  <c r="B1773" i="1"/>
  <c r="L1772" i="1"/>
  <c r="K1772" i="1"/>
  <c r="J1772" i="1"/>
  <c r="D1772" i="1"/>
  <c r="B1772" i="1"/>
  <c r="L1771" i="1"/>
  <c r="K1771" i="1"/>
  <c r="J1771" i="1"/>
  <c r="D1771" i="1"/>
  <c r="B1771" i="1"/>
  <c r="L1770" i="1"/>
  <c r="K1770" i="1"/>
  <c r="J1770" i="1"/>
  <c r="D1770" i="1"/>
  <c r="B1770" i="1"/>
  <c r="L1769" i="1"/>
  <c r="K1769" i="1"/>
  <c r="J1769" i="1"/>
  <c r="D1769" i="1"/>
  <c r="B1769" i="1"/>
  <c r="L1768" i="1"/>
  <c r="K1768" i="1"/>
  <c r="J1768" i="1"/>
  <c r="D1768" i="1"/>
  <c r="B1768" i="1"/>
  <c r="L1767" i="1"/>
  <c r="K1767" i="1"/>
  <c r="J1767" i="1"/>
  <c r="D1767" i="1"/>
  <c r="B1767" i="1"/>
  <c r="L1766" i="1"/>
  <c r="K1766" i="1"/>
  <c r="J1766" i="1"/>
  <c r="D1766" i="1"/>
  <c r="B1766" i="1"/>
  <c r="L1765" i="1"/>
  <c r="K1765" i="1"/>
  <c r="J1765" i="1"/>
  <c r="D1765" i="1"/>
  <c r="B1765" i="1"/>
  <c r="L1764" i="1"/>
  <c r="K1764" i="1"/>
  <c r="J1764" i="1"/>
  <c r="D1764" i="1"/>
  <c r="B1764" i="1"/>
  <c r="L1763" i="1"/>
  <c r="K1763" i="1"/>
  <c r="J1763" i="1"/>
  <c r="D1763" i="1"/>
  <c r="B1763" i="1"/>
  <c r="L1762" i="1"/>
  <c r="K1762" i="1"/>
  <c r="J1762" i="1"/>
  <c r="D1762" i="1"/>
  <c r="B1762" i="1"/>
  <c r="L1761" i="1"/>
  <c r="K1761" i="1"/>
  <c r="J1761" i="1"/>
  <c r="D1761" i="1"/>
  <c r="B1761" i="1"/>
  <c r="L1760" i="1"/>
  <c r="K1760" i="1"/>
  <c r="J1760" i="1"/>
  <c r="D1760" i="1"/>
  <c r="B1760" i="1"/>
  <c r="L1759" i="1"/>
  <c r="K1759" i="1"/>
  <c r="J1759" i="1"/>
  <c r="D1759" i="1"/>
  <c r="B1759" i="1"/>
  <c r="L1758" i="1"/>
  <c r="K1758" i="1"/>
  <c r="J1758" i="1"/>
  <c r="D1758" i="1"/>
  <c r="B1758" i="1"/>
  <c r="L1757" i="1"/>
  <c r="K1757" i="1"/>
  <c r="J1757" i="1"/>
  <c r="D1757" i="1"/>
  <c r="B1757" i="1"/>
  <c r="L1756" i="1"/>
  <c r="K1756" i="1"/>
  <c r="J1756" i="1"/>
  <c r="D1756" i="1"/>
  <c r="B1756" i="1"/>
  <c r="L1755" i="1"/>
  <c r="K1755" i="1"/>
  <c r="J1755" i="1"/>
  <c r="D1755" i="1"/>
  <c r="B1755" i="1"/>
  <c r="L1754" i="1"/>
  <c r="K1754" i="1"/>
  <c r="J1754" i="1"/>
  <c r="D1754" i="1"/>
  <c r="B1754" i="1"/>
  <c r="L1753" i="1"/>
  <c r="K1753" i="1"/>
  <c r="J1753" i="1"/>
  <c r="D1753" i="1"/>
  <c r="B1753" i="1"/>
  <c r="L1752" i="1"/>
  <c r="K1752" i="1"/>
  <c r="J1752" i="1"/>
  <c r="D1752" i="1"/>
  <c r="B1752" i="1"/>
  <c r="L1751" i="1"/>
  <c r="K1751" i="1"/>
  <c r="J1751" i="1"/>
  <c r="D1751" i="1"/>
  <c r="B1751" i="1"/>
  <c r="L1750" i="1"/>
  <c r="K1750" i="1"/>
  <c r="J1750" i="1"/>
  <c r="D1750" i="1"/>
  <c r="B1750" i="1"/>
  <c r="L1749" i="1"/>
  <c r="K1749" i="1"/>
  <c r="J1749" i="1"/>
  <c r="D1749" i="1"/>
  <c r="B1749" i="1"/>
  <c r="L1748" i="1"/>
  <c r="K1748" i="1"/>
  <c r="J1748" i="1"/>
  <c r="D1748" i="1"/>
  <c r="B1748" i="1"/>
  <c r="L1747" i="1"/>
  <c r="K1747" i="1"/>
  <c r="J1747" i="1"/>
  <c r="D1747" i="1"/>
  <c r="B1747" i="1"/>
  <c r="L1746" i="1"/>
  <c r="K1746" i="1"/>
  <c r="J1746" i="1"/>
  <c r="D1746" i="1"/>
  <c r="B1746" i="1"/>
  <c r="L1745" i="1"/>
  <c r="K1745" i="1"/>
  <c r="J1745" i="1"/>
  <c r="D1745" i="1"/>
  <c r="B1745" i="1"/>
  <c r="L1744" i="1"/>
  <c r="K1744" i="1"/>
  <c r="J1744" i="1"/>
  <c r="D1744" i="1"/>
  <c r="B1744" i="1"/>
  <c r="L1743" i="1"/>
  <c r="K1743" i="1"/>
  <c r="J1743" i="1"/>
  <c r="D1743" i="1"/>
  <c r="B1743" i="1"/>
  <c r="L1742" i="1"/>
  <c r="K1742" i="1"/>
  <c r="J1742" i="1"/>
  <c r="D1742" i="1"/>
  <c r="B1742" i="1"/>
  <c r="L1741" i="1"/>
  <c r="K1741" i="1"/>
  <c r="J1741" i="1"/>
  <c r="D1741" i="1"/>
  <c r="B1741" i="1"/>
  <c r="L1740" i="1"/>
  <c r="K1740" i="1"/>
  <c r="J1740" i="1"/>
  <c r="D1740" i="1"/>
  <c r="B1740" i="1"/>
  <c r="L1739" i="1"/>
  <c r="K1739" i="1"/>
  <c r="J1739" i="1"/>
  <c r="D1739" i="1"/>
  <c r="B1739" i="1"/>
  <c r="L1738" i="1"/>
  <c r="K1738" i="1"/>
  <c r="J1738" i="1"/>
  <c r="D1738" i="1"/>
  <c r="B1738" i="1"/>
  <c r="L1737" i="1"/>
  <c r="K1737" i="1"/>
  <c r="J1737" i="1"/>
  <c r="D1737" i="1"/>
  <c r="B1737" i="1"/>
  <c r="L1736" i="1"/>
  <c r="K1736" i="1"/>
  <c r="J1736" i="1"/>
  <c r="D1736" i="1"/>
  <c r="B1736" i="1"/>
  <c r="L1735" i="1"/>
  <c r="K1735" i="1"/>
  <c r="J1735" i="1"/>
  <c r="D1735" i="1"/>
  <c r="B1735" i="1"/>
  <c r="L1734" i="1"/>
  <c r="K1734" i="1"/>
  <c r="J1734" i="1"/>
  <c r="D1734" i="1"/>
  <c r="B1734" i="1"/>
  <c r="L1733" i="1"/>
  <c r="K1733" i="1"/>
  <c r="J1733" i="1"/>
  <c r="D1733" i="1"/>
  <c r="B1733" i="1"/>
  <c r="L1732" i="1"/>
  <c r="K1732" i="1"/>
  <c r="J1732" i="1"/>
  <c r="D1732" i="1"/>
  <c r="B1732" i="1"/>
  <c r="L1731" i="1"/>
  <c r="K1731" i="1"/>
  <c r="J1731" i="1"/>
  <c r="D1731" i="1"/>
  <c r="B1731" i="1"/>
  <c r="L1730" i="1"/>
  <c r="K1730" i="1"/>
  <c r="J1730" i="1"/>
  <c r="D1730" i="1"/>
  <c r="B1730" i="1"/>
  <c r="L1729" i="1"/>
  <c r="K1729" i="1"/>
  <c r="J1729" i="1"/>
  <c r="D1729" i="1"/>
  <c r="B1729" i="1"/>
  <c r="L1728" i="1"/>
  <c r="K1728" i="1"/>
  <c r="J1728" i="1"/>
  <c r="D1728" i="1"/>
  <c r="B1728" i="1"/>
  <c r="L1727" i="1"/>
  <c r="K1727" i="1"/>
  <c r="J1727" i="1"/>
  <c r="D1727" i="1"/>
  <c r="B1727" i="1"/>
  <c r="L1726" i="1"/>
  <c r="K1726" i="1"/>
  <c r="J1726" i="1"/>
  <c r="D1726" i="1"/>
  <c r="B1726" i="1"/>
  <c r="L1725" i="1"/>
  <c r="K1725" i="1"/>
  <c r="J1725" i="1"/>
  <c r="D1725" i="1"/>
  <c r="B1725" i="1"/>
  <c r="L1724" i="1"/>
  <c r="K1724" i="1"/>
  <c r="J1724" i="1"/>
  <c r="D1724" i="1"/>
  <c r="B1724" i="1"/>
  <c r="L1723" i="1"/>
  <c r="K1723" i="1"/>
  <c r="J1723" i="1"/>
  <c r="D1723" i="1"/>
  <c r="B1723" i="1"/>
  <c r="L1722" i="1"/>
  <c r="K1722" i="1"/>
  <c r="J1722" i="1"/>
  <c r="D1722" i="1"/>
  <c r="B1722" i="1"/>
  <c r="L1721" i="1"/>
  <c r="K1721" i="1"/>
  <c r="J1721" i="1"/>
  <c r="D1721" i="1"/>
  <c r="B1721" i="1"/>
  <c r="L1720" i="1"/>
  <c r="K1720" i="1"/>
  <c r="J1720" i="1"/>
  <c r="D1720" i="1"/>
  <c r="B1720" i="1"/>
  <c r="L1719" i="1"/>
  <c r="K1719" i="1"/>
  <c r="J1719" i="1"/>
  <c r="D1719" i="1"/>
  <c r="B1719" i="1"/>
  <c r="L1718" i="1"/>
  <c r="K1718" i="1"/>
  <c r="J1718" i="1"/>
  <c r="D1718" i="1"/>
  <c r="B1718" i="1"/>
  <c r="L1717" i="1"/>
  <c r="K1717" i="1"/>
  <c r="J1717" i="1"/>
  <c r="D1717" i="1"/>
  <c r="B1717" i="1"/>
  <c r="L1716" i="1"/>
  <c r="K1716" i="1"/>
  <c r="J1716" i="1"/>
  <c r="D1716" i="1"/>
  <c r="B1716" i="1"/>
  <c r="L1715" i="1"/>
  <c r="K1715" i="1"/>
  <c r="J1715" i="1"/>
  <c r="D1715" i="1"/>
  <c r="B1715" i="1"/>
  <c r="L1714" i="1"/>
  <c r="K1714" i="1"/>
  <c r="J1714" i="1"/>
  <c r="D1714" i="1"/>
  <c r="B1714" i="1"/>
  <c r="L1713" i="1"/>
  <c r="K1713" i="1"/>
  <c r="J1713" i="1"/>
  <c r="D1713" i="1"/>
  <c r="B1713" i="1"/>
  <c r="L1712" i="1"/>
  <c r="K1712" i="1"/>
  <c r="J1712" i="1"/>
  <c r="D1712" i="1"/>
  <c r="B1712" i="1"/>
  <c r="L1711" i="1"/>
  <c r="K1711" i="1"/>
  <c r="J1711" i="1"/>
  <c r="D1711" i="1"/>
  <c r="B1711" i="1"/>
  <c r="L1710" i="1"/>
  <c r="K1710" i="1"/>
  <c r="J1710" i="1"/>
  <c r="D1710" i="1"/>
  <c r="B1710" i="1"/>
  <c r="L1709" i="1"/>
  <c r="K1709" i="1"/>
  <c r="J1709" i="1"/>
  <c r="D1709" i="1"/>
  <c r="B1709" i="1"/>
  <c r="L1708" i="1"/>
  <c r="K1708" i="1"/>
  <c r="J1708" i="1"/>
  <c r="D1708" i="1"/>
  <c r="B1708" i="1"/>
  <c r="L1707" i="1"/>
  <c r="K1707" i="1"/>
  <c r="J1707" i="1"/>
  <c r="D1707" i="1"/>
  <c r="B1707" i="1"/>
  <c r="L1706" i="1"/>
  <c r="K1706" i="1"/>
  <c r="J1706" i="1"/>
  <c r="D1706" i="1"/>
  <c r="B1706" i="1"/>
  <c r="L1705" i="1"/>
  <c r="K1705" i="1"/>
  <c r="J1705" i="1"/>
  <c r="D1705" i="1"/>
  <c r="B1705" i="1"/>
  <c r="L1704" i="1"/>
  <c r="K1704" i="1"/>
  <c r="J1704" i="1"/>
  <c r="D1704" i="1"/>
  <c r="B1704" i="1"/>
  <c r="L1703" i="1"/>
  <c r="K1703" i="1"/>
  <c r="J1703" i="1"/>
  <c r="D1703" i="1"/>
  <c r="B1703" i="1"/>
  <c r="L1702" i="1"/>
  <c r="K1702" i="1"/>
  <c r="J1702" i="1"/>
  <c r="D1702" i="1"/>
  <c r="B1702" i="1"/>
  <c r="L1701" i="1"/>
  <c r="K1701" i="1"/>
  <c r="J1701" i="1"/>
  <c r="D1701" i="1"/>
  <c r="B1701" i="1"/>
  <c r="L1700" i="1"/>
  <c r="K1700" i="1"/>
  <c r="J1700" i="1"/>
  <c r="D1700" i="1"/>
  <c r="B1700" i="1"/>
  <c r="L1699" i="1"/>
  <c r="K1699" i="1"/>
  <c r="J1699" i="1"/>
  <c r="D1699" i="1"/>
  <c r="B1699" i="1"/>
  <c r="L1698" i="1"/>
  <c r="K1698" i="1"/>
  <c r="J1698" i="1"/>
  <c r="D1698" i="1"/>
  <c r="B1698" i="1"/>
  <c r="L1697" i="1"/>
  <c r="K1697" i="1"/>
  <c r="J1697" i="1"/>
  <c r="D1697" i="1"/>
  <c r="B1697" i="1"/>
  <c r="L1696" i="1"/>
  <c r="K1696" i="1"/>
  <c r="J1696" i="1"/>
  <c r="D1696" i="1"/>
  <c r="B1696" i="1"/>
  <c r="L1695" i="1"/>
  <c r="K1695" i="1"/>
  <c r="J1695" i="1"/>
  <c r="D1695" i="1"/>
  <c r="B1695" i="1"/>
  <c r="L1694" i="1"/>
  <c r="K1694" i="1"/>
  <c r="J1694" i="1"/>
  <c r="D1694" i="1"/>
  <c r="B1694" i="1"/>
  <c r="L1693" i="1"/>
  <c r="K1693" i="1"/>
  <c r="J1693" i="1"/>
  <c r="D1693" i="1"/>
  <c r="B1693" i="1"/>
  <c r="L1692" i="1"/>
  <c r="K1692" i="1"/>
  <c r="J1692" i="1"/>
  <c r="D1692" i="1"/>
  <c r="B1692" i="1"/>
  <c r="L1691" i="1"/>
  <c r="K1691" i="1"/>
  <c r="J1691" i="1"/>
  <c r="D1691" i="1"/>
  <c r="B1691" i="1"/>
  <c r="L1690" i="1"/>
  <c r="K1690" i="1"/>
  <c r="J1690" i="1"/>
  <c r="D1690" i="1"/>
  <c r="B1690" i="1"/>
  <c r="L1689" i="1"/>
  <c r="K1689" i="1"/>
  <c r="J1689" i="1"/>
  <c r="D1689" i="1"/>
  <c r="B1689" i="1"/>
  <c r="L1688" i="1"/>
  <c r="K1688" i="1"/>
  <c r="J1688" i="1"/>
  <c r="D1688" i="1"/>
  <c r="B1688" i="1"/>
  <c r="L1687" i="1"/>
  <c r="K1687" i="1"/>
  <c r="J1687" i="1"/>
  <c r="D1687" i="1"/>
  <c r="B1687" i="1"/>
  <c r="L1686" i="1"/>
  <c r="K1686" i="1"/>
  <c r="J1686" i="1"/>
  <c r="D1686" i="1"/>
  <c r="B1686" i="1"/>
  <c r="L1685" i="1"/>
  <c r="K1685" i="1"/>
  <c r="J1685" i="1"/>
  <c r="D1685" i="1"/>
  <c r="B1685" i="1"/>
  <c r="L1684" i="1"/>
  <c r="K1684" i="1"/>
  <c r="J1684" i="1"/>
  <c r="D1684" i="1"/>
  <c r="B1684" i="1"/>
  <c r="L1683" i="1"/>
  <c r="K1683" i="1"/>
  <c r="J1683" i="1"/>
  <c r="D1683" i="1"/>
  <c r="B1683" i="1"/>
  <c r="L1682" i="1"/>
  <c r="K1682" i="1"/>
  <c r="J1682" i="1"/>
  <c r="D1682" i="1"/>
  <c r="B1682" i="1"/>
  <c r="L1681" i="1"/>
  <c r="K1681" i="1"/>
  <c r="J1681" i="1"/>
  <c r="D1681" i="1"/>
  <c r="B1681" i="1"/>
  <c r="L1680" i="1"/>
  <c r="K1680" i="1"/>
  <c r="J1680" i="1"/>
  <c r="D1680" i="1"/>
  <c r="B1680" i="1"/>
  <c r="L1679" i="1"/>
  <c r="K1679" i="1"/>
  <c r="J1679" i="1"/>
  <c r="D1679" i="1"/>
  <c r="B1679" i="1"/>
  <c r="L1678" i="1"/>
  <c r="K1678" i="1"/>
  <c r="J1678" i="1"/>
  <c r="D1678" i="1"/>
  <c r="B1678" i="1"/>
  <c r="L1677" i="1"/>
  <c r="K1677" i="1"/>
  <c r="J1677" i="1"/>
  <c r="D1677" i="1"/>
  <c r="B1677" i="1"/>
  <c r="L1676" i="1"/>
  <c r="K1676" i="1"/>
  <c r="J1676" i="1"/>
  <c r="D1676" i="1"/>
  <c r="B1676" i="1"/>
  <c r="L1675" i="1"/>
  <c r="K1675" i="1"/>
  <c r="J1675" i="1"/>
  <c r="D1675" i="1"/>
  <c r="B1675" i="1"/>
  <c r="L1674" i="1"/>
  <c r="K1674" i="1"/>
  <c r="J1674" i="1"/>
  <c r="D1674" i="1"/>
  <c r="B1674" i="1"/>
  <c r="L1673" i="1"/>
  <c r="K1673" i="1"/>
  <c r="J1673" i="1"/>
  <c r="D1673" i="1"/>
  <c r="B1673" i="1"/>
  <c r="L1672" i="1"/>
  <c r="K1672" i="1"/>
  <c r="J1672" i="1"/>
  <c r="D1672" i="1"/>
  <c r="B1672" i="1"/>
  <c r="L1671" i="1"/>
  <c r="K1671" i="1"/>
  <c r="J1671" i="1"/>
  <c r="D1671" i="1"/>
  <c r="B1671" i="1"/>
  <c r="L1670" i="1"/>
  <c r="K1670" i="1"/>
  <c r="J1670" i="1"/>
  <c r="D1670" i="1"/>
  <c r="B1670" i="1"/>
  <c r="L1669" i="1"/>
  <c r="K1669" i="1"/>
  <c r="J1669" i="1"/>
  <c r="D1669" i="1"/>
  <c r="B1669" i="1"/>
  <c r="L1668" i="1"/>
  <c r="K1668" i="1"/>
  <c r="J1668" i="1"/>
  <c r="D1668" i="1"/>
  <c r="B1668" i="1"/>
  <c r="L1667" i="1"/>
  <c r="K1667" i="1"/>
  <c r="J1667" i="1"/>
  <c r="D1667" i="1"/>
  <c r="B1667" i="1"/>
  <c r="L1666" i="1"/>
  <c r="K1666" i="1"/>
  <c r="J1666" i="1"/>
  <c r="D1666" i="1"/>
  <c r="B1666" i="1"/>
  <c r="L1665" i="1"/>
  <c r="K1665" i="1"/>
  <c r="J1665" i="1"/>
  <c r="D1665" i="1"/>
  <c r="B1665" i="1"/>
  <c r="L1664" i="1"/>
  <c r="K1664" i="1"/>
  <c r="J1664" i="1"/>
  <c r="D1664" i="1"/>
  <c r="B1664" i="1"/>
  <c r="L1663" i="1"/>
  <c r="K1663" i="1"/>
  <c r="J1663" i="1"/>
  <c r="D1663" i="1"/>
  <c r="B1663" i="1"/>
  <c r="L1662" i="1"/>
  <c r="K1662" i="1"/>
  <c r="J1662" i="1"/>
  <c r="D1662" i="1"/>
  <c r="B1662" i="1"/>
  <c r="L1661" i="1"/>
  <c r="K1661" i="1"/>
  <c r="J1661" i="1"/>
  <c r="D1661" i="1"/>
  <c r="B1661" i="1"/>
  <c r="L1660" i="1"/>
  <c r="K1660" i="1"/>
  <c r="J1660" i="1"/>
  <c r="D1660" i="1"/>
  <c r="B1660" i="1"/>
  <c r="L1659" i="1"/>
  <c r="K1659" i="1"/>
  <c r="J1659" i="1"/>
  <c r="D1659" i="1"/>
  <c r="B1659" i="1"/>
  <c r="L1658" i="1"/>
  <c r="K1658" i="1"/>
  <c r="J1658" i="1"/>
  <c r="D1658" i="1"/>
  <c r="B1658" i="1"/>
  <c r="L1657" i="1"/>
  <c r="K1657" i="1"/>
  <c r="J1657" i="1"/>
  <c r="D1657" i="1"/>
  <c r="B1657" i="1"/>
  <c r="L1656" i="1"/>
  <c r="K1656" i="1"/>
  <c r="J1656" i="1"/>
  <c r="D1656" i="1"/>
  <c r="B1656" i="1"/>
  <c r="L1655" i="1"/>
  <c r="K1655" i="1"/>
  <c r="J1655" i="1"/>
  <c r="D1655" i="1"/>
  <c r="B1655" i="1"/>
  <c r="L1654" i="1"/>
  <c r="K1654" i="1"/>
  <c r="J1654" i="1"/>
  <c r="D1654" i="1"/>
  <c r="B1654" i="1"/>
  <c r="L1653" i="1"/>
  <c r="K1653" i="1"/>
  <c r="J1653" i="1"/>
  <c r="D1653" i="1"/>
  <c r="B1653" i="1"/>
  <c r="L1652" i="1"/>
  <c r="K1652" i="1"/>
  <c r="J1652" i="1"/>
  <c r="D1652" i="1"/>
  <c r="B1652" i="1"/>
  <c r="L1651" i="1"/>
  <c r="K1651" i="1"/>
  <c r="J1651" i="1"/>
  <c r="D1651" i="1"/>
  <c r="B1651" i="1"/>
  <c r="L1650" i="1"/>
  <c r="K1650" i="1"/>
  <c r="J1650" i="1"/>
  <c r="D1650" i="1"/>
  <c r="B1650" i="1"/>
  <c r="L1649" i="1"/>
  <c r="K1649" i="1"/>
  <c r="J1649" i="1"/>
  <c r="D1649" i="1"/>
  <c r="B1649" i="1"/>
  <c r="L1648" i="1"/>
  <c r="K1648" i="1"/>
  <c r="J1648" i="1"/>
  <c r="D1648" i="1"/>
  <c r="B1648" i="1"/>
  <c r="L1647" i="1"/>
  <c r="K1647" i="1"/>
  <c r="J1647" i="1"/>
  <c r="D1647" i="1"/>
  <c r="B1647" i="1"/>
  <c r="L1646" i="1"/>
  <c r="K1646" i="1"/>
  <c r="J1646" i="1"/>
  <c r="D1646" i="1"/>
  <c r="B1646" i="1"/>
  <c r="L1645" i="1"/>
  <c r="K1645" i="1"/>
  <c r="J1645" i="1"/>
  <c r="D1645" i="1"/>
  <c r="B1645" i="1"/>
  <c r="L1644" i="1"/>
  <c r="K1644" i="1"/>
  <c r="J1644" i="1"/>
  <c r="D1644" i="1"/>
  <c r="B1644" i="1"/>
  <c r="L1643" i="1"/>
  <c r="K1643" i="1"/>
  <c r="J1643" i="1"/>
  <c r="D1643" i="1"/>
  <c r="B1643" i="1"/>
  <c r="L1642" i="1"/>
  <c r="K1642" i="1"/>
  <c r="J1642" i="1"/>
  <c r="D1642" i="1"/>
  <c r="B1642" i="1"/>
  <c r="L1641" i="1"/>
  <c r="K1641" i="1"/>
  <c r="J1641" i="1"/>
  <c r="D1641" i="1"/>
  <c r="B1641" i="1"/>
  <c r="L1640" i="1"/>
  <c r="K1640" i="1"/>
  <c r="J1640" i="1"/>
  <c r="D1640" i="1"/>
  <c r="B1640" i="1"/>
  <c r="L1639" i="1"/>
  <c r="K1639" i="1"/>
  <c r="J1639" i="1"/>
  <c r="D1639" i="1"/>
  <c r="B1639" i="1"/>
  <c r="L1638" i="1"/>
  <c r="K1638" i="1"/>
  <c r="J1638" i="1"/>
  <c r="D1638" i="1"/>
  <c r="B1638" i="1"/>
  <c r="L1637" i="1"/>
  <c r="K1637" i="1"/>
  <c r="J1637" i="1"/>
  <c r="D1637" i="1"/>
  <c r="B1637" i="1"/>
  <c r="L1636" i="1"/>
  <c r="K1636" i="1"/>
  <c r="J1636" i="1"/>
  <c r="D1636" i="1"/>
  <c r="B1636" i="1"/>
  <c r="L1635" i="1"/>
  <c r="K1635" i="1"/>
  <c r="J1635" i="1"/>
  <c r="D1635" i="1"/>
  <c r="B1635" i="1"/>
  <c r="L1634" i="1"/>
  <c r="K1634" i="1"/>
  <c r="J1634" i="1"/>
  <c r="D1634" i="1"/>
  <c r="B1634" i="1"/>
  <c r="L1633" i="1"/>
  <c r="K1633" i="1"/>
  <c r="J1633" i="1"/>
  <c r="D1633" i="1"/>
  <c r="B1633" i="1"/>
  <c r="L1632" i="1"/>
  <c r="K1632" i="1"/>
  <c r="J1632" i="1"/>
  <c r="D1632" i="1"/>
  <c r="B1632" i="1"/>
  <c r="L1631" i="1"/>
  <c r="K1631" i="1"/>
  <c r="J1631" i="1"/>
  <c r="D1631" i="1"/>
  <c r="B1631" i="1"/>
  <c r="L1630" i="1"/>
  <c r="K1630" i="1"/>
  <c r="J1630" i="1"/>
  <c r="D1630" i="1"/>
  <c r="B1630" i="1"/>
  <c r="L1629" i="1"/>
  <c r="K1629" i="1"/>
  <c r="J1629" i="1"/>
  <c r="D1629" i="1"/>
  <c r="B1629" i="1"/>
  <c r="L1628" i="1"/>
  <c r="K1628" i="1"/>
  <c r="J1628" i="1"/>
  <c r="D1628" i="1"/>
  <c r="B1628" i="1"/>
  <c r="L1627" i="1"/>
  <c r="K1627" i="1"/>
  <c r="J1627" i="1"/>
  <c r="D1627" i="1"/>
  <c r="B1627" i="1"/>
  <c r="L1626" i="1"/>
  <c r="K1626" i="1"/>
  <c r="J1626" i="1"/>
  <c r="D1626" i="1"/>
  <c r="B1626" i="1"/>
  <c r="L1625" i="1"/>
  <c r="K1625" i="1"/>
  <c r="J1625" i="1"/>
  <c r="D1625" i="1"/>
  <c r="B1625" i="1"/>
  <c r="L1624" i="1"/>
  <c r="K1624" i="1"/>
  <c r="J1624" i="1"/>
  <c r="D1624" i="1"/>
  <c r="B1624" i="1"/>
  <c r="L1623" i="1"/>
  <c r="K1623" i="1"/>
  <c r="J1623" i="1"/>
  <c r="D1623" i="1"/>
  <c r="B1623" i="1"/>
  <c r="L1622" i="1"/>
  <c r="K1622" i="1"/>
  <c r="J1622" i="1"/>
  <c r="D1622" i="1"/>
  <c r="B1622" i="1"/>
  <c r="L1621" i="1"/>
  <c r="K1621" i="1"/>
  <c r="J1621" i="1"/>
  <c r="D1621" i="1"/>
  <c r="B1621" i="1"/>
  <c r="L1620" i="1"/>
  <c r="K1620" i="1"/>
  <c r="J1620" i="1"/>
  <c r="D1620" i="1"/>
  <c r="B1620" i="1"/>
  <c r="L1619" i="1"/>
  <c r="K1619" i="1"/>
  <c r="J1619" i="1"/>
  <c r="D1619" i="1"/>
  <c r="B1619" i="1"/>
  <c r="L1618" i="1"/>
  <c r="K1618" i="1"/>
  <c r="J1618" i="1"/>
  <c r="D1618" i="1"/>
  <c r="B1618" i="1"/>
  <c r="L1617" i="1"/>
  <c r="K1617" i="1"/>
  <c r="J1617" i="1"/>
  <c r="D1617" i="1"/>
  <c r="B1617" i="1"/>
  <c r="L1616" i="1"/>
  <c r="K1616" i="1"/>
  <c r="J1616" i="1"/>
  <c r="D1616" i="1"/>
  <c r="B1616" i="1"/>
  <c r="L1615" i="1"/>
  <c r="K1615" i="1"/>
  <c r="J1615" i="1"/>
  <c r="D1615" i="1"/>
  <c r="B1615" i="1"/>
  <c r="L1614" i="1"/>
  <c r="K1614" i="1"/>
  <c r="J1614" i="1"/>
  <c r="D1614" i="1"/>
  <c r="B1614" i="1"/>
  <c r="L1613" i="1"/>
  <c r="K1613" i="1"/>
  <c r="J1613" i="1"/>
  <c r="D1613" i="1"/>
  <c r="B1613" i="1"/>
  <c r="L1612" i="1"/>
  <c r="K1612" i="1"/>
  <c r="J1612" i="1"/>
  <c r="D1612" i="1"/>
  <c r="B1612" i="1"/>
  <c r="L1611" i="1"/>
  <c r="K1611" i="1"/>
  <c r="J1611" i="1"/>
  <c r="D1611" i="1"/>
  <c r="B1611" i="1"/>
  <c r="L1610" i="1"/>
  <c r="K1610" i="1"/>
  <c r="J1610" i="1"/>
  <c r="D1610" i="1"/>
  <c r="B1610" i="1"/>
  <c r="L1609" i="1"/>
  <c r="K1609" i="1"/>
  <c r="J1609" i="1"/>
  <c r="D1609" i="1"/>
  <c r="B1609" i="1"/>
  <c r="L1608" i="1"/>
  <c r="K1608" i="1"/>
  <c r="J1608" i="1"/>
  <c r="D1608" i="1"/>
  <c r="B1608" i="1"/>
  <c r="L1607" i="1"/>
  <c r="K1607" i="1"/>
  <c r="J1607" i="1"/>
  <c r="D1607" i="1"/>
  <c r="B1607" i="1"/>
  <c r="L1606" i="1"/>
  <c r="K1606" i="1"/>
  <c r="J1606" i="1"/>
  <c r="D1606" i="1"/>
  <c r="B1606" i="1"/>
  <c r="L1605" i="1"/>
  <c r="K1605" i="1"/>
  <c r="J1605" i="1"/>
  <c r="D1605" i="1"/>
  <c r="B1605" i="1"/>
  <c r="L1604" i="1"/>
  <c r="K1604" i="1"/>
  <c r="J1604" i="1"/>
  <c r="D1604" i="1"/>
  <c r="B1604" i="1"/>
  <c r="L1603" i="1"/>
  <c r="K1603" i="1"/>
  <c r="J1603" i="1"/>
  <c r="D1603" i="1"/>
  <c r="B1603" i="1"/>
  <c r="L1602" i="1"/>
  <c r="K1602" i="1"/>
  <c r="J1602" i="1"/>
  <c r="D1602" i="1"/>
  <c r="B1602" i="1"/>
  <c r="L1601" i="1"/>
  <c r="K1601" i="1"/>
  <c r="J1601" i="1"/>
  <c r="D1601" i="1"/>
  <c r="B1601" i="1"/>
  <c r="L1600" i="1"/>
  <c r="K1600" i="1"/>
  <c r="J1600" i="1"/>
  <c r="D1600" i="1"/>
  <c r="B1600" i="1"/>
  <c r="L1599" i="1"/>
  <c r="K1599" i="1"/>
  <c r="J1599" i="1"/>
  <c r="D1599" i="1"/>
  <c r="B1599" i="1"/>
  <c r="L1598" i="1"/>
  <c r="K1598" i="1"/>
  <c r="J1598" i="1"/>
  <c r="D1598" i="1"/>
  <c r="B1598" i="1"/>
  <c r="L1597" i="1"/>
  <c r="K1597" i="1"/>
  <c r="J1597" i="1"/>
  <c r="D1597" i="1"/>
  <c r="B1597" i="1"/>
  <c r="L1596" i="1"/>
  <c r="K1596" i="1"/>
  <c r="J1596" i="1"/>
  <c r="D1596" i="1"/>
  <c r="B1596" i="1"/>
  <c r="L1595" i="1"/>
  <c r="K1595" i="1"/>
  <c r="J1595" i="1"/>
  <c r="D1595" i="1"/>
  <c r="B1595" i="1"/>
  <c r="L1594" i="1"/>
  <c r="K1594" i="1"/>
  <c r="J1594" i="1"/>
  <c r="D1594" i="1"/>
  <c r="B1594" i="1"/>
  <c r="L1593" i="1"/>
  <c r="K1593" i="1"/>
  <c r="J1593" i="1"/>
  <c r="D1593" i="1"/>
  <c r="B1593" i="1"/>
  <c r="L1592" i="1"/>
  <c r="K1592" i="1"/>
  <c r="J1592" i="1"/>
  <c r="D1592" i="1"/>
  <c r="B1592" i="1"/>
  <c r="L1591" i="1"/>
  <c r="K1591" i="1"/>
  <c r="J1591" i="1"/>
  <c r="D1591" i="1"/>
  <c r="B1591" i="1"/>
  <c r="L1590" i="1"/>
  <c r="K1590" i="1"/>
  <c r="J1590" i="1"/>
  <c r="D1590" i="1"/>
  <c r="B1590" i="1"/>
  <c r="L1589" i="1"/>
  <c r="K1589" i="1"/>
  <c r="J1589" i="1"/>
  <c r="D1589" i="1"/>
  <c r="B1589" i="1"/>
  <c r="L1588" i="1"/>
  <c r="K1588" i="1"/>
  <c r="J1588" i="1"/>
  <c r="D1588" i="1"/>
  <c r="B1588" i="1"/>
  <c r="L1587" i="1"/>
  <c r="K1587" i="1"/>
  <c r="J1587" i="1"/>
  <c r="D1587" i="1"/>
  <c r="B1587" i="1"/>
  <c r="L1586" i="1"/>
  <c r="K1586" i="1"/>
  <c r="J1586" i="1"/>
  <c r="D1586" i="1"/>
  <c r="B1586" i="1"/>
  <c r="L1585" i="1"/>
  <c r="K1585" i="1"/>
  <c r="J1585" i="1"/>
  <c r="D1585" i="1"/>
  <c r="B1585" i="1"/>
  <c r="L1584" i="1"/>
  <c r="K1584" i="1"/>
  <c r="J1584" i="1"/>
  <c r="D1584" i="1"/>
  <c r="B1584" i="1"/>
  <c r="L1583" i="1"/>
  <c r="K1583" i="1"/>
  <c r="J1583" i="1"/>
  <c r="D1583" i="1"/>
  <c r="B1583" i="1"/>
  <c r="L1582" i="1"/>
  <c r="K1582" i="1"/>
  <c r="J1582" i="1"/>
  <c r="D1582" i="1"/>
  <c r="B1582" i="1"/>
  <c r="L1581" i="1"/>
  <c r="K1581" i="1"/>
  <c r="J1581" i="1"/>
  <c r="D1581" i="1"/>
  <c r="B1581" i="1"/>
  <c r="L1580" i="1"/>
  <c r="K1580" i="1"/>
  <c r="J1580" i="1"/>
  <c r="D1580" i="1"/>
  <c r="B1580" i="1"/>
  <c r="L1579" i="1"/>
  <c r="K1579" i="1"/>
  <c r="J1579" i="1"/>
  <c r="D1579" i="1"/>
  <c r="B1579" i="1"/>
  <c r="L1578" i="1"/>
  <c r="K1578" i="1"/>
  <c r="J1578" i="1"/>
  <c r="D1578" i="1"/>
  <c r="B1578" i="1"/>
  <c r="L1577" i="1"/>
  <c r="K1577" i="1"/>
  <c r="J1577" i="1"/>
  <c r="D1577" i="1"/>
  <c r="B1577" i="1"/>
  <c r="L1576" i="1"/>
  <c r="K1576" i="1"/>
  <c r="J1576" i="1"/>
  <c r="D1576" i="1"/>
  <c r="B1576" i="1"/>
  <c r="L1575" i="1"/>
  <c r="K1575" i="1"/>
  <c r="J1575" i="1"/>
  <c r="D1575" i="1"/>
  <c r="B1575" i="1"/>
  <c r="L1574" i="1"/>
  <c r="K1574" i="1"/>
  <c r="J1574" i="1"/>
  <c r="D1574" i="1"/>
  <c r="B1574" i="1"/>
  <c r="L1573" i="1"/>
  <c r="K1573" i="1"/>
  <c r="J1573" i="1"/>
  <c r="D1573" i="1"/>
  <c r="B1573" i="1"/>
  <c r="L1572" i="1"/>
  <c r="K1572" i="1"/>
  <c r="J1572" i="1"/>
  <c r="D1572" i="1"/>
  <c r="B1572" i="1"/>
  <c r="L1571" i="1"/>
  <c r="K1571" i="1"/>
  <c r="J1571" i="1"/>
  <c r="D1571" i="1"/>
  <c r="B1571" i="1"/>
  <c r="L1570" i="1"/>
  <c r="K1570" i="1"/>
  <c r="J1570" i="1"/>
  <c r="D1570" i="1"/>
  <c r="B1570" i="1"/>
  <c r="L1569" i="1"/>
  <c r="K1569" i="1"/>
  <c r="J1569" i="1"/>
  <c r="D1569" i="1"/>
  <c r="B1569" i="1"/>
  <c r="L1568" i="1"/>
  <c r="K1568" i="1"/>
  <c r="J1568" i="1"/>
  <c r="D1568" i="1"/>
  <c r="B1568" i="1"/>
  <c r="L1567" i="1"/>
  <c r="K1567" i="1"/>
  <c r="J1567" i="1"/>
  <c r="D1567" i="1"/>
  <c r="B1567" i="1"/>
  <c r="L1566" i="1"/>
  <c r="K1566" i="1"/>
  <c r="J1566" i="1"/>
  <c r="D1566" i="1"/>
  <c r="B1566" i="1"/>
  <c r="L1565" i="1"/>
  <c r="K1565" i="1"/>
  <c r="J1565" i="1"/>
  <c r="D1565" i="1"/>
  <c r="B1565" i="1"/>
  <c r="L1564" i="1"/>
  <c r="K1564" i="1"/>
  <c r="J1564" i="1"/>
  <c r="D1564" i="1"/>
  <c r="B1564" i="1"/>
  <c r="L1563" i="1"/>
  <c r="K1563" i="1"/>
  <c r="J1563" i="1"/>
  <c r="D1563" i="1"/>
  <c r="B1563" i="1"/>
  <c r="L1562" i="1"/>
  <c r="K1562" i="1"/>
  <c r="J1562" i="1"/>
  <c r="D1562" i="1"/>
  <c r="B1562" i="1"/>
  <c r="L1561" i="1"/>
  <c r="K1561" i="1"/>
  <c r="J1561" i="1"/>
  <c r="D1561" i="1"/>
  <c r="B1561" i="1"/>
  <c r="L1560" i="1"/>
  <c r="K1560" i="1"/>
  <c r="J1560" i="1"/>
  <c r="D1560" i="1"/>
  <c r="B1560" i="1"/>
  <c r="L1559" i="1"/>
  <c r="K1559" i="1"/>
  <c r="J1559" i="1"/>
  <c r="D1559" i="1"/>
  <c r="B1559" i="1"/>
  <c r="L1558" i="1"/>
  <c r="K1558" i="1"/>
  <c r="J1558" i="1"/>
  <c r="D1558" i="1"/>
  <c r="B1558" i="1"/>
  <c r="L1557" i="1"/>
  <c r="K1557" i="1"/>
  <c r="J1557" i="1"/>
  <c r="D1557" i="1"/>
  <c r="B1557" i="1"/>
  <c r="L1556" i="1"/>
  <c r="K1556" i="1"/>
  <c r="J1556" i="1"/>
  <c r="D1556" i="1"/>
  <c r="B1556" i="1"/>
  <c r="L1555" i="1"/>
  <c r="K1555" i="1"/>
  <c r="J1555" i="1"/>
  <c r="D1555" i="1"/>
  <c r="B1555" i="1"/>
  <c r="L1554" i="1"/>
  <c r="K1554" i="1"/>
  <c r="J1554" i="1"/>
  <c r="D1554" i="1"/>
  <c r="B1554" i="1"/>
  <c r="L1553" i="1"/>
  <c r="K1553" i="1"/>
  <c r="J1553" i="1"/>
  <c r="D1553" i="1"/>
  <c r="B1553" i="1"/>
  <c r="L1552" i="1"/>
  <c r="K1552" i="1"/>
  <c r="J1552" i="1"/>
  <c r="D1552" i="1"/>
  <c r="B1552" i="1"/>
  <c r="L1551" i="1"/>
  <c r="K1551" i="1"/>
  <c r="J1551" i="1"/>
  <c r="D1551" i="1"/>
  <c r="B1551" i="1"/>
  <c r="L1550" i="1"/>
  <c r="K1550" i="1"/>
  <c r="J1550" i="1"/>
  <c r="D1550" i="1"/>
  <c r="B1550" i="1"/>
  <c r="L1549" i="1"/>
  <c r="K1549" i="1"/>
  <c r="J1549" i="1"/>
  <c r="D1549" i="1"/>
  <c r="B1549" i="1"/>
  <c r="L1548" i="1"/>
  <c r="K1548" i="1"/>
  <c r="J1548" i="1"/>
  <c r="D1548" i="1"/>
  <c r="B1548" i="1"/>
  <c r="L1547" i="1"/>
  <c r="K1547" i="1"/>
  <c r="J1547" i="1"/>
  <c r="D1547" i="1"/>
  <c r="B1547" i="1"/>
  <c r="L1546" i="1"/>
  <c r="K1546" i="1"/>
  <c r="J1546" i="1"/>
  <c r="D1546" i="1"/>
  <c r="B1546" i="1"/>
  <c r="L1545" i="1"/>
  <c r="K1545" i="1"/>
  <c r="J1545" i="1"/>
  <c r="D1545" i="1"/>
  <c r="B1545" i="1"/>
  <c r="L1544" i="1"/>
  <c r="K1544" i="1"/>
  <c r="J1544" i="1"/>
  <c r="D1544" i="1"/>
  <c r="B1544" i="1"/>
  <c r="L1543" i="1"/>
  <c r="K1543" i="1"/>
  <c r="J1543" i="1"/>
  <c r="D1543" i="1"/>
  <c r="B1543" i="1"/>
  <c r="L1542" i="1"/>
  <c r="K1542" i="1"/>
  <c r="J1542" i="1"/>
  <c r="D1542" i="1"/>
  <c r="B1542" i="1"/>
  <c r="L1541" i="1"/>
  <c r="K1541" i="1"/>
  <c r="J1541" i="1"/>
  <c r="D1541" i="1"/>
  <c r="B1541" i="1"/>
  <c r="L1540" i="1"/>
  <c r="K1540" i="1"/>
  <c r="J1540" i="1"/>
  <c r="D1540" i="1"/>
  <c r="B1540" i="1"/>
  <c r="L1539" i="1"/>
  <c r="K1539" i="1"/>
  <c r="J1539" i="1"/>
  <c r="D1539" i="1"/>
  <c r="B1539" i="1"/>
  <c r="L1538" i="1"/>
  <c r="K1538" i="1"/>
  <c r="J1538" i="1"/>
  <c r="D1538" i="1"/>
  <c r="B1538" i="1"/>
  <c r="L1537" i="1"/>
  <c r="K1537" i="1"/>
  <c r="J1537" i="1"/>
  <c r="D1537" i="1"/>
  <c r="B1537" i="1"/>
  <c r="L1536" i="1"/>
  <c r="K1536" i="1"/>
  <c r="J1536" i="1"/>
  <c r="D1536" i="1"/>
  <c r="B1536" i="1"/>
  <c r="L1535" i="1"/>
  <c r="K1535" i="1"/>
  <c r="J1535" i="1"/>
  <c r="D1535" i="1"/>
  <c r="B1535" i="1"/>
  <c r="L1534" i="1"/>
  <c r="K1534" i="1"/>
  <c r="J1534" i="1"/>
  <c r="D1534" i="1"/>
  <c r="B1534" i="1"/>
  <c r="L1533" i="1"/>
  <c r="K1533" i="1"/>
  <c r="J1533" i="1"/>
  <c r="D1533" i="1"/>
  <c r="B1533" i="1"/>
  <c r="L1532" i="1"/>
  <c r="K1532" i="1"/>
  <c r="J1532" i="1"/>
  <c r="D1532" i="1"/>
  <c r="B1532" i="1"/>
  <c r="L1531" i="1"/>
  <c r="K1531" i="1"/>
  <c r="J1531" i="1"/>
  <c r="D1531" i="1"/>
  <c r="B1531" i="1"/>
  <c r="L1530" i="1"/>
  <c r="K1530" i="1"/>
  <c r="J1530" i="1"/>
  <c r="D1530" i="1"/>
  <c r="B1530" i="1"/>
  <c r="L1529" i="1"/>
  <c r="K1529" i="1"/>
  <c r="J1529" i="1"/>
  <c r="D1529" i="1"/>
  <c r="B1529" i="1"/>
  <c r="L1528" i="1"/>
  <c r="K1528" i="1"/>
  <c r="J1528" i="1"/>
  <c r="D1528" i="1"/>
  <c r="B1528" i="1"/>
  <c r="L1527" i="1"/>
  <c r="K1527" i="1"/>
  <c r="J1527" i="1"/>
  <c r="D1527" i="1"/>
  <c r="B1527" i="1"/>
  <c r="L1526" i="1"/>
  <c r="K1526" i="1"/>
  <c r="J1526" i="1"/>
  <c r="D1526" i="1"/>
  <c r="B1526" i="1"/>
  <c r="L1525" i="1"/>
  <c r="K1525" i="1"/>
  <c r="J1525" i="1"/>
  <c r="D1525" i="1"/>
  <c r="B1525" i="1"/>
  <c r="L1524" i="1"/>
  <c r="K1524" i="1"/>
  <c r="J1524" i="1"/>
  <c r="D1524" i="1"/>
  <c r="B1524" i="1"/>
  <c r="L1523" i="1"/>
  <c r="K1523" i="1"/>
  <c r="J1523" i="1"/>
  <c r="D1523" i="1"/>
  <c r="B1523" i="1"/>
  <c r="L1522" i="1"/>
  <c r="K1522" i="1"/>
  <c r="J1522" i="1"/>
  <c r="D1522" i="1"/>
  <c r="B1522" i="1"/>
  <c r="L1521" i="1"/>
  <c r="K1521" i="1"/>
  <c r="J1521" i="1"/>
  <c r="D1521" i="1"/>
  <c r="B1521" i="1"/>
  <c r="L1520" i="1"/>
  <c r="K1520" i="1"/>
  <c r="J1520" i="1"/>
  <c r="D1520" i="1"/>
  <c r="B1520" i="1"/>
  <c r="L1519" i="1"/>
  <c r="K1519" i="1"/>
  <c r="J1519" i="1"/>
  <c r="D1519" i="1"/>
  <c r="B1519" i="1"/>
  <c r="L1518" i="1"/>
  <c r="K1518" i="1"/>
  <c r="J1518" i="1"/>
  <c r="D1518" i="1"/>
  <c r="B1518" i="1"/>
  <c r="L1517" i="1"/>
  <c r="K1517" i="1"/>
  <c r="J1517" i="1"/>
  <c r="D1517" i="1"/>
  <c r="B1517" i="1"/>
  <c r="L1516" i="1"/>
  <c r="K1516" i="1"/>
  <c r="J1516" i="1"/>
  <c r="D1516" i="1"/>
  <c r="B1516" i="1"/>
  <c r="L1515" i="1"/>
  <c r="K1515" i="1"/>
  <c r="J1515" i="1"/>
  <c r="D1515" i="1"/>
  <c r="B1515" i="1"/>
  <c r="L1514" i="1"/>
  <c r="K1514" i="1"/>
  <c r="J1514" i="1"/>
  <c r="D1514" i="1"/>
  <c r="B1514" i="1"/>
  <c r="L1513" i="1"/>
  <c r="K1513" i="1"/>
  <c r="J1513" i="1"/>
  <c r="D1513" i="1"/>
  <c r="B1513" i="1"/>
  <c r="L1512" i="1"/>
  <c r="K1512" i="1"/>
  <c r="J1512" i="1"/>
  <c r="D1512" i="1"/>
  <c r="B1512" i="1"/>
  <c r="L1511" i="1"/>
  <c r="K1511" i="1"/>
  <c r="J1511" i="1"/>
  <c r="D1511" i="1"/>
  <c r="B1511" i="1"/>
  <c r="L1510" i="1"/>
  <c r="K1510" i="1"/>
  <c r="J1510" i="1"/>
  <c r="D1510" i="1"/>
  <c r="B1510" i="1"/>
  <c r="L1509" i="1"/>
  <c r="K1509" i="1"/>
  <c r="J1509" i="1"/>
  <c r="D1509" i="1"/>
  <c r="B1509" i="1"/>
  <c r="L1508" i="1"/>
  <c r="K1508" i="1"/>
  <c r="J1508" i="1"/>
  <c r="D1508" i="1"/>
  <c r="B1508" i="1"/>
  <c r="L1507" i="1"/>
  <c r="K1507" i="1"/>
  <c r="J1507" i="1"/>
  <c r="D1507" i="1"/>
  <c r="B1507" i="1"/>
  <c r="L1506" i="1"/>
  <c r="K1506" i="1"/>
  <c r="J1506" i="1"/>
  <c r="D1506" i="1"/>
  <c r="B1506" i="1"/>
  <c r="L1505" i="1"/>
  <c r="K1505" i="1"/>
  <c r="J1505" i="1"/>
  <c r="D1505" i="1"/>
  <c r="B1505" i="1"/>
  <c r="L1504" i="1"/>
  <c r="K1504" i="1"/>
  <c r="J1504" i="1"/>
  <c r="D1504" i="1"/>
  <c r="B1504" i="1"/>
  <c r="L1503" i="1"/>
  <c r="K1503" i="1"/>
  <c r="J1503" i="1"/>
  <c r="D1503" i="1"/>
  <c r="B1503" i="1"/>
  <c r="L1502" i="1"/>
  <c r="K1502" i="1"/>
  <c r="J1502" i="1"/>
  <c r="D1502" i="1"/>
  <c r="B1502" i="1"/>
  <c r="L1501" i="1"/>
  <c r="K1501" i="1"/>
  <c r="J1501" i="1"/>
  <c r="D1501" i="1"/>
  <c r="B1501" i="1"/>
  <c r="L1500" i="1"/>
  <c r="K1500" i="1"/>
  <c r="J1500" i="1"/>
  <c r="D1500" i="1"/>
  <c r="B1500" i="1"/>
  <c r="L1499" i="1"/>
  <c r="K1499" i="1"/>
  <c r="J1499" i="1"/>
  <c r="D1499" i="1"/>
  <c r="B1499" i="1"/>
  <c r="L1498" i="1"/>
  <c r="K1498" i="1"/>
  <c r="J1498" i="1"/>
  <c r="D1498" i="1"/>
  <c r="B1498" i="1"/>
  <c r="L1497" i="1"/>
  <c r="K1497" i="1"/>
  <c r="J1497" i="1"/>
  <c r="D1497" i="1"/>
  <c r="B1497" i="1"/>
  <c r="L1496" i="1"/>
  <c r="K1496" i="1"/>
  <c r="J1496" i="1"/>
  <c r="D1496" i="1"/>
  <c r="B1496" i="1"/>
  <c r="L1495" i="1"/>
  <c r="K1495" i="1"/>
  <c r="J1495" i="1"/>
  <c r="D1495" i="1"/>
  <c r="B1495" i="1"/>
  <c r="L1494" i="1"/>
  <c r="K1494" i="1"/>
  <c r="J1494" i="1"/>
  <c r="D1494" i="1"/>
  <c r="B1494" i="1"/>
  <c r="L1493" i="1"/>
  <c r="K1493" i="1"/>
  <c r="J1493" i="1"/>
  <c r="D1493" i="1"/>
  <c r="B1493" i="1"/>
  <c r="L1492" i="1"/>
  <c r="K1492" i="1"/>
  <c r="J1492" i="1"/>
  <c r="D1492" i="1"/>
  <c r="B1492" i="1"/>
  <c r="L1491" i="1"/>
  <c r="K1491" i="1"/>
  <c r="J1491" i="1"/>
  <c r="D1491" i="1"/>
  <c r="B1491" i="1"/>
  <c r="L1490" i="1"/>
  <c r="K1490" i="1"/>
  <c r="J1490" i="1"/>
  <c r="D1490" i="1"/>
  <c r="B1490" i="1"/>
  <c r="L1489" i="1"/>
  <c r="K1489" i="1"/>
  <c r="J1489" i="1"/>
  <c r="D1489" i="1"/>
  <c r="B1489" i="1"/>
  <c r="L1488" i="1"/>
  <c r="K1488" i="1"/>
  <c r="J1488" i="1"/>
  <c r="D1488" i="1"/>
  <c r="B1488" i="1"/>
  <c r="L1487" i="1"/>
  <c r="K1487" i="1"/>
  <c r="J1487" i="1"/>
  <c r="D1487" i="1"/>
  <c r="B1487" i="1"/>
  <c r="L1486" i="1"/>
  <c r="K1486" i="1"/>
  <c r="J1486" i="1"/>
  <c r="D1486" i="1"/>
  <c r="B1486" i="1"/>
  <c r="L1485" i="1"/>
  <c r="K1485" i="1"/>
  <c r="J1485" i="1"/>
  <c r="D1485" i="1"/>
  <c r="B1485" i="1"/>
  <c r="L1484" i="1"/>
  <c r="K1484" i="1"/>
  <c r="J1484" i="1"/>
  <c r="D1484" i="1"/>
  <c r="B1484" i="1"/>
  <c r="L1483" i="1"/>
  <c r="K1483" i="1"/>
  <c r="J1483" i="1"/>
  <c r="D1483" i="1"/>
  <c r="B1483" i="1"/>
  <c r="L1482" i="1"/>
  <c r="K1482" i="1"/>
  <c r="J1482" i="1"/>
  <c r="D1482" i="1"/>
  <c r="B1482" i="1"/>
  <c r="L1481" i="1"/>
  <c r="K1481" i="1"/>
  <c r="J1481" i="1"/>
  <c r="D1481" i="1"/>
  <c r="B1481" i="1"/>
  <c r="L1480" i="1"/>
  <c r="K1480" i="1"/>
  <c r="J1480" i="1"/>
  <c r="D1480" i="1"/>
  <c r="B1480" i="1"/>
  <c r="L1479" i="1"/>
  <c r="K1479" i="1"/>
  <c r="J1479" i="1"/>
  <c r="D1479" i="1"/>
  <c r="B1479" i="1"/>
  <c r="L1478" i="1"/>
  <c r="K1478" i="1"/>
  <c r="J1478" i="1"/>
  <c r="D1478" i="1"/>
  <c r="B1478" i="1"/>
  <c r="L1477" i="1"/>
  <c r="K1477" i="1"/>
  <c r="J1477" i="1"/>
  <c r="D1477" i="1"/>
  <c r="B1477" i="1"/>
  <c r="L1476" i="1"/>
  <c r="K1476" i="1"/>
  <c r="J1476" i="1"/>
  <c r="D1476" i="1"/>
  <c r="B1476" i="1"/>
  <c r="L1475" i="1"/>
  <c r="K1475" i="1"/>
  <c r="J1475" i="1"/>
  <c r="D1475" i="1"/>
  <c r="B1475" i="1"/>
  <c r="L1474" i="1"/>
  <c r="K1474" i="1"/>
  <c r="J1474" i="1"/>
  <c r="D1474" i="1"/>
  <c r="B1474" i="1"/>
  <c r="L1473" i="1"/>
  <c r="K1473" i="1"/>
  <c r="J1473" i="1"/>
  <c r="D1473" i="1"/>
  <c r="B1473" i="1"/>
  <c r="L1472" i="1"/>
  <c r="K1472" i="1"/>
  <c r="J1472" i="1"/>
  <c r="D1472" i="1"/>
  <c r="B1472" i="1"/>
  <c r="L1471" i="1"/>
  <c r="K1471" i="1"/>
  <c r="J1471" i="1"/>
  <c r="D1471" i="1"/>
  <c r="B1471" i="1"/>
  <c r="L1470" i="1"/>
  <c r="K1470" i="1"/>
  <c r="J1470" i="1"/>
  <c r="D1470" i="1"/>
  <c r="B1470" i="1"/>
  <c r="L1469" i="1"/>
  <c r="K1469" i="1"/>
  <c r="J1469" i="1"/>
  <c r="D1469" i="1"/>
  <c r="B1469" i="1"/>
  <c r="L1468" i="1"/>
  <c r="K1468" i="1"/>
  <c r="J1468" i="1"/>
  <c r="D1468" i="1"/>
  <c r="B1468" i="1"/>
  <c r="L1467" i="1"/>
  <c r="K1467" i="1"/>
  <c r="J1467" i="1"/>
  <c r="D1467" i="1"/>
  <c r="B1467" i="1"/>
  <c r="L1466" i="1"/>
  <c r="K1466" i="1"/>
  <c r="J1466" i="1"/>
  <c r="D1466" i="1"/>
  <c r="B1466" i="1"/>
  <c r="L1465" i="1"/>
  <c r="K1465" i="1"/>
  <c r="J1465" i="1"/>
  <c r="D1465" i="1"/>
  <c r="B1465" i="1"/>
  <c r="L1464" i="1"/>
  <c r="K1464" i="1"/>
  <c r="J1464" i="1"/>
  <c r="D1464" i="1"/>
  <c r="B1464" i="1"/>
  <c r="L1463" i="1"/>
  <c r="K1463" i="1"/>
  <c r="J1463" i="1"/>
  <c r="D1463" i="1"/>
  <c r="B1463" i="1"/>
  <c r="L1462" i="1"/>
  <c r="K1462" i="1"/>
  <c r="J1462" i="1"/>
  <c r="D1462" i="1"/>
  <c r="B1462" i="1"/>
  <c r="L1461" i="1"/>
  <c r="K1461" i="1"/>
  <c r="J1461" i="1"/>
  <c r="D1461" i="1"/>
  <c r="B1461" i="1"/>
  <c r="L1460" i="1"/>
  <c r="K1460" i="1"/>
  <c r="J1460" i="1"/>
  <c r="D1460" i="1"/>
  <c r="B1460" i="1"/>
  <c r="L1459" i="1"/>
  <c r="K1459" i="1"/>
  <c r="J1459" i="1"/>
  <c r="D1459" i="1"/>
  <c r="B1459" i="1"/>
  <c r="L1458" i="1"/>
  <c r="K1458" i="1"/>
  <c r="J1458" i="1"/>
  <c r="D1458" i="1"/>
  <c r="B1458" i="1"/>
  <c r="L1457" i="1"/>
  <c r="K1457" i="1"/>
  <c r="J1457" i="1"/>
  <c r="D1457" i="1"/>
  <c r="B1457" i="1"/>
  <c r="L1456" i="1"/>
  <c r="K1456" i="1"/>
  <c r="J1456" i="1"/>
  <c r="D1456" i="1"/>
  <c r="B1456" i="1"/>
  <c r="L1455" i="1"/>
  <c r="K1455" i="1"/>
  <c r="J1455" i="1"/>
  <c r="D1455" i="1"/>
  <c r="B1455" i="1"/>
  <c r="L1454" i="1"/>
  <c r="K1454" i="1"/>
  <c r="J1454" i="1"/>
  <c r="D1454" i="1"/>
  <c r="B1454" i="1"/>
  <c r="L1453" i="1"/>
  <c r="K1453" i="1"/>
  <c r="J1453" i="1"/>
  <c r="D1453" i="1"/>
  <c r="B1453" i="1"/>
  <c r="L1452" i="1"/>
  <c r="K1452" i="1"/>
  <c r="J1452" i="1"/>
  <c r="D1452" i="1"/>
  <c r="B1452" i="1"/>
  <c r="L1451" i="1"/>
  <c r="K1451" i="1"/>
  <c r="J1451" i="1"/>
  <c r="D1451" i="1"/>
  <c r="B1451" i="1"/>
  <c r="L1450" i="1"/>
  <c r="K1450" i="1"/>
  <c r="J1450" i="1"/>
  <c r="D1450" i="1"/>
  <c r="B1450" i="1"/>
  <c r="L1449" i="1"/>
  <c r="K1449" i="1"/>
  <c r="J1449" i="1"/>
  <c r="D1449" i="1"/>
  <c r="B1449" i="1"/>
  <c r="L1448" i="1"/>
  <c r="K1448" i="1"/>
  <c r="J1448" i="1"/>
  <c r="D1448" i="1"/>
  <c r="B1448" i="1"/>
  <c r="L1447" i="1"/>
  <c r="K1447" i="1"/>
  <c r="J1447" i="1"/>
  <c r="D1447" i="1"/>
  <c r="B1447" i="1"/>
  <c r="L1446" i="1"/>
  <c r="K1446" i="1"/>
  <c r="J1446" i="1"/>
  <c r="D1446" i="1"/>
  <c r="B1446" i="1"/>
  <c r="L1445" i="1"/>
  <c r="K1445" i="1"/>
  <c r="J1445" i="1"/>
  <c r="D1445" i="1"/>
  <c r="B1445" i="1"/>
  <c r="L1444" i="1"/>
  <c r="K1444" i="1"/>
  <c r="J1444" i="1"/>
  <c r="D1444" i="1"/>
  <c r="B1444" i="1"/>
  <c r="L1443" i="1"/>
  <c r="K1443" i="1"/>
  <c r="J1443" i="1"/>
  <c r="D1443" i="1"/>
  <c r="B1443" i="1"/>
  <c r="L1442" i="1"/>
  <c r="K1442" i="1"/>
  <c r="J1442" i="1"/>
  <c r="D1442" i="1"/>
  <c r="B1442" i="1"/>
  <c r="L1441" i="1"/>
  <c r="K1441" i="1"/>
  <c r="J1441" i="1"/>
  <c r="D1441" i="1"/>
  <c r="B1441" i="1"/>
  <c r="L1440" i="1"/>
  <c r="K1440" i="1"/>
  <c r="J1440" i="1"/>
  <c r="D1440" i="1"/>
  <c r="B1440" i="1"/>
  <c r="L1439" i="1"/>
  <c r="K1439" i="1"/>
  <c r="J1439" i="1"/>
  <c r="D1439" i="1"/>
  <c r="B1439" i="1"/>
  <c r="L1438" i="1"/>
  <c r="K1438" i="1"/>
  <c r="J1438" i="1"/>
  <c r="D1438" i="1"/>
  <c r="B1438" i="1"/>
  <c r="L1437" i="1"/>
  <c r="K1437" i="1"/>
  <c r="J1437" i="1"/>
  <c r="D1437" i="1"/>
  <c r="B1437" i="1"/>
  <c r="L1436" i="1"/>
  <c r="K1436" i="1"/>
  <c r="J1436" i="1"/>
  <c r="D1436" i="1"/>
  <c r="B1436" i="1"/>
  <c r="L1435" i="1"/>
  <c r="K1435" i="1"/>
  <c r="J1435" i="1"/>
  <c r="D1435" i="1"/>
  <c r="B1435" i="1"/>
  <c r="L1434" i="1"/>
  <c r="K1434" i="1"/>
  <c r="J1434" i="1"/>
  <c r="D1434" i="1"/>
  <c r="B1434" i="1"/>
  <c r="L1433" i="1"/>
  <c r="K1433" i="1"/>
  <c r="J1433" i="1"/>
  <c r="D1433" i="1"/>
  <c r="B1433" i="1"/>
  <c r="L1432" i="1"/>
  <c r="K1432" i="1"/>
  <c r="J1432" i="1"/>
  <c r="D1432" i="1"/>
  <c r="B1432" i="1"/>
  <c r="L1431" i="1"/>
  <c r="K1431" i="1"/>
  <c r="J1431" i="1"/>
  <c r="D1431" i="1"/>
  <c r="B1431" i="1"/>
  <c r="L1430" i="1"/>
  <c r="K1430" i="1"/>
  <c r="J1430" i="1"/>
  <c r="D1430" i="1"/>
  <c r="B1430" i="1"/>
  <c r="L1429" i="1"/>
  <c r="K1429" i="1"/>
  <c r="J1429" i="1"/>
  <c r="D1429" i="1"/>
  <c r="B1429" i="1"/>
  <c r="L1428" i="1"/>
  <c r="K1428" i="1"/>
  <c r="J1428" i="1"/>
  <c r="D1428" i="1"/>
  <c r="B1428" i="1"/>
  <c r="L1427" i="1"/>
  <c r="K1427" i="1"/>
  <c r="J1427" i="1"/>
  <c r="D1427" i="1"/>
  <c r="B1427" i="1"/>
  <c r="L1426" i="1"/>
  <c r="K1426" i="1"/>
  <c r="J1426" i="1"/>
  <c r="D1426" i="1"/>
  <c r="B1426" i="1"/>
  <c r="L1425" i="1"/>
  <c r="K1425" i="1"/>
  <c r="J1425" i="1"/>
  <c r="D1425" i="1"/>
  <c r="B1425" i="1"/>
  <c r="L1424" i="1"/>
  <c r="K1424" i="1"/>
  <c r="J1424" i="1"/>
  <c r="D1424" i="1"/>
  <c r="B1424" i="1"/>
  <c r="L1423" i="1"/>
  <c r="K1423" i="1"/>
  <c r="J1423" i="1"/>
  <c r="D1423" i="1"/>
  <c r="B1423" i="1"/>
  <c r="L1422" i="1"/>
  <c r="K1422" i="1"/>
  <c r="J1422" i="1"/>
  <c r="D1422" i="1"/>
  <c r="B1422" i="1"/>
  <c r="L1421" i="1"/>
  <c r="K1421" i="1"/>
  <c r="J1421" i="1"/>
  <c r="D1421" i="1"/>
  <c r="B1421" i="1"/>
  <c r="L1420" i="1"/>
  <c r="K1420" i="1"/>
  <c r="J1420" i="1"/>
  <c r="D1420" i="1"/>
  <c r="B1420" i="1"/>
  <c r="L1419" i="1"/>
  <c r="K1419" i="1"/>
  <c r="J1419" i="1"/>
  <c r="D1419" i="1"/>
  <c r="B1419" i="1"/>
  <c r="L1418" i="1"/>
  <c r="K1418" i="1"/>
  <c r="J1418" i="1"/>
  <c r="D1418" i="1"/>
  <c r="B1418" i="1"/>
  <c r="L1417" i="1"/>
  <c r="K1417" i="1"/>
  <c r="J1417" i="1"/>
  <c r="D1417" i="1"/>
  <c r="B1417" i="1"/>
  <c r="L1416" i="1"/>
  <c r="K1416" i="1"/>
  <c r="J1416" i="1"/>
  <c r="D1416" i="1"/>
  <c r="B1416" i="1"/>
  <c r="L1415" i="1"/>
  <c r="K1415" i="1"/>
  <c r="J1415" i="1"/>
  <c r="D1415" i="1"/>
  <c r="B1415" i="1"/>
  <c r="L1414" i="1"/>
  <c r="K1414" i="1"/>
  <c r="J1414" i="1"/>
  <c r="D1414" i="1"/>
  <c r="B1414" i="1"/>
  <c r="L1413" i="1"/>
  <c r="K1413" i="1"/>
  <c r="J1413" i="1"/>
  <c r="D1413" i="1"/>
  <c r="B1413" i="1"/>
  <c r="L1412" i="1"/>
  <c r="K1412" i="1"/>
  <c r="J1412" i="1"/>
  <c r="D1412" i="1"/>
  <c r="B1412" i="1"/>
  <c r="L1411" i="1"/>
  <c r="K1411" i="1"/>
  <c r="J1411" i="1"/>
  <c r="D1411" i="1"/>
  <c r="B1411" i="1"/>
  <c r="L1410" i="1"/>
  <c r="K1410" i="1"/>
  <c r="J1410" i="1"/>
  <c r="D1410" i="1"/>
  <c r="B1410" i="1"/>
  <c r="L1409" i="1"/>
  <c r="K1409" i="1"/>
  <c r="J1409" i="1"/>
  <c r="D1409" i="1"/>
  <c r="B1409" i="1"/>
  <c r="L1408" i="1"/>
  <c r="K1408" i="1"/>
  <c r="J1408" i="1"/>
  <c r="D1408" i="1"/>
  <c r="B1408" i="1"/>
  <c r="L1407" i="1"/>
  <c r="K1407" i="1"/>
  <c r="J1407" i="1"/>
  <c r="D1407" i="1"/>
  <c r="B1407" i="1"/>
  <c r="L1406" i="1"/>
  <c r="K1406" i="1"/>
  <c r="J1406" i="1"/>
  <c r="D1406" i="1"/>
  <c r="B1406" i="1"/>
  <c r="L1405" i="1"/>
  <c r="K1405" i="1"/>
  <c r="J1405" i="1"/>
  <c r="D1405" i="1"/>
  <c r="B1405" i="1"/>
  <c r="L1404" i="1"/>
  <c r="K1404" i="1"/>
  <c r="J1404" i="1"/>
  <c r="D1404" i="1"/>
  <c r="B1404" i="1"/>
  <c r="L1403" i="1"/>
  <c r="K1403" i="1"/>
  <c r="J1403" i="1"/>
  <c r="D1403" i="1"/>
  <c r="B1403" i="1"/>
  <c r="L1402" i="1"/>
  <c r="K1402" i="1"/>
  <c r="J1402" i="1"/>
  <c r="D1402" i="1"/>
  <c r="B1402" i="1"/>
  <c r="L1401" i="1"/>
  <c r="K1401" i="1"/>
  <c r="J1401" i="1"/>
  <c r="D1401" i="1"/>
  <c r="B1401" i="1"/>
  <c r="L1400" i="1"/>
  <c r="K1400" i="1"/>
  <c r="J1400" i="1"/>
  <c r="D1400" i="1"/>
  <c r="B1400" i="1"/>
  <c r="L1399" i="1"/>
  <c r="K1399" i="1"/>
  <c r="J1399" i="1"/>
  <c r="D1399" i="1"/>
  <c r="B1399" i="1"/>
  <c r="L1398" i="1"/>
  <c r="K1398" i="1"/>
  <c r="J1398" i="1"/>
  <c r="D1398" i="1"/>
  <c r="B1398" i="1"/>
  <c r="L1397" i="1"/>
  <c r="K1397" i="1"/>
  <c r="J1397" i="1"/>
  <c r="D1397" i="1"/>
  <c r="B1397" i="1"/>
  <c r="L1396" i="1"/>
  <c r="K1396" i="1"/>
  <c r="J1396" i="1"/>
  <c r="D1396" i="1"/>
  <c r="B1396" i="1"/>
  <c r="L1395" i="1"/>
  <c r="K1395" i="1"/>
  <c r="J1395" i="1"/>
  <c r="D1395" i="1"/>
  <c r="B1395" i="1"/>
  <c r="L1394" i="1"/>
  <c r="K1394" i="1"/>
  <c r="J1394" i="1"/>
  <c r="D1394" i="1"/>
  <c r="B1394" i="1"/>
  <c r="L1393" i="1"/>
  <c r="K1393" i="1"/>
  <c r="J1393" i="1"/>
  <c r="D1393" i="1"/>
  <c r="B1393" i="1"/>
  <c r="L1392" i="1"/>
  <c r="K1392" i="1"/>
  <c r="J1392" i="1"/>
  <c r="D1392" i="1"/>
  <c r="B1392" i="1"/>
  <c r="L1391" i="1"/>
  <c r="K1391" i="1"/>
  <c r="J1391" i="1"/>
  <c r="D1391" i="1"/>
  <c r="B1391" i="1"/>
  <c r="L1390" i="1"/>
  <c r="K1390" i="1"/>
  <c r="J1390" i="1"/>
  <c r="D1390" i="1"/>
  <c r="B1390" i="1"/>
  <c r="L1389" i="1"/>
  <c r="K1389" i="1"/>
  <c r="J1389" i="1"/>
  <c r="D1389" i="1"/>
  <c r="B1389" i="1"/>
  <c r="L1388" i="1"/>
  <c r="K1388" i="1"/>
  <c r="J1388" i="1"/>
  <c r="D1388" i="1"/>
  <c r="B1388" i="1"/>
  <c r="L1387" i="1"/>
  <c r="K1387" i="1"/>
  <c r="J1387" i="1"/>
  <c r="D1387" i="1"/>
  <c r="B1387" i="1"/>
  <c r="L1386" i="1"/>
  <c r="K1386" i="1"/>
  <c r="J1386" i="1"/>
  <c r="D1386" i="1"/>
  <c r="B1386" i="1"/>
  <c r="L1385" i="1"/>
  <c r="K1385" i="1"/>
  <c r="J1385" i="1"/>
  <c r="D1385" i="1"/>
  <c r="B1385" i="1"/>
  <c r="L1384" i="1"/>
  <c r="K1384" i="1"/>
  <c r="J1384" i="1"/>
  <c r="D1384" i="1"/>
  <c r="B1384" i="1"/>
  <c r="L1383" i="1"/>
  <c r="K1383" i="1"/>
  <c r="J1383" i="1"/>
  <c r="D1383" i="1"/>
  <c r="B1383" i="1"/>
  <c r="L1382" i="1"/>
  <c r="K1382" i="1"/>
  <c r="J1382" i="1"/>
  <c r="D1382" i="1"/>
  <c r="B1382" i="1"/>
  <c r="L1381" i="1"/>
  <c r="K1381" i="1"/>
  <c r="J1381" i="1"/>
  <c r="D1381" i="1"/>
  <c r="B1381" i="1"/>
  <c r="L1380" i="1"/>
  <c r="K1380" i="1"/>
  <c r="J1380" i="1"/>
  <c r="D1380" i="1"/>
  <c r="B1380" i="1"/>
  <c r="L1379" i="1"/>
  <c r="K1379" i="1"/>
  <c r="J1379" i="1"/>
  <c r="D1379" i="1"/>
  <c r="B1379" i="1"/>
  <c r="L1378" i="1"/>
  <c r="K1378" i="1"/>
  <c r="J1378" i="1"/>
  <c r="D1378" i="1"/>
  <c r="B1378" i="1"/>
  <c r="L1377" i="1"/>
  <c r="K1377" i="1"/>
  <c r="J1377" i="1"/>
  <c r="D1377" i="1"/>
  <c r="B1377" i="1"/>
  <c r="L1376" i="1"/>
  <c r="K1376" i="1"/>
  <c r="J1376" i="1"/>
  <c r="D1376" i="1"/>
  <c r="B1376" i="1"/>
  <c r="L1375" i="1"/>
  <c r="K1375" i="1"/>
  <c r="J1375" i="1"/>
  <c r="D1375" i="1"/>
  <c r="B1375" i="1"/>
  <c r="L1374" i="1"/>
  <c r="K1374" i="1"/>
  <c r="J1374" i="1"/>
  <c r="D1374" i="1"/>
  <c r="B1374" i="1"/>
  <c r="L1373" i="1"/>
  <c r="K1373" i="1"/>
  <c r="J1373" i="1"/>
  <c r="D1373" i="1"/>
  <c r="B1373" i="1"/>
  <c r="L1372" i="1"/>
  <c r="K1372" i="1"/>
  <c r="J1372" i="1"/>
  <c r="D1372" i="1"/>
  <c r="B1372" i="1"/>
  <c r="L1371" i="1"/>
  <c r="K1371" i="1"/>
  <c r="J1371" i="1"/>
  <c r="D1371" i="1"/>
  <c r="B1371" i="1"/>
  <c r="L1370" i="1"/>
  <c r="K1370" i="1"/>
  <c r="J1370" i="1"/>
  <c r="D1370" i="1"/>
  <c r="B1370" i="1"/>
  <c r="L1369" i="1"/>
  <c r="K1369" i="1"/>
  <c r="J1369" i="1"/>
  <c r="D1369" i="1"/>
  <c r="B1369" i="1"/>
  <c r="L1368" i="1"/>
  <c r="K1368" i="1"/>
  <c r="J1368" i="1"/>
  <c r="D1368" i="1"/>
  <c r="B1368" i="1"/>
  <c r="L1367" i="1"/>
  <c r="K1367" i="1"/>
  <c r="J1367" i="1"/>
  <c r="D1367" i="1"/>
  <c r="B1367" i="1"/>
  <c r="L1366" i="1"/>
  <c r="K1366" i="1"/>
  <c r="J1366" i="1"/>
  <c r="D1366" i="1"/>
  <c r="B1366" i="1"/>
  <c r="L1365" i="1"/>
  <c r="K1365" i="1"/>
  <c r="J1365" i="1"/>
  <c r="D1365" i="1"/>
  <c r="B1365" i="1"/>
  <c r="L1364" i="1"/>
  <c r="K1364" i="1"/>
  <c r="J1364" i="1"/>
  <c r="D1364" i="1"/>
  <c r="B1364" i="1"/>
  <c r="L1363" i="1"/>
  <c r="K1363" i="1"/>
  <c r="J1363" i="1"/>
  <c r="D1363" i="1"/>
  <c r="B1363" i="1"/>
  <c r="L1362" i="1"/>
  <c r="K1362" i="1"/>
  <c r="J1362" i="1"/>
  <c r="D1362" i="1"/>
  <c r="B1362" i="1"/>
  <c r="L1361" i="1"/>
  <c r="K1361" i="1"/>
  <c r="J1361" i="1"/>
  <c r="D1361" i="1"/>
  <c r="B1361" i="1"/>
  <c r="L1360" i="1"/>
  <c r="K1360" i="1"/>
  <c r="J1360" i="1"/>
  <c r="D1360" i="1"/>
  <c r="B1360" i="1"/>
  <c r="L1359" i="1"/>
  <c r="K1359" i="1"/>
  <c r="J1359" i="1"/>
  <c r="D1359" i="1"/>
  <c r="B1359" i="1"/>
  <c r="L1358" i="1"/>
  <c r="K1358" i="1"/>
  <c r="J1358" i="1"/>
  <c r="D1358" i="1"/>
  <c r="B1358" i="1"/>
  <c r="L1357" i="1"/>
  <c r="K1357" i="1"/>
  <c r="J1357" i="1"/>
  <c r="D1357" i="1"/>
  <c r="B1357" i="1"/>
  <c r="L1356" i="1"/>
  <c r="K1356" i="1"/>
  <c r="J1356" i="1"/>
  <c r="D1356" i="1"/>
  <c r="B1356" i="1"/>
  <c r="L1355" i="1"/>
  <c r="K1355" i="1"/>
  <c r="J1355" i="1"/>
  <c r="D1355" i="1"/>
  <c r="B1355" i="1"/>
  <c r="L1354" i="1"/>
  <c r="K1354" i="1"/>
  <c r="J1354" i="1"/>
  <c r="D1354" i="1"/>
  <c r="B1354" i="1"/>
  <c r="L1353" i="1"/>
  <c r="K1353" i="1"/>
  <c r="J1353" i="1"/>
  <c r="D1353" i="1"/>
  <c r="B1353" i="1"/>
  <c r="L1352" i="1"/>
  <c r="K1352" i="1"/>
  <c r="J1352" i="1"/>
  <c r="D1352" i="1"/>
  <c r="B1352" i="1"/>
  <c r="L1351" i="1"/>
  <c r="K1351" i="1"/>
  <c r="J1351" i="1"/>
  <c r="D1351" i="1"/>
  <c r="B1351" i="1"/>
  <c r="L1350" i="1"/>
  <c r="K1350" i="1"/>
  <c r="J1350" i="1"/>
  <c r="D1350" i="1"/>
  <c r="B1350" i="1"/>
  <c r="L1349" i="1"/>
  <c r="K1349" i="1"/>
  <c r="J1349" i="1"/>
  <c r="D1349" i="1"/>
  <c r="B1349" i="1"/>
  <c r="L1348" i="1"/>
  <c r="K1348" i="1"/>
  <c r="J1348" i="1"/>
  <c r="D1348" i="1"/>
  <c r="B1348" i="1"/>
  <c r="L1347" i="1"/>
  <c r="K1347" i="1"/>
  <c r="J1347" i="1"/>
  <c r="D1347" i="1"/>
  <c r="B1347" i="1"/>
  <c r="L1346" i="1"/>
  <c r="K1346" i="1"/>
  <c r="J1346" i="1"/>
  <c r="D1346" i="1"/>
  <c r="B1346" i="1"/>
  <c r="L1345" i="1"/>
  <c r="K1345" i="1"/>
  <c r="J1345" i="1"/>
  <c r="D1345" i="1"/>
  <c r="B1345" i="1"/>
  <c r="L1344" i="1"/>
  <c r="K1344" i="1"/>
  <c r="J1344" i="1"/>
  <c r="D1344" i="1"/>
  <c r="B1344" i="1"/>
  <c r="L1343" i="1"/>
  <c r="K1343" i="1"/>
  <c r="J1343" i="1"/>
  <c r="D1343" i="1"/>
  <c r="B1343" i="1"/>
  <c r="L1342" i="1"/>
  <c r="K1342" i="1"/>
  <c r="J1342" i="1"/>
  <c r="D1342" i="1"/>
  <c r="B1342" i="1"/>
  <c r="L1341" i="1"/>
  <c r="K1341" i="1"/>
  <c r="J1341" i="1"/>
  <c r="D1341" i="1"/>
  <c r="B1341" i="1"/>
  <c r="L1340" i="1"/>
  <c r="K1340" i="1"/>
  <c r="J1340" i="1"/>
  <c r="D1340" i="1"/>
  <c r="B1340" i="1"/>
  <c r="L1339" i="1"/>
  <c r="K1339" i="1"/>
  <c r="J1339" i="1"/>
  <c r="D1339" i="1"/>
  <c r="B1339" i="1"/>
  <c r="L1338" i="1"/>
  <c r="K1338" i="1"/>
  <c r="J1338" i="1"/>
  <c r="D1338" i="1"/>
  <c r="B1338" i="1"/>
  <c r="L1337" i="1"/>
  <c r="K1337" i="1"/>
  <c r="J1337" i="1"/>
  <c r="D1337" i="1"/>
  <c r="B1337" i="1"/>
  <c r="L1336" i="1"/>
  <c r="K1336" i="1"/>
  <c r="J1336" i="1"/>
  <c r="D1336" i="1"/>
  <c r="B1336" i="1"/>
  <c r="L1335" i="1"/>
  <c r="K1335" i="1"/>
  <c r="J1335" i="1"/>
  <c r="D1335" i="1"/>
  <c r="B1335" i="1"/>
  <c r="L1334" i="1"/>
  <c r="K1334" i="1"/>
  <c r="J1334" i="1"/>
  <c r="D1334" i="1"/>
  <c r="B1334" i="1"/>
  <c r="L1333" i="1"/>
  <c r="K1333" i="1"/>
  <c r="J1333" i="1"/>
  <c r="D1333" i="1"/>
  <c r="B1333" i="1"/>
  <c r="L1332" i="1"/>
  <c r="K1332" i="1"/>
  <c r="J1332" i="1"/>
  <c r="D1332" i="1"/>
  <c r="B1332" i="1"/>
  <c r="L1331" i="1"/>
  <c r="K1331" i="1"/>
  <c r="J1331" i="1"/>
  <c r="D1331" i="1"/>
  <c r="B1331" i="1"/>
  <c r="L1330" i="1"/>
  <c r="K1330" i="1"/>
  <c r="J1330" i="1"/>
  <c r="D1330" i="1"/>
  <c r="B1330" i="1"/>
  <c r="L1329" i="1"/>
  <c r="K1329" i="1"/>
  <c r="J1329" i="1"/>
  <c r="D1329" i="1"/>
  <c r="B1329" i="1"/>
  <c r="L1328" i="1"/>
  <c r="K1328" i="1"/>
  <c r="J1328" i="1"/>
  <c r="D1328" i="1"/>
  <c r="B1328" i="1"/>
  <c r="L1327" i="1"/>
  <c r="K1327" i="1"/>
  <c r="J1327" i="1"/>
  <c r="D1327" i="1"/>
  <c r="B1327" i="1"/>
  <c r="L1326" i="1"/>
  <c r="K1326" i="1"/>
  <c r="J1326" i="1"/>
  <c r="D1326" i="1"/>
  <c r="B1326" i="1"/>
  <c r="L1325" i="1"/>
  <c r="K1325" i="1"/>
  <c r="J1325" i="1"/>
  <c r="D1325" i="1"/>
  <c r="B1325" i="1"/>
  <c r="L1324" i="1"/>
  <c r="K1324" i="1"/>
  <c r="J1324" i="1"/>
  <c r="D1324" i="1"/>
  <c r="B1324" i="1"/>
  <c r="L1323" i="1"/>
  <c r="K1323" i="1"/>
  <c r="J1323" i="1"/>
  <c r="D1323" i="1"/>
  <c r="B1323" i="1"/>
  <c r="L1322" i="1"/>
  <c r="K1322" i="1"/>
  <c r="J1322" i="1"/>
  <c r="D1322" i="1"/>
  <c r="B1322" i="1"/>
  <c r="L1321" i="1"/>
  <c r="K1321" i="1"/>
  <c r="J1321" i="1"/>
  <c r="D1321" i="1"/>
  <c r="B1321" i="1"/>
  <c r="L1320" i="1"/>
  <c r="K1320" i="1"/>
  <c r="J1320" i="1"/>
  <c r="D1320" i="1"/>
  <c r="B1320" i="1"/>
  <c r="L1319" i="1"/>
  <c r="K1319" i="1"/>
  <c r="J1319" i="1"/>
  <c r="D1319" i="1"/>
  <c r="B1319" i="1"/>
  <c r="L1318" i="1"/>
  <c r="K1318" i="1"/>
  <c r="J1318" i="1"/>
  <c r="D1318" i="1"/>
  <c r="B1318" i="1"/>
  <c r="L1317" i="1"/>
  <c r="K1317" i="1"/>
  <c r="J1317" i="1"/>
  <c r="D1317" i="1"/>
  <c r="B1317" i="1"/>
  <c r="L1316" i="1"/>
  <c r="K1316" i="1"/>
  <c r="J1316" i="1"/>
  <c r="D1316" i="1"/>
  <c r="B1316" i="1"/>
  <c r="L1315" i="1"/>
  <c r="K1315" i="1"/>
  <c r="J1315" i="1"/>
  <c r="D1315" i="1"/>
  <c r="B1315" i="1"/>
  <c r="L1314" i="1"/>
  <c r="K1314" i="1"/>
  <c r="J1314" i="1"/>
  <c r="D1314" i="1"/>
  <c r="B1314" i="1"/>
  <c r="L1313" i="1"/>
  <c r="K1313" i="1"/>
  <c r="J1313" i="1"/>
  <c r="D1313" i="1"/>
  <c r="B1313" i="1"/>
  <c r="L1312" i="1"/>
  <c r="K1312" i="1"/>
  <c r="J1312" i="1"/>
  <c r="D1312" i="1"/>
  <c r="B1312" i="1"/>
  <c r="L1311" i="1"/>
  <c r="K1311" i="1"/>
  <c r="J1311" i="1"/>
  <c r="D1311" i="1"/>
  <c r="B1311" i="1"/>
  <c r="L1310" i="1"/>
  <c r="K1310" i="1"/>
  <c r="J1310" i="1"/>
  <c r="D1310" i="1"/>
  <c r="B1310" i="1"/>
  <c r="L1309" i="1"/>
  <c r="K1309" i="1"/>
  <c r="J1309" i="1"/>
  <c r="D1309" i="1"/>
  <c r="B1309" i="1"/>
  <c r="L1308" i="1"/>
  <c r="K1308" i="1"/>
  <c r="J1308" i="1"/>
  <c r="D1308" i="1"/>
  <c r="B1308" i="1"/>
  <c r="L1307" i="1"/>
  <c r="K1307" i="1"/>
  <c r="J1307" i="1"/>
  <c r="D1307" i="1"/>
  <c r="B1307" i="1"/>
  <c r="L1306" i="1"/>
  <c r="K1306" i="1"/>
  <c r="J1306" i="1"/>
  <c r="D1306" i="1"/>
  <c r="B1306" i="1"/>
  <c r="L1305" i="1"/>
  <c r="K1305" i="1"/>
  <c r="J1305" i="1"/>
  <c r="D1305" i="1"/>
  <c r="B1305" i="1"/>
  <c r="L1304" i="1"/>
  <c r="K1304" i="1"/>
  <c r="J1304" i="1"/>
  <c r="D1304" i="1"/>
  <c r="B1304" i="1"/>
  <c r="L1303" i="1"/>
  <c r="K1303" i="1"/>
  <c r="J1303" i="1"/>
  <c r="D1303" i="1"/>
  <c r="B1303" i="1"/>
  <c r="L1302" i="1"/>
  <c r="K1302" i="1"/>
  <c r="J1302" i="1"/>
  <c r="D1302" i="1"/>
  <c r="B1302" i="1"/>
  <c r="L1301" i="1"/>
  <c r="K1301" i="1"/>
  <c r="J1301" i="1"/>
  <c r="D1301" i="1"/>
  <c r="B1301" i="1"/>
  <c r="L1300" i="1"/>
  <c r="K1300" i="1"/>
  <c r="J1300" i="1"/>
  <c r="D1300" i="1"/>
  <c r="B1300" i="1"/>
  <c r="L1299" i="1"/>
  <c r="K1299" i="1"/>
  <c r="J1299" i="1"/>
  <c r="D1299" i="1"/>
  <c r="B1299" i="1"/>
  <c r="L1298" i="1"/>
  <c r="K1298" i="1"/>
  <c r="J1298" i="1"/>
  <c r="D1298" i="1"/>
  <c r="B1298" i="1"/>
  <c r="L1297" i="1"/>
  <c r="K1297" i="1"/>
  <c r="J1297" i="1"/>
  <c r="D1297" i="1"/>
  <c r="B1297" i="1"/>
  <c r="L1296" i="1"/>
  <c r="K1296" i="1"/>
  <c r="J1296" i="1"/>
  <c r="D1296" i="1"/>
  <c r="B1296" i="1"/>
  <c r="L1295" i="1"/>
  <c r="K1295" i="1"/>
  <c r="J1295" i="1"/>
  <c r="D1295" i="1"/>
  <c r="B1295" i="1"/>
  <c r="L1294" i="1"/>
  <c r="K1294" i="1"/>
  <c r="J1294" i="1"/>
  <c r="D1294" i="1"/>
  <c r="B1294" i="1"/>
  <c r="L1293" i="1"/>
  <c r="K1293" i="1"/>
  <c r="J1293" i="1"/>
  <c r="D1293" i="1"/>
  <c r="B1293" i="1"/>
  <c r="L1292" i="1"/>
  <c r="K1292" i="1"/>
  <c r="J1292" i="1"/>
  <c r="D1292" i="1"/>
  <c r="B1292" i="1"/>
  <c r="L1291" i="1"/>
  <c r="K1291" i="1"/>
  <c r="J1291" i="1"/>
  <c r="D1291" i="1"/>
  <c r="B1291" i="1"/>
  <c r="L1290" i="1"/>
  <c r="K1290" i="1"/>
  <c r="J1290" i="1"/>
  <c r="D1290" i="1"/>
  <c r="B1290" i="1"/>
  <c r="L1289" i="1"/>
  <c r="K1289" i="1"/>
  <c r="J1289" i="1"/>
  <c r="D1289" i="1"/>
  <c r="B1289" i="1"/>
  <c r="L1288" i="1"/>
  <c r="K1288" i="1"/>
  <c r="J1288" i="1"/>
  <c r="D1288" i="1"/>
  <c r="B1288" i="1"/>
  <c r="L1287" i="1"/>
  <c r="K1287" i="1"/>
  <c r="J1287" i="1"/>
  <c r="D1287" i="1"/>
  <c r="B1287" i="1"/>
  <c r="L1286" i="1"/>
  <c r="K1286" i="1"/>
  <c r="J1286" i="1"/>
  <c r="D1286" i="1"/>
  <c r="B1286" i="1"/>
  <c r="L1285" i="1"/>
  <c r="K1285" i="1"/>
  <c r="J1285" i="1"/>
  <c r="D1285" i="1"/>
  <c r="B1285" i="1"/>
  <c r="L1284" i="1"/>
  <c r="K1284" i="1"/>
  <c r="J1284" i="1"/>
  <c r="D1284" i="1"/>
  <c r="B1284" i="1"/>
  <c r="L1283" i="1"/>
  <c r="K1283" i="1"/>
  <c r="J1283" i="1"/>
  <c r="D1283" i="1"/>
  <c r="B1283" i="1"/>
  <c r="L1282" i="1"/>
  <c r="K1282" i="1"/>
  <c r="J1282" i="1"/>
  <c r="D1282" i="1"/>
  <c r="B1282" i="1"/>
  <c r="L1281" i="1"/>
  <c r="K1281" i="1"/>
  <c r="J1281" i="1"/>
  <c r="D1281" i="1"/>
  <c r="B1281" i="1"/>
  <c r="L1280" i="1"/>
  <c r="K1280" i="1"/>
  <c r="J1280" i="1"/>
  <c r="D1280" i="1"/>
  <c r="B1280" i="1"/>
  <c r="L1279" i="1"/>
  <c r="K1279" i="1"/>
  <c r="J1279" i="1"/>
  <c r="D1279" i="1"/>
  <c r="B1279" i="1"/>
  <c r="L1278" i="1"/>
  <c r="K1278" i="1"/>
  <c r="J1278" i="1"/>
  <c r="D1278" i="1"/>
  <c r="B1278" i="1"/>
  <c r="L1277" i="1"/>
  <c r="K1277" i="1"/>
  <c r="J1277" i="1"/>
  <c r="D1277" i="1"/>
  <c r="B1277" i="1"/>
  <c r="L1276" i="1"/>
  <c r="K1276" i="1"/>
  <c r="J1276" i="1"/>
  <c r="D1276" i="1"/>
  <c r="B1276" i="1"/>
  <c r="L1275" i="1"/>
  <c r="K1275" i="1"/>
  <c r="J1275" i="1"/>
  <c r="D1275" i="1"/>
  <c r="B1275" i="1"/>
  <c r="L1274" i="1"/>
  <c r="K1274" i="1"/>
  <c r="J1274" i="1"/>
  <c r="D1274" i="1"/>
  <c r="B1274" i="1"/>
  <c r="L1273" i="1"/>
  <c r="K1273" i="1"/>
  <c r="J1273" i="1"/>
  <c r="D1273" i="1"/>
  <c r="B1273" i="1"/>
  <c r="L1272" i="1"/>
  <c r="K1272" i="1"/>
  <c r="J1272" i="1"/>
  <c r="D1272" i="1"/>
  <c r="B1272" i="1"/>
  <c r="L1271" i="1"/>
  <c r="K1271" i="1"/>
  <c r="J1271" i="1"/>
  <c r="D1271" i="1"/>
  <c r="B1271" i="1"/>
  <c r="L1270" i="1"/>
  <c r="K1270" i="1"/>
  <c r="J1270" i="1"/>
  <c r="D1270" i="1"/>
  <c r="B1270" i="1"/>
  <c r="L1269" i="1"/>
  <c r="K1269" i="1"/>
  <c r="J1269" i="1"/>
  <c r="D1269" i="1"/>
  <c r="B1269" i="1"/>
  <c r="L1268" i="1"/>
  <c r="K1268" i="1"/>
  <c r="J1268" i="1"/>
  <c r="D1268" i="1"/>
  <c r="B1268" i="1"/>
  <c r="L1267" i="1"/>
  <c r="K1267" i="1"/>
  <c r="J1267" i="1"/>
  <c r="D1267" i="1"/>
  <c r="B1267" i="1"/>
  <c r="L1266" i="1"/>
  <c r="K1266" i="1"/>
  <c r="J1266" i="1"/>
  <c r="D1266" i="1"/>
  <c r="B1266" i="1"/>
  <c r="L1265" i="1"/>
  <c r="K1265" i="1"/>
  <c r="J1265" i="1"/>
  <c r="D1265" i="1"/>
  <c r="B1265" i="1"/>
  <c r="L1264" i="1"/>
  <c r="K1264" i="1"/>
  <c r="J1264" i="1"/>
  <c r="D1264" i="1"/>
  <c r="B1264" i="1"/>
  <c r="L1263" i="1"/>
  <c r="K1263" i="1"/>
  <c r="J1263" i="1"/>
  <c r="D1263" i="1"/>
  <c r="B1263" i="1"/>
  <c r="L1262" i="1"/>
  <c r="K1262" i="1"/>
  <c r="J1262" i="1"/>
  <c r="D1262" i="1"/>
  <c r="B1262" i="1"/>
  <c r="L1261" i="1"/>
  <c r="K1261" i="1"/>
  <c r="J1261" i="1"/>
  <c r="D1261" i="1"/>
  <c r="B1261" i="1"/>
  <c r="L1260" i="1"/>
  <c r="K1260" i="1"/>
  <c r="J1260" i="1"/>
  <c r="D1260" i="1"/>
  <c r="B1260" i="1"/>
  <c r="L1259" i="1"/>
  <c r="K1259" i="1"/>
  <c r="J1259" i="1"/>
  <c r="D1259" i="1"/>
  <c r="B1259" i="1"/>
  <c r="L1258" i="1"/>
  <c r="K1258" i="1"/>
  <c r="J1258" i="1"/>
  <c r="D1258" i="1"/>
  <c r="B1258" i="1"/>
  <c r="L1257" i="1"/>
  <c r="K1257" i="1"/>
  <c r="J1257" i="1"/>
  <c r="D1257" i="1"/>
  <c r="B1257" i="1"/>
  <c r="L1256" i="1"/>
  <c r="K1256" i="1"/>
  <c r="J1256" i="1"/>
  <c r="D1256" i="1"/>
  <c r="B1256" i="1"/>
  <c r="L1255" i="1"/>
  <c r="K1255" i="1"/>
  <c r="J1255" i="1"/>
  <c r="D1255" i="1"/>
  <c r="B1255" i="1"/>
  <c r="L1254" i="1"/>
  <c r="K1254" i="1"/>
  <c r="J1254" i="1"/>
  <c r="D1254" i="1"/>
  <c r="B1254" i="1"/>
  <c r="L1253" i="1"/>
  <c r="K1253" i="1"/>
  <c r="J1253" i="1"/>
  <c r="D1253" i="1"/>
  <c r="B1253" i="1"/>
  <c r="L1252" i="1"/>
  <c r="K1252" i="1"/>
  <c r="J1252" i="1"/>
  <c r="D1252" i="1"/>
  <c r="B1252" i="1"/>
  <c r="L1251" i="1"/>
  <c r="K1251" i="1"/>
  <c r="J1251" i="1"/>
  <c r="D1251" i="1"/>
  <c r="B1251" i="1"/>
  <c r="L1250" i="1"/>
  <c r="K1250" i="1"/>
  <c r="J1250" i="1"/>
  <c r="D1250" i="1"/>
  <c r="B1250" i="1"/>
  <c r="L1249" i="1"/>
  <c r="K1249" i="1"/>
  <c r="J1249" i="1"/>
  <c r="D1249" i="1"/>
  <c r="B1249" i="1"/>
  <c r="L1248" i="1"/>
  <c r="K1248" i="1"/>
  <c r="J1248" i="1"/>
  <c r="D1248" i="1"/>
  <c r="B1248" i="1"/>
  <c r="L1247" i="1"/>
  <c r="K1247" i="1"/>
  <c r="J1247" i="1"/>
  <c r="D1247" i="1"/>
  <c r="B1247" i="1"/>
  <c r="L1246" i="1"/>
  <c r="K1246" i="1"/>
  <c r="J1246" i="1"/>
  <c r="D1246" i="1"/>
  <c r="B1246" i="1"/>
  <c r="L1245" i="1"/>
  <c r="K1245" i="1"/>
  <c r="J1245" i="1"/>
  <c r="D1245" i="1"/>
  <c r="B1245" i="1"/>
  <c r="L1244" i="1"/>
  <c r="K1244" i="1"/>
  <c r="J1244" i="1"/>
  <c r="D1244" i="1"/>
  <c r="B1244" i="1"/>
  <c r="L1243" i="1"/>
  <c r="K1243" i="1"/>
  <c r="J1243" i="1"/>
  <c r="D1243" i="1"/>
  <c r="B1243" i="1"/>
  <c r="L1242" i="1"/>
  <c r="K1242" i="1"/>
  <c r="J1242" i="1"/>
  <c r="D1242" i="1"/>
  <c r="B1242" i="1"/>
  <c r="L1241" i="1"/>
  <c r="K1241" i="1"/>
  <c r="J1241" i="1"/>
  <c r="D1241" i="1"/>
  <c r="B1241" i="1"/>
  <c r="L1240" i="1"/>
  <c r="K1240" i="1"/>
  <c r="J1240" i="1"/>
  <c r="D1240" i="1"/>
  <c r="B1240" i="1"/>
  <c r="L1239" i="1"/>
  <c r="K1239" i="1"/>
  <c r="J1239" i="1"/>
  <c r="D1239" i="1"/>
  <c r="B1239" i="1"/>
  <c r="L1238" i="1"/>
  <c r="K1238" i="1"/>
  <c r="J1238" i="1"/>
  <c r="D1238" i="1"/>
  <c r="B1238" i="1"/>
  <c r="L1237" i="1"/>
  <c r="K1237" i="1"/>
  <c r="J1237" i="1"/>
  <c r="D1237" i="1"/>
  <c r="B1237" i="1"/>
  <c r="L1236" i="1"/>
  <c r="K1236" i="1"/>
  <c r="J1236" i="1"/>
  <c r="D1236" i="1"/>
  <c r="B1236" i="1"/>
  <c r="L1235" i="1"/>
  <c r="K1235" i="1"/>
  <c r="J1235" i="1"/>
  <c r="D1235" i="1"/>
  <c r="B1235" i="1"/>
  <c r="L1234" i="1"/>
  <c r="K1234" i="1"/>
  <c r="J1234" i="1"/>
  <c r="D1234" i="1"/>
  <c r="B1234" i="1"/>
  <c r="L1233" i="1"/>
  <c r="K1233" i="1"/>
  <c r="J1233" i="1"/>
  <c r="D1233" i="1"/>
  <c r="B1233" i="1"/>
  <c r="L1232" i="1"/>
  <c r="K1232" i="1"/>
  <c r="J1232" i="1"/>
  <c r="D1232" i="1"/>
  <c r="B1232" i="1"/>
  <c r="L1231" i="1"/>
  <c r="K1231" i="1"/>
  <c r="J1231" i="1"/>
  <c r="D1231" i="1"/>
  <c r="B1231" i="1"/>
  <c r="L1230" i="1"/>
  <c r="K1230" i="1"/>
  <c r="J1230" i="1"/>
  <c r="D1230" i="1"/>
  <c r="B1230" i="1"/>
  <c r="L1229" i="1"/>
  <c r="K1229" i="1"/>
  <c r="J1229" i="1"/>
  <c r="D1229" i="1"/>
  <c r="B1229" i="1"/>
  <c r="L1228" i="1"/>
  <c r="K1228" i="1"/>
  <c r="J1228" i="1"/>
  <c r="D1228" i="1"/>
  <c r="B1228" i="1"/>
  <c r="L1227" i="1"/>
  <c r="K1227" i="1"/>
  <c r="J1227" i="1"/>
  <c r="D1227" i="1"/>
  <c r="B1227" i="1"/>
  <c r="L1226" i="1"/>
  <c r="K1226" i="1"/>
  <c r="J1226" i="1"/>
  <c r="D1226" i="1"/>
  <c r="B1226" i="1"/>
  <c r="L1225" i="1"/>
  <c r="K1225" i="1"/>
  <c r="J1225" i="1"/>
  <c r="D1225" i="1"/>
  <c r="B1225" i="1"/>
  <c r="L1224" i="1"/>
  <c r="K1224" i="1"/>
  <c r="J1224" i="1"/>
  <c r="D1224" i="1"/>
  <c r="B1224" i="1"/>
  <c r="L1223" i="1"/>
  <c r="K1223" i="1"/>
  <c r="J1223" i="1"/>
  <c r="D1223" i="1"/>
  <c r="B1223" i="1"/>
  <c r="L1222" i="1"/>
  <c r="K1222" i="1"/>
  <c r="J1222" i="1"/>
  <c r="D1222" i="1"/>
  <c r="B1222" i="1"/>
  <c r="L1221" i="1"/>
  <c r="K1221" i="1"/>
  <c r="J1221" i="1"/>
  <c r="D1221" i="1"/>
  <c r="B1221" i="1"/>
  <c r="L1220" i="1"/>
  <c r="K1220" i="1"/>
  <c r="J1220" i="1"/>
  <c r="D1220" i="1"/>
  <c r="B1220" i="1"/>
  <c r="L1219" i="1"/>
  <c r="K1219" i="1"/>
  <c r="J1219" i="1"/>
  <c r="D1219" i="1"/>
  <c r="B1219" i="1"/>
  <c r="L1218" i="1"/>
  <c r="K1218" i="1"/>
  <c r="J1218" i="1"/>
  <c r="D1218" i="1"/>
  <c r="B1218" i="1"/>
  <c r="L1217" i="1"/>
  <c r="K1217" i="1"/>
  <c r="J1217" i="1"/>
  <c r="D1217" i="1"/>
  <c r="B1217" i="1"/>
  <c r="L1216" i="1"/>
  <c r="K1216" i="1"/>
  <c r="J1216" i="1"/>
  <c r="D1216" i="1"/>
  <c r="B1216" i="1"/>
  <c r="L1215" i="1"/>
  <c r="K1215" i="1"/>
  <c r="J1215" i="1"/>
  <c r="D1215" i="1"/>
  <c r="B1215" i="1"/>
  <c r="L1214" i="1"/>
  <c r="K1214" i="1"/>
  <c r="J1214" i="1"/>
  <c r="D1214" i="1"/>
  <c r="B1214" i="1"/>
  <c r="L1213" i="1"/>
  <c r="K1213" i="1"/>
  <c r="J1213" i="1"/>
  <c r="D1213" i="1"/>
  <c r="B1213" i="1"/>
  <c r="L1212" i="1"/>
  <c r="K1212" i="1"/>
  <c r="J1212" i="1"/>
  <c r="D1212" i="1"/>
  <c r="B1212" i="1"/>
  <c r="L1211" i="1"/>
  <c r="K1211" i="1"/>
  <c r="J1211" i="1"/>
  <c r="D1211" i="1"/>
  <c r="B1211" i="1"/>
  <c r="L1210" i="1"/>
  <c r="K1210" i="1"/>
  <c r="J1210" i="1"/>
  <c r="D1210" i="1"/>
  <c r="B1210" i="1"/>
  <c r="L1209" i="1"/>
  <c r="K1209" i="1"/>
  <c r="J1209" i="1"/>
  <c r="D1209" i="1"/>
  <c r="B1209" i="1"/>
  <c r="L1208" i="1"/>
  <c r="K1208" i="1"/>
  <c r="J1208" i="1"/>
  <c r="D1208" i="1"/>
  <c r="B1208" i="1"/>
  <c r="L1207" i="1"/>
  <c r="K1207" i="1"/>
  <c r="J1207" i="1"/>
  <c r="D1207" i="1"/>
  <c r="B1207" i="1"/>
  <c r="L1206" i="1"/>
  <c r="K1206" i="1"/>
  <c r="J1206" i="1"/>
  <c r="D1206" i="1"/>
  <c r="B1206" i="1"/>
  <c r="L1205" i="1"/>
  <c r="K1205" i="1"/>
  <c r="J1205" i="1"/>
  <c r="D1205" i="1"/>
  <c r="B1205" i="1"/>
  <c r="L1204" i="1"/>
  <c r="K1204" i="1"/>
  <c r="J1204" i="1"/>
  <c r="D1204" i="1"/>
  <c r="B1204" i="1"/>
  <c r="L1203" i="1"/>
  <c r="K1203" i="1"/>
  <c r="J1203" i="1"/>
  <c r="D1203" i="1"/>
  <c r="B1203" i="1"/>
  <c r="L1202" i="1"/>
  <c r="K1202" i="1"/>
  <c r="J1202" i="1"/>
  <c r="D1202" i="1"/>
  <c r="B1202" i="1"/>
  <c r="L1201" i="1"/>
  <c r="K1201" i="1"/>
  <c r="J1201" i="1"/>
  <c r="D1201" i="1"/>
  <c r="B1201" i="1"/>
  <c r="L1200" i="1"/>
  <c r="K1200" i="1"/>
  <c r="J1200" i="1"/>
  <c r="D1200" i="1"/>
  <c r="B1200" i="1"/>
  <c r="L1199" i="1"/>
  <c r="K1199" i="1"/>
  <c r="J1199" i="1"/>
  <c r="D1199" i="1"/>
  <c r="B1199" i="1"/>
  <c r="L1198" i="1"/>
  <c r="K1198" i="1"/>
  <c r="J1198" i="1"/>
  <c r="D1198" i="1"/>
  <c r="B1198" i="1"/>
  <c r="L1197" i="1"/>
  <c r="K1197" i="1"/>
  <c r="J1197" i="1"/>
  <c r="D1197" i="1"/>
  <c r="B1197" i="1"/>
  <c r="L1196" i="1"/>
  <c r="K1196" i="1"/>
  <c r="J1196" i="1"/>
  <c r="D1196" i="1"/>
  <c r="B1196" i="1"/>
  <c r="L1195" i="1"/>
  <c r="K1195" i="1"/>
  <c r="J1195" i="1"/>
  <c r="D1195" i="1"/>
  <c r="B1195" i="1"/>
  <c r="L1194" i="1"/>
  <c r="K1194" i="1"/>
  <c r="J1194" i="1"/>
  <c r="D1194" i="1"/>
  <c r="B1194" i="1"/>
  <c r="L1193" i="1"/>
  <c r="K1193" i="1"/>
  <c r="J1193" i="1"/>
  <c r="D1193" i="1"/>
  <c r="B1193" i="1"/>
  <c r="L1192" i="1"/>
  <c r="K1192" i="1"/>
  <c r="J1192" i="1"/>
  <c r="D1192" i="1"/>
  <c r="B1192" i="1"/>
  <c r="L1191" i="1"/>
  <c r="K1191" i="1"/>
  <c r="J1191" i="1"/>
  <c r="D1191" i="1"/>
  <c r="B1191" i="1"/>
  <c r="L1190" i="1"/>
  <c r="K1190" i="1"/>
  <c r="J1190" i="1"/>
  <c r="D1190" i="1"/>
  <c r="B1190" i="1"/>
  <c r="L1189" i="1"/>
  <c r="K1189" i="1"/>
  <c r="J1189" i="1"/>
  <c r="D1189" i="1"/>
  <c r="B1189" i="1"/>
  <c r="L1188" i="1"/>
  <c r="K1188" i="1"/>
  <c r="J1188" i="1"/>
  <c r="D1188" i="1"/>
  <c r="B1188" i="1"/>
  <c r="L1187" i="1"/>
  <c r="K1187" i="1"/>
  <c r="J1187" i="1"/>
  <c r="D1187" i="1"/>
  <c r="B1187" i="1"/>
  <c r="L1186" i="1"/>
  <c r="K1186" i="1"/>
  <c r="J1186" i="1"/>
  <c r="D1186" i="1"/>
  <c r="B1186" i="1"/>
  <c r="L1185" i="1"/>
  <c r="K1185" i="1"/>
  <c r="J1185" i="1"/>
  <c r="D1185" i="1"/>
  <c r="B1185" i="1"/>
  <c r="L1184" i="1"/>
  <c r="K1184" i="1"/>
  <c r="J1184" i="1"/>
  <c r="D1184" i="1"/>
  <c r="B1184" i="1"/>
  <c r="L1183" i="1"/>
  <c r="K1183" i="1"/>
  <c r="J1183" i="1"/>
  <c r="D1183" i="1"/>
  <c r="B1183" i="1"/>
  <c r="L1182" i="1"/>
  <c r="K1182" i="1"/>
  <c r="J1182" i="1"/>
  <c r="D1182" i="1"/>
  <c r="B1182" i="1"/>
  <c r="L1181" i="1"/>
  <c r="K1181" i="1"/>
  <c r="J1181" i="1"/>
  <c r="D1181" i="1"/>
  <c r="B1181" i="1"/>
  <c r="L1180" i="1"/>
  <c r="K1180" i="1"/>
  <c r="J1180" i="1"/>
  <c r="D1180" i="1"/>
  <c r="B1180" i="1"/>
  <c r="L1179" i="1"/>
  <c r="K1179" i="1"/>
  <c r="J1179" i="1"/>
  <c r="D1179" i="1"/>
  <c r="B1179" i="1"/>
  <c r="L1178" i="1"/>
  <c r="K1178" i="1"/>
  <c r="J1178" i="1"/>
  <c r="D1178" i="1"/>
  <c r="B1178" i="1"/>
  <c r="L1177" i="1"/>
  <c r="K1177" i="1"/>
  <c r="J1177" i="1"/>
  <c r="D1177" i="1"/>
  <c r="B1177" i="1"/>
  <c r="L1176" i="1"/>
  <c r="K1176" i="1"/>
  <c r="J1176" i="1"/>
  <c r="D1176" i="1"/>
  <c r="B1176" i="1"/>
  <c r="L1175" i="1"/>
  <c r="K1175" i="1"/>
  <c r="J1175" i="1"/>
  <c r="D1175" i="1"/>
  <c r="B1175" i="1"/>
  <c r="L1174" i="1"/>
  <c r="K1174" i="1"/>
  <c r="J1174" i="1"/>
  <c r="D1174" i="1"/>
  <c r="B1174" i="1"/>
  <c r="L1173" i="1"/>
  <c r="K1173" i="1"/>
  <c r="J1173" i="1"/>
  <c r="D1173" i="1"/>
  <c r="B1173" i="1"/>
  <c r="L1172" i="1"/>
  <c r="K1172" i="1"/>
  <c r="J1172" i="1"/>
  <c r="D1172" i="1"/>
  <c r="B1172" i="1"/>
  <c r="L1171" i="1"/>
  <c r="K1171" i="1"/>
  <c r="J1171" i="1"/>
  <c r="D1171" i="1"/>
  <c r="B1171" i="1"/>
  <c r="L1170" i="1"/>
  <c r="K1170" i="1"/>
  <c r="J1170" i="1"/>
  <c r="D1170" i="1"/>
  <c r="B1170" i="1"/>
  <c r="L1169" i="1"/>
  <c r="K1169" i="1"/>
  <c r="J1169" i="1"/>
  <c r="D1169" i="1"/>
  <c r="B1169" i="1"/>
  <c r="L1168" i="1"/>
  <c r="K1168" i="1"/>
  <c r="J1168" i="1"/>
  <c r="D1168" i="1"/>
  <c r="B1168" i="1"/>
  <c r="L1167" i="1"/>
  <c r="K1167" i="1"/>
  <c r="J1167" i="1"/>
  <c r="D1167" i="1"/>
  <c r="B1167" i="1"/>
  <c r="L1166" i="1"/>
  <c r="K1166" i="1"/>
  <c r="J1166" i="1"/>
  <c r="D1166" i="1"/>
  <c r="B1166" i="1"/>
  <c r="L1165" i="1"/>
  <c r="K1165" i="1"/>
  <c r="J1165" i="1"/>
  <c r="D1165" i="1"/>
  <c r="B1165" i="1"/>
  <c r="L1164" i="1"/>
  <c r="K1164" i="1"/>
  <c r="J1164" i="1"/>
  <c r="D1164" i="1"/>
  <c r="B1164" i="1"/>
  <c r="L1163" i="1"/>
  <c r="K1163" i="1"/>
  <c r="J1163" i="1"/>
  <c r="D1163" i="1"/>
  <c r="B1163" i="1"/>
  <c r="L1162" i="1"/>
  <c r="K1162" i="1"/>
  <c r="J1162" i="1"/>
  <c r="D1162" i="1"/>
  <c r="B1162" i="1"/>
  <c r="L1161" i="1"/>
  <c r="K1161" i="1"/>
  <c r="J1161" i="1"/>
  <c r="D1161" i="1"/>
  <c r="B1161" i="1"/>
  <c r="L1160" i="1"/>
  <c r="K1160" i="1"/>
  <c r="J1160" i="1"/>
  <c r="D1160" i="1"/>
  <c r="B1160" i="1"/>
  <c r="L1159" i="1"/>
  <c r="K1159" i="1"/>
  <c r="J1159" i="1"/>
  <c r="D1159" i="1"/>
  <c r="B1159" i="1"/>
  <c r="L1158" i="1"/>
  <c r="K1158" i="1"/>
  <c r="J1158" i="1"/>
  <c r="D1158" i="1"/>
  <c r="B1158" i="1"/>
  <c r="L1157" i="1"/>
  <c r="K1157" i="1"/>
  <c r="J1157" i="1"/>
  <c r="D1157" i="1"/>
  <c r="B1157" i="1"/>
  <c r="L1156" i="1"/>
  <c r="K1156" i="1"/>
  <c r="J1156" i="1"/>
  <c r="D1156" i="1"/>
  <c r="B1156" i="1"/>
  <c r="L1155" i="1"/>
  <c r="K1155" i="1"/>
  <c r="J1155" i="1"/>
  <c r="D1155" i="1"/>
  <c r="B1155" i="1"/>
  <c r="L1154" i="1"/>
  <c r="K1154" i="1"/>
  <c r="J1154" i="1"/>
  <c r="D1154" i="1"/>
  <c r="B1154" i="1"/>
  <c r="L1153" i="1"/>
  <c r="K1153" i="1"/>
  <c r="J1153" i="1"/>
  <c r="D1153" i="1"/>
  <c r="B1153" i="1"/>
  <c r="L1152" i="1"/>
  <c r="K1152" i="1"/>
  <c r="J1152" i="1"/>
  <c r="D1152" i="1"/>
  <c r="B1152" i="1"/>
  <c r="L1151" i="1"/>
  <c r="K1151" i="1"/>
  <c r="J1151" i="1"/>
  <c r="D1151" i="1"/>
  <c r="B1151" i="1"/>
  <c r="L1150" i="1"/>
  <c r="K1150" i="1"/>
  <c r="J1150" i="1"/>
  <c r="D1150" i="1"/>
  <c r="B1150" i="1"/>
  <c r="L1149" i="1"/>
  <c r="K1149" i="1"/>
  <c r="J1149" i="1"/>
  <c r="D1149" i="1"/>
  <c r="B1149" i="1"/>
  <c r="L1148" i="1"/>
  <c r="K1148" i="1"/>
  <c r="J1148" i="1"/>
  <c r="D1148" i="1"/>
  <c r="B1148" i="1"/>
  <c r="L1147" i="1"/>
  <c r="K1147" i="1"/>
  <c r="J1147" i="1"/>
  <c r="D1147" i="1"/>
  <c r="B1147" i="1"/>
  <c r="L1146" i="1"/>
  <c r="K1146" i="1"/>
  <c r="J1146" i="1"/>
  <c r="D1146" i="1"/>
  <c r="B1146" i="1"/>
  <c r="L1145" i="1"/>
  <c r="K1145" i="1"/>
  <c r="J1145" i="1"/>
  <c r="D1145" i="1"/>
  <c r="B1145" i="1"/>
  <c r="L1144" i="1"/>
  <c r="K1144" i="1"/>
  <c r="J1144" i="1"/>
  <c r="D1144" i="1"/>
  <c r="B1144" i="1"/>
  <c r="L1143" i="1"/>
  <c r="K1143" i="1"/>
  <c r="J1143" i="1"/>
  <c r="D1143" i="1"/>
  <c r="B1143" i="1"/>
  <c r="L1142" i="1"/>
  <c r="K1142" i="1"/>
  <c r="J1142" i="1"/>
  <c r="D1142" i="1"/>
  <c r="B1142" i="1"/>
  <c r="L1141" i="1"/>
  <c r="K1141" i="1"/>
  <c r="J1141" i="1"/>
  <c r="D1141" i="1"/>
  <c r="B1141" i="1"/>
  <c r="L1140" i="1"/>
  <c r="K1140" i="1"/>
  <c r="J1140" i="1"/>
  <c r="D1140" i="1"/>
  <c r="B1140" i="1"/>
  <c r="L1139" i="1"/>
  <c r="K1139" i="1"/>
  <c r="J1139" i="1"/>
  <c r="D1139" i="1"/>
  <c r="B1139" i="1"/>
  <c r="L1138" i="1"/>
  <c r="K1138" i="1"/>
  <c r="J1138" i="1"/>
  <c r="D1138" i="1"/>
  <c r="B1138" i="1"/>
  <c r="L1137" i="1"/>
  <c r="K1137" i="1"/>
  <c r="J1137" i="1"/>
  <c r="D1137" i="1"/>
  <c r="B1137" i="1"/>
  <c r="L1136" i="1"/>
  <c r="K1136" i="1"/>
  <c r="J1136" i="1"/>
  <c r="D1136" i="1"/>
  <c r="B1136" i="1"/>
  <c r="L1135" i="1"/>
  <c r="K1135" i="1"/>
  <c r="J1135" i="1"/>
  <c r="D1135" i="1"/>
  <c r="B1135" i="1"/>
  <c r="L1134" i="1"/>
  <c r="K1134" i="1"/>
  <c r="J1134" i="1"/>
  <c r="D1134" i="1"/>
  <c r="B1134" i="1"/>
  <c r="L1133" i="1"/>
  <c r="K1133" i="1"/>
  <c r="J1133" i="1"/>
  <c r="D1133" i="1"/>
  <c r="B1133" i="1"/>
  <c r="L1132" i="1"/>
  <c r="K1132" i="1"/>
  <c r="J1132" i="1"/>
  <c r="D1132" i="1"/>
  <c r="B1132" i="1"/>
  <c r="L1131" i="1"/>
  <c r="K1131" i="1"/>
  <c r="J1131" i="1"/>
  <c r="D1131" i="1"/>
  <c r="B1131" i="1"/>
  <c r="L1130" i="1"/>
  <c r="K1130" i="1"/>
  <c r="J1130" i="1"/>
  <c r="D1130" i="1"/>
  <c r="B1130" i="1"/>
  <c r="L1129" i="1"/>
  <c r="K1129" i="1"/>
  <c r="J1129" i="1"/>
  <c r="D1129" i="1"/>
  <c r="B1129" i="1"/>
  <c r="L1128" i="1"/>
  <c r="K1128" i="1"/>
  <c r="J1128" i="1"/>
  <c r="D1128" i="1"/>
  <c r="B1128" i="1"/>
  <c r="L1127" i="1"/>
  <c r="K1127" i="1"/>
  <c r="J1127" i="1"/>
  <c r="D1127" i="1"/>
  <c r="B1127" i="1"/>
  <c r="L1126" i="1"/>
  <c r="K1126" i="1"/>
  <c r="J1126" i="1"/>
  <c r="D1126" i="1"/>
  <c r="B1126" i="1"/>
  <c r="L1125" i="1"/>
  <c r="K1125" i="1"/>
  <c r="J1125" i="1"/>
  <c r="D1125" i="1"/>
  <c r="B1125" i="1"/>
  <c r="L1124" i="1"/>
  <c r="K1124" i="1"/>
  <c r="J1124" i="1"/>
  <c r="D1124" i="1"/>
  <c r="B1124" i="1"/>
  <c r="L1123" i="1"/>
  <c r="K1123" i="1"/>
  <c r="J1123" i="1"/>
  <c r="D1123" i="1"/>
  <c r="B1123" i="1"/>
  <c r="L1122" i="1"/>
  <c r="K1122" i="1"/>
  <c r="J1122" i="1"/>
  <c r="D1122" i="1"/>
  <c r="B1122" i="1"/>
  <c r="L1121" i="1"/>
  <c r="K1121" i="1"/>
  <c r="J1121" i="1"/>
  <c r="D1121" i="1"/>
  <c r="B1121" i="1"/>
  <c r="L1120" i="1"/>
  <c r="K1120" i="1"/>
  <c r="J1120" i="1"/>
  <c r="D1120" i="1"/>
  <c r="B1120" i="1"/>
  <c r="L1119" i="1"/>
  <c r="K1119" i="1"/>
  <c r="J1119" i="1"/>
  <c r="D1119" i="1"/>
  <c r="B1119" i="1"/>
  <c r="L1118" i="1"/>
  <c r="K1118" i="1"/>
  <c r="J1118" i="1"/>
  <c r="D1118" i="1"/>
  <c r="B1118" i="1"/>
  <c r="L1117" i="1"/>
  <c r="K1117" i="1"/>
  <c r="J1117" i="1"/>
  <c r="D1117" i="1"/>
  <c r="B1117" i="1"/>
  <c r="L1116" i="1"/>
  <c r="K1116" i="1"/>
  <c r="J1116" i="1"/>
  <c r="D1116" i="1"/>
  <c r="B1116" i="1"/>
  <c r="L1115" i="1"/>
  <c r="K1115" i="1"/>
  <c r="J1115" i="1"/>
  <c r="D1115" i="1"/>
  <c r="B1115" i="1"/>
  <c r="L1114" i="1"/>
  <c r="K1114" i="1"/>
  <c r="J1114" i="1"/>
  <c r="D1114" i="1"/>
  <c r="B1114" i="1"/>
  <c r="L1113" i="1"/>
  <c r="K1113" i="1"/>
  <c r="J1113" i="1"/>
  <c r="D1113" i="1"/>
  <c r="B1113" i="1"/>
  <c r="L1112" i="1"/>
  <c r="K1112" i="1"/>
  <c r="J1112" i="1"/>
  <c r="D1112" i="1"/>
  <c r="B1112" i="1"/>
  <c r="L1111" i="1"/>
  <c r="K1111" i="1"/>
  <c r="J1111" i="1"/>
  <c r="D1111" i="1"/>
  <c r="B1111" i="1"/>
  <c r="L1110" i="1"/>
  <c r="K1110" i="1"/>
  <c r="J1110" i="1"/>
  <c r="D1110" i="1"/>
  <c r="B1110" i="1"/>
  <c r="L1109" i="1"/>
  <c r="K1109" i="1"/>
  <c r="J1109" i="1"/>
  <c r="D1109" i="1"/>
  <c r="B1109" i="1"/>
  <c r="L1108" i="1"/>
  <c r="K1108" i="1"/>
  <c r="J1108" i="1"/>
  <c r="D1108" i="1"/>
  <c r="B1108" i="1"/>
  <c r="L1107" i="1"/>
  <c r="K1107" i="1"/>
  <c r="J1107" i="1"/>
  <c r="D1107" i="1"/>
  <c r="B1107" i="1"/>
  <c r="L1106" i="1"/>
  <c r="K1106" i="1"/>
  <c r="J1106" i="1"/>
  <c r="D1106" i="1"/>
  <c r="B1106" i="1"/>
  <c r="L1105" i="1"/>
  <c r="K1105" i="1"/>
  <c r="J1105" i="1"/>
  <c r="D1105" i="1"/>
  <c r="B1105" i="1"/>
  <c r="L1104" i="1"/>
  <c r="K1104" i="1"/>
  <c r="J1104" i="1"/>
  <c r="D1104" i="1"/>
  <c r="B1104" i="1"/>
  <c r="L1103" i="1"/>
  <c r="K1103" i="1"/>
  <c r="J1103" i="1"/>
  <c r="D1103" i="1"/>
  <c r="B1103" i="1"/>
  <c r="L1102" i="1"/>
  <c r="K1102" i="1"/>
  <c r="J1102" i="1"/>
  <c r="D1102" i="1"/>
  <c r="B1102" i="1"/>
  <c r="L1101" i="1"/>
  <c r="K1101" i="1"/>
  <c r="J1101" i="1"/>
  <c r="D1101" i="1"/>
  <c r="B1101" i="1"/>
  <c r="L1100" i="1"/>
  <c r="K1100" i="1"/>
  <c r="J1100" i="1"/>
  <c r="D1100" i="1"/>
  <c r="B1100" i="1"/>
  <c r="L1099" i="1"/>
  <c r="K1099" i="1"/>
  <c r="J1099" i="1"/>
  <c r="D1099" i="1"/>
  <c r="B1099" i="1"/>
  <c r="L1098" i="1"/>
  <c r="K1098" i="1"/>
  <c r="J1098" i="1"/>
  <c r="D1098" i="1"/>
  <c r="B1098" i="1"/>
  <c r="L1097" i="1"/>
  <c r="K1097" i="1"/>
  <c r="J1097" i="1"/>
  <c r="D1097" i="1"/>
  <c r="B1097" i="1"/>
  <c r="L1096" i="1"/>
  <c r="K1096" i="1"/>
  <c r="J1096" i="1"/>
  <c r="D1096" i="1"/>
  <c r="B1096" i="1"/>
  <c r="L1095" i="1"/>
  <c r="K1095" i="1"/>
  <c r="J1095" i="1"/>
  <c r="D1095" i="1"/>
  <c r="B1095" i="1"/>
  <c r="L1094" i="1"/>
  <c r="K1094" i="1"/>
  <c r="J1094" i="1"/>
  <c r="D1094" i="1"/>
  <c r="B1094" i="1"/>
  <c r="L1093" i="1"/>
  <c r="K1093" i="1"/>
  <c r="J1093" i="1"/>
  <c r="D1093" i="1"/>
  <c r="B1093" i="1"/>
  <c r="L1092" i="1"/>
  <c r="K1092" i="1"/>
  <c r="J1092" i="1"/>
  <c r="D1092" i="1"/>
  <c r="B1092" i="1"/>
  <c r="L1091" i="1"/>
  <c r="K1091" i="1"/>
  <c r="J1091" i="1"/>
  <c r="D1091" i="1"/>
  <c r="B1091" i="1"/>
  <c r="L1090" i="1"/>
  <c r="K1090" i="1"/>
  <c r="J1090" i="1"/>
  <c r="D1090" i="1"/>
  <c r="B1090" i="1"/>
  <c r="L1089" i="1"/>
  <c r="K1089" i="1"/>
  <c r="J1089" i="1"/>
  <c r="D1089" i="1"/>
  <c r="B1089" i="1"/>
  <c r="L1088" i="1"/>
  <c r="K1088" i="1"/>
  <c r="J1088" i="1"/>
  <c r="D1088" i="1"/>
  <c r="B1088" i="1"/>
  <c r="L1087" i="1"/>
  <c r="K1087" i="1"/>
  <c r="J1087" i="1"/>
  <c r="D1087" i="1"/>
  <c r="B1087" i="1"/>
  <c r="L1086" i="1"/>
  <c r="K1086" i="1"/>
  <c r="J1086" i="1"/>
  <c r="D1086" i="1"/>
  <c r="B1086" i="1"/>
  <c r="L1085" i="1"/>
  <c r="K1085" i="1"/>
  <c r="J1085" i="1"/>
  <c r="D1085" i="1"/>
  <c r="B1085" i="1"/>
  <c r="L1084" i="1"/>
  <c r="K1084" i="1"/>
  <c r="J1084" i="1"/>
  <c r="D1084" i="1"/>
  <c r="B1084" i="1"/>
  <c r="L1083" i="1"/>
  <c r="K1083" i="1"/>
  <c r="J1083" i="1"/>
  <c r="D1083" i="1"/>
  <c r="B1083" i="1"/>
  <c r="L1082" i="1"/>
  <c r="K1082" i="1"/>
  <c r="J1082" i="1"/>
  <c r="D1082" i="1"/>
  <c r="B1082" i="1"/>
  <c r="L1081" i="1"/>
  <c r="K1081" i="1"/>
  <c r="J1081" i="1"/>
  <c r="D1081" i="1"/>
  <c r="B1081" i="1"/>
  <c r="L1080" i="1"/>
  <c r="K1080" i="1"/>
  <c r="J1080" i="1"/>
  <c r="D1080" i="1"/>
  <c r="B1080" i="1"/>
  <c r="L1079" i="1"/>
  <c r="K1079" i="1"/>
  <c r="J1079" i="1"/>
  <c r="D1079" i="1"/>
  <c r="B1079" i="1"/>
  <c r="L1078" i="1"/>
  <c r="K1078" i="1"/>
  <c r="J1078" i="1"/>
  <c r="D1078" i="1"/>
  <c r="B1078" i="1"/>
  <c r="L1077" i="1"/>
  <c r="K1077" i="1"/>
  <c r="J1077" i="1"/>
  <c r="D1077" i="1"/>
  <c r="B1077" i="1"/>
  <c r="L1076" i="1"/>
  <c r="K1076" i="1"/>
  <c r="J1076" i="1"/>
  <c r="D1076" i="1"/>
  <c r="B1076" i="1"/>
  <c r="L1075" i="1"/>
  <c r="K1075" i="1"/>
  <c r="J1075" i="1"/>
  <c r="D1075" i="1"/>
  <c r="B1075" i="1"/>
  <c r="L1074" i="1"/>
  <c r="K1074" i="1"/>
  <c r="J1074" i="1"/>
  <c r="D1074" i="1"/>
  <c r="B1074" i="1"/>
  <c r="L1073" i="1"/>
  <c r="K1073" i="1"/>
  <c r="J1073" i="1"/>
  <c r="D1073" i="1"/>
  <c r="B1073" i="1"/>
  <c r="L1072" i="1"/>
  <c r="K1072" i="1"/>
  <c r="J1072" i="1"/>
  <c r="D1072" i="1"/>
  <c r="B1072" i="1"/>
  <c r="L1071" i="1"/>
  <c r="K1071" i="1"/>
  <c r="J1071" i="1"/>
  <c r="D1071" i="1"/>
  <c r="B1071" i="1"/>
  <c r="L1070" i="1"/>
  <c r="K1070" i="1"/>
  <c r="J1070" i="1"/>
  <c r="D1070" i="1"/>
  <c r="B1070" i="1"/>
  <c r="L1069" i="1"/>
  <c r="K1069" i="1"/>
  <c r="J1069" i="1"/>
  <c r="D1069" i="1"/>
  <c r="B1069" i="1"/>
  <c r="L1068" i="1"/>
  <c r="K1068" i="1"/>
  <c r="J1068" i="1"/>
  <c r="D1068" i="1"/>
  <c r="B1068" i="1"/>
  <c r="L1067" i="1"/>
  <c r="K1067" i="1"/>
  <c r="J1067" i="1"/>
  <c r="D1067" i="1"/>
  <c r="B1067" i="1"/>
  <c r="L1066" i="1"/>
  <c r="K1066" i="1"/>
  <c r="J1066" i="1"/>
  <c r="D1066" i="1"/>
  <c r="B1066" i="1"/>
  <c r="L1065" i="1"/>
  <c r="K1065" i="1"/>
  <c r="J1065" i="1"/>
  <c r="D1065" i="1"/>
  <c r="B1065" i="1"/>
  <c r="L1064" i="1"/>
  <c r="K1064" i="1"/>
  <c r="J1064" i="1"/>
  <c r="D1064" i="1"/>
  <c r="B1064" i="1"/>
  <c r="L1063" i="1"/>
  <c r="K1063" i="1"/>
  <c r="J1063" i="1"/>
  <c r="D1063" i="1"/>
  <c r="B1063" i="1"/>
  <c r="L1062" i="1"/>
  <c r="K1062" i="1"/>
  <c r="J1062" i="1"/>
  <c r="D1062" i="1"/>
  <c r="B1062" i="1"/>
  <c r="L1061" i="1"/>
  <c r="K1061" i="1"/>
  <c r="J1061" i="1"/>
  <c r="D1061" i="1"/>
  <c r="B1061" i="1"/>
  <c r="L1060" i="1"/>
  <c r="K1060" i="1"/>
  <c r="J1060" i="1"/>
  <c r="D1060" i="1"/>
  <c r="B1060" i="1"/>
  <c r="L1059" i="1"/>
  <c r="K1059" i="1"/>
  <c r="J1059" i="1"/>
  <c r="D1059" i="1"/>
  <c r="B1059" i="1"/>
  <c r="L1058" i="1"/>
  <c r="K1058" i="1"/>
  <c r="J1058" i="1"/>
  <c r="D1058" i="1"/>
  <c r="B1058" i="1"/>
  <c r="L1057" i="1"/>
  <c r="K1057" i="1"/>
  <c r="J1057" i="1"/>
  <c r="D1057" i="1"/>
  <c r="B1057" i="1"/>
  <c r="L1056" i="1"/>
  <c r="K1056" i="1"/>
  <c r="J1056" i="1"/>
  <c r="D1056" i="1"/>
  <c r="B1056" i="1"/>
  <c r="L1055" i="1"/>
  <c r="K1055" i="1"/>
  <c r="J1055" i="1"/>
  <c r="D1055" i="1"/>
  <c r="B1055" i="1"/>
  <c r="L1054" i="1"/>
  <c r="K1054" i="1"/>
  <c r="J1054" i="1"/>
  <c r="D1054" i="1"/>
  <c r="B1054" i="1"/>
  <c r="L1053" i="1"/>
  <c r="K1053" i="1"/>
  <c r="J1053" i="1"/>
  <c r="D1053" i="1"/>
  <c r="B1053" i="1"/>
  <c r="L1052" i="1"/>
  <c r="K1052" i="1"/>
  <c r="J1052" i="1"/>
  <c r="D1052" i="1"/>
  <c r="B1052" i="1"/>
  <c r="L1051" i="1"/>
  <c r="K1051" i="1"/>
  <c r="J1051" i="1"/>
  <c r="D1051" i="1"/>
  <c r="B1051" i="1"/>
  <c r="L1050" i="1"/>
  <c r="K1050" i="1"/>
  <c r="J1050" i="1"/>
  <c r="D1050" i="1"/>
  <c r="B1050" i="1"/>
  <c r="L1049" i="1"/>
  <c r="K1049" i="1"/>
  <c r="J1049" i="1"/>
  <c r="D1049" i="1"/>
  <c r="B1049" i="1"/>
  <c r="L1048" i="1"/>
  <c r="K1048" i="1"/>
  <c r="J1048" i="1"/>
  <c r="D1048" i="1"/>
  <c r="B1048" i="1"/>
  <c r="L1047" i="1"/>
  <c r="K1047" i="1"/>
  <c r="J1047" i="1"/>
  <c r="D1047" i="1"/>
  <c r="B1047" i="1"/>
  <c r="L1046" i="1"/>
  <c r="K1046" i="1"/>
  <c r="J1046" i="1"/>
  <c r="D1046" i="1"/>
  <c r="B1046" i="1"/>
  <c r="L1045" i="1"/>
  <c r="K1045" i="1"/>
  <c r="J1045" i="1"/>
  <c r="D1045" i="1"/>
  <c r="B1045" i="1"/>
  <c r="L1044" i="1"/>
  <c r="K1044" i="1"/>
  <c r="J1044" i="1"/>
  <c r="D1044" i="1"/>
  <c r="B1044" i="1"/>
  <c r="L1043" i="1"/>
  <c r="K1043" i="1"/>
  <c r="J1043" i="1"/>
  <c r="D1043" i="1"/>
  <c r="B1043" i="1"/>
  <c r="L1042" i="1"/>
  <c r="K1042" i="1"/>
  <c r="J1042" i="1"/>
  <c r="D1042" i="1"/>
  <c r="B1042" i="1"/>
  <c r="L1041" i="1"/>
  <c r="K1041" i="1"/>
  <c r="J1041" i="1"/>
  <c r="D1041" i="1"/>
  <c r="B1041" i="1"/>
  <c r="L1040" i="1"/>
  <c r="K1040" i="1"/>
  <c r="J1040" i="1"/>
  <c r="D1040" i="1"/>
  <c r="B1040" i="1"/>
  <c r="L1039" i="1"/>
  <c r="K1039" i="1"/>
  <c r="J1039" i="1"/>
  <c r="D1039" i="1"/>
  <c r="B1039" i="1"/>
  <c r="L1038" i="1"/>
  <c r="K1038" i="1"/>
  <c r="J1038" i="1"/>
  <c r="D1038" i="1"/>
  <c r="B1038" i="1"/>
  <c r="L1037" i="1"/>
  <c r="K1037" i="1"/>
  <c r="J1037" i="1"/>
  <c r="D1037" i="1"/>
  <c r="B1037" i="1"/>
  <c r="L1036" i="1"/>
  <c r="K1036" i="1"/>
  <c r="J1036" i="1"/>
  <c r="D1036" i="1"/>
  <c r="B1036" i="1"/>
  <c r="L1035" i="1"/>
  <c r="K1035" i="1"/>
  <c r="J1035" i="1"/>
  <c r="D1035" i="1"/>
  <c r="B1035" i="1"/>
  <c r="L1034" i="1"/>
  <c r="K1034" i="1"/>
  <c r="J1034" i="1"/>
  <c r="D1034" i="1"/>
  <c r="B1034" i="1"/>
  <c r="L1033" i="1"/>
  <c r="K1033" i="1"/>
  <c r="J1033" i="1"/>
  <c r="D1033" i="1"/>
  <c r="B1033" i="1"/>
  <c r="L1032" i="1"/>
  <c r="K1032" i="1"/>
  <c r="J1032" i="1"/>
  <c r="D1032" i="1"/>
  <c r="B1032" i="1"/>
  <c r="L1031" i="1"/>
  <c r="K1031" i="1"/>
  <c r="J1031" i="1"/>
  <c r="D1031" i="1"/>
  <c r="B1031" i="1"/>
  <c r="L1030" i="1"/>
  <c r="K1030" i="1"/>
  <c r="J1030" i="1"/>
  <c r="D1030" i="1"/>
  <c r="B1030" i="1"/>
  <c r="L1029" i="1"/>
  <c r="K1029" i="1"/>
  <c r="J1029" i="1"/>
  <c r="D1029" i="1"/>
  <c r="B1029" i="1"/>
  <c r="L1028" i="1"/>
  <c r="K1028" i="1"/>
  <c r="J1028" i="1"/>
  <c r="D1028" i="1"/>
  <c r="B1028" i="1"/>
  <c r="L1027" i="1"/>
  <c r="K1027" i="1"/>
  <c r="J1027" i="1"/>
  <c r="D1027" i="1"/>
  <c r="B1027" i="1"/>
  <c r="L1026" i="1"/>
  <c r="K1026" i="1"/>
  <c r="J1026" i="1"/>
  <c r="D1026" i="1"/>
  <c r="B1026" i="1"/>
  <c r="L1025" i="1"/>
  <c r="K1025" i="1"/>
  <c r="J1025" i="1"/>
  <c r="D1025" i="1"/>
  <c r="B1025" i="1"/>
  <c r="L1024" i="1"/>
  <c r="K1024" i="1"/>
  <c r="J1024" i="1"/>
  <c r="D1024" i="1"/>
  <c r="B1024" i="1"/>
  <c r="L1023" i="1"/>
  <c r="K1023" i="1"/>
  <c r="J1023" i="1"/>
  <c r="D1023" i="1"/>
  <c r="B1023" i="1"/>
  <c r="L1022" i="1"/>
  <c r="K1022" i="1"/>
  <c r="J1022" i="1"/>
  <c r="D1022" i="1"/>
  <c r="B1022" i="1"/>
  <c r="L1021" i="1"/>
  <c r="K1021" i="1"/>
  <c r="J1021" i="1"/>
  <c r="D1021" i="1"/>
  <c r="B1021" i="1"/>
  <c r="L1020" i="1"/>
  <c r="K1020" i="1"/>
  <c r="J1020" i="1"/>
  <c r="D1020" i="1"/>
  <c r="B1020" i="1"/>
  <c r="L1019" i="1"/>
  <c r="K1019" i="1"/>
  <c r="J1019" i="1"/>
  <c r="D1019" i="1"/>
  <c r="B1019" i="1"/>
  <c r="L1018" i="1"/>
  <c r="K1018" i="1"/>
  <c r="J1018" i="1"/>
  <c r="D1018" i="1"/>
  <c r="B1018" i="1"/>
  <c r="L1017" i="1"/>
  <c r="K1017" i="1"/>
  <c r="J1017" i="1"/>
  <c r="D1017" i="1"/>
  <c r="B1017" i="1"/>
  <c r="L1016" i="1"/>
  <c r="K1016" i="1"/>
  <c r="J1016" i="1"/>
  <c r="D1016" i="1"/>
  <c r="B1016" i="1"/>
  <c r="L1015" i="1"/>
  <c r="K1015" i="1"/>
  <c r="J1015" i="1"/>
  <c r="D1015" i="1"/>
  <c r="B1015" i="1"/>
  <c r="L1014" i="1"/>
  <c r="K1014" i="1"/>
  <c r="J1014" i="1"/>
  <c r="D1014" i="1"/>
  <c r="B1014" i="1"/>
  <c r="L1013" i="1"/>
  <c r="K1013" i="1"/>
  <c r="J1013" i="1"/>
  <c r="D1013" i="1"/>
  <c r="B1013" i="1"/>
  <c r="L1012" i="1"/>
  <c r="K1012" i="1"/>
  <c r="J1012" i="1"/>
  <c r="D1012" i="1"/>
  <c r="B1012" i="1"/>
  <c r="L1011" i="1"/>
  <c r="K1011" i="1"/>
  <c r="J1011" i="1"/>
  <c r="D1011" i="1"/>
  <c r="B1011" i="1"/>
  <c r="L1010" i="1"/>
  <c r="K1010" i="1"/>
  <c r="J1010" i="1"/>
  <c r="D1010" i="1"/>
  <c r="B1010" i="1"/>
  <c r="L1009" i="1"/>
  <c r="K1009" i="1"/>
  <c r="J1009" i="1"/>
  <c r="D1009" i="1"/>
  <c r="B1009" i="1"/>
  <c r="L1008" i="1"/>
  <c r="K1008" i="1"/>
  <c r="J1008" i="1"/>
  <c r="D1008" i="1"/>
  <c r="B1008" i="1"/>
  <c r="L1007" i="1"/>
  <c r="K1007" i="1"/>
  <c r="J1007" i="1"/>
  <c r="D1007" i="1"/>
  <c r="B1007" i="1"/>
  <c r="L1006" i="1"/>
  <c r="K1006" i="1"/>
  <c r="J1006" i="1"/>
  <c r="D1006" i="1"/>
  <c r="B1006" i="1"/>
  <c r="L1005" i="1"/>
  <c r="K1005" i="1"/>
  <c r="J1005" i="1"/>
  <c r="D1005" i="1"/>
  <c r="B1005" i="1"/>
  <c r="L1004" i="1"/>
  <c r="K1004" i="1"/>
  <c r="J1004" i="1"/>
  <c r="D1004" i="1"/>
  <c r="B1004" i="1"/>
  <c r="L1003" i="1"/>
  <c r="K1003" i="1"/>
  <c r="J1003" i="1"/>
  <c r="D1003" i="1"/>
  <c r="B1003" i="1"/>
  <c r="L1002" i="1"/>
  <c r="K1002" i="1"/>
  <c r="J1002" i="1"/>
  <c r="D1002" i="1"/>
  <c r="B1002" i="1"/>
  <c r="L1001" i="1"/>
  <c r="K1001" i="1"/>
  <c r="J1001" i="1"/>
  <c r="D1001" i="1"/>
  <c r="B1001" i="1"/>
  <c r="L1000" i="1"/>
  <c r="K1000" i="1"/>
  <c r="J1000" i="1"/>
  <c r="D1000" i="1"/>
  <c r="B1000" i="1"/>
  <c r="L999" i="1"/>
  <c r="K999" i="1"/>
  <c r="J999" i="1"/>
  <c r="D999" i="1"/>
  <c r="B999" i="1"/>
  <c r="L998" i="1"/>
  <c r="K998" i="1"/>
  <c r="J998" i="1"/>
  <c r="D998" i="1"/>
  <c r="B998" i="1"/>
  <c r="L997" i="1"/>
  <c r="K997" i="1"/>
  <c r="J997" i="1"/>
  <c r="D997" i="1"/>
  <c r="B997" i="1"/>
  <c r="L996" i="1"/>
  <c r="K996" i="1"/>
  <c r="J996" i="1"/>
  <c r="D996" i="1"/>
  <c r="B996" i="1"/>
  <c r="L995" i="1"/>
  <c r="K995" i="1"/>
  <c r="J995" i="1"/>
  <c r="D995" i="1"/>
  <c r="B995" i="1"/>
  <c r="L994" i="1"/>
  <c r="K994" i="1"/>
  <c r="J994" i="1"/>
  <c r="D994" i="1"/>
  <c r="B994" i="1"/>
  <c r="L993" i="1"/>
  <c r="K993" i="1"/>
  <c r="J993" i="1"/>
  <c r="D993" i="1"/>
  <c r="B993" i="1"/>
  <c r="L992" i="1"/>
  <c r="K992" i="1"/>
  <c r="J992" i="1"/>
  <c r="D992" i="1"/>
  <c r="B992" i="1"/>
  <c r="L991" i="1"/>
  <c r="K991" i="1"/>
  <c r="J991" i="1"/>
  <c r="D991" i="1"/>
  <c r="B991" i="1"/>
  <c r="L990" i="1"/>
  <c r="K990" i="1"/>
  <c r="J990" i="1"/>
  <c r="D990" i="1"/>
  <c r="B990" i="1"/>
  <c r="L989" i="1"/>
  <c r="K989" i="1"/>
  <c r="J989" i="1"/>
  <c r="D989" i="1"/>
  <c r="B989" i="1"/>
  <c r="L988" i="1"/>
  <c r="K988" i="1"/>
  <c r="J988" i="1"/>
  <c r="D988" i="1"/>
  <c r="B988" i="1"/>
  <c r="L987" i="1"/>
  <c r="K987" i="1"/>
  <c r="J987" i="1"/>
  <c r="D987" i="1"/>
  <c r="B987" i="1"/>
  <c r="L986" i="1"/>
  <c r="K986" i="1"/>
  <c r="J986" i="1"/>
  <c r="D986" i="1"/>
  <c r="B986" i="1"/>
  <c r="L985" i="1"/>
  <c r="K985" i="1"/>
  <c r="J985" i="1"/>
  <c r="D985" i="1"/>
  <c r="B985" i="1"/>
  <c r="L984" i="1"/>
  <c r="K984" i="1"/>
  <c r="J984" i="1"/>
  <c r="D984" i="1"/>
  <c r="B984" i="1"/>
  <c r="L983" i="1"/>
  <c r="K983" i="1"/>
  <c r="J983" i="1"/>
  <c r="D983" i="1"/>
  <c r="B983" i="1"/>
  <c r="L982" i="1"/>
  <c r="K982" i="1"/>
  <c r="J982" i="1"/>
  <c r="D982" i="1"/>
  <c r="B982" i="1"/>
  <c r="L981" i="1"/>
  <c r="K981" i="1"/>
  <c r="J981" i="1"/>
  <c r="D981" i="1"/>
  <c r="B981" i="1"/>
  <c r="L980" i="1"/>
  <c r="K980" i="1"/>
  <c r="J980" i="1"/>
  <c r="D980" i="1"/>
  <c r="B980" i="1"/>
  <c r="L979" i="1"/>
  <c r="K979" i="1"/>
  <c r="J979" i="1"/>
  <c r="D979" i="1"/>
  <c r="B979" i="1"/>
  <c r="L978" i="1"/>
  <c r="K978" i="1"/>
  <c r="J978" i="1"/>
  <c r="D978" i="1"/>
  <c r="B978" i="1"/>
  <c r="L977" i="1"/>
  <c r="K977" i="1"/>
  <c r="J977" i="1"/>
  <c r="D977" i="1"/>
  <c r="B977" i="1"/>
  <c r="L976" i="1"/>
  <c r="K976" i="1"/>
  <c r="J976" i="1"/>
  <c r="D976" i="1"/>
  <c r="B976" i="1"/>
  <c r="L975" i="1"/>
  <c r="K975" i="1"/>
  <c r="J975" i="1"/>
  <c r="D975" i="1"/>
  <c r="B975" i="1"/>
  <c r="L974" i="1"/>
  <c r="K974" i="1"/>
  <c r="J974" i="1"/>
  <c r="D974" i="1"/>
  <c r="B974" i="1"/>
  <c r="L973" i="1"/>
  <c r="K973" i="1"/>
  <c r="J973" i="1"/>
  <c r="D973" i="1"/>
  <c r="B973" i="1"/>
  <c r="L972" i="1"/>
  <c r="K972" i="1"/>
  <c r="J972" i="1"/>
  <c r="D972" i="1"/>
  <c r="B972" i="1"/>
  <c r="L971" i="1"/>
  <c r="K971" i="1"/>
  <c r="J971" i="1"/>
  <c r="D971" i="1"/>
  <c r="B971" i="1"/>
  <c r="L970" i="1"/>
  <c r="K970" i="1"/>
  <c r="J970" i="1"/>
  <c r="D970" i="1"/>
  <c r="B970" i="1"/>
  <c r="L969" i="1"/>
  <c r="K969" i="1"/>
  <c r="J969" i="1"/>
  <c r="D969" i="1"/>
  <c r="B969" i="1"/>
  <c r="L968" i="1"/>
  <c r="K968" i="1"/>
  <c r="J968" i="1"/>
  <c r="D968" i="1"/>
  <c r="B968" i="1"/>
  <c r="L967" i="1"/>
  <c r="K967" i="1"/>
  <c r="J967" i="1"/>
  <c r="D967" i="1"/>
  <c r="B967" i="1"/>
  <c r="L966" i="1"/>
  <c r="K966" i="1"/>
  <c r="J966" i="1"/>
  <c r="D966" i="1"/>
  <c r="B966" i="1"/>
  <c r="L965" i="1"/>
  <c r="K965" i="1"/>
  <c r="J965" i="1"/>
  <c r="D965" i="1"/>
  <c r="B965" i="1"/>
  <c r="L964" i="1"/>
  <c r="K964" i="1"/>
  <c r="J964" i="1"/>
  <c r="D964" i="1"/>
  <c r="B964" i="1"/>
  <c r="L963" i="1"/>
  <c r="K963" i="1"/>
  <c r="J963" i="1"/>
  <c r="D963" i="1"/>
  <c r="B963" i="1"/>
  <c r="L962" i="1"/>
  <c r="K962" i="1"/>
  <c r="J962" i="1"/>
  <c r="D962" i="1"/>
  <c r="B962" i="1"/>
  <c r="L961" i="1"/>
  <c r="K961" i="1"/>
  <c r="J961" i="1"/>
  <c r="D961" i="1"/>
  <c r="B961" i="1"/>
  <c r="L960" i="1"/>
  <c r="K960" i="1"/>
  <c r="J960" i="1"/>
  <c r="D960" i="1"/>
  <c r="B960" i="1"/>
  <c r="L959" i="1"/>
  <c r="K959" i="1"/>
  <c r="J959" i="1"/>
  <c r="D959" i="1"/>
  <c r="B959" i="1"/>
  <c r="L958" i="1"/>
  <c r="K958" i="1"/>
  <c r="J958" i="1"/>
  <c r="D958" i="1"/>
  <c r="B958" i="1"/>
  <c r="L957" i="1"/>
  <c r="K957" i="1"/>
  <c r="J957" i="1"/>
  <c r="D957" i="1"/>
  <c r="B957" i="1"/>
  <c r="L956" i="1"/>
  <c r="K956" i="1"/>
  <c r="J956" i="1"/>
  <c r="D956" i="1"/>
  <c r="B956" i="1"/>
  <c r="L955" i="1"/>
  <c r="K955" i="1"/>
  <c r="J955" i="1"/>
  <c r="D955" i="1"/>
  <c r="B955" i="1"/>
  <c r="L954" i="1"/>
  <c r="K954" i="1"/>
  <c r="J954" i="1"/>
  <c r="D954" i="1"/>
  <c r="B954" i="1"/>
  <c r="L953" i="1"/>
  <c r="K953" i="1"/>
  <c r="J953" i="1"/>
  <c r="D953" i="1"/>
  <c r="B953" i="1"/>
  <c r="L952" i="1"/>
  <c r="K952" i="1"/>
  <c r="J952" i="1"/>
  <c r="D952" i="1"/>
  <c r="B952" i="1"/>
  <c r="L951" i="1"/>
  <c r="K951" i="1"/>
  <c r="J951" i="1"/>
  <c r="D951" i="1"/>
  <c r="B951" i="1"/>
  <c r="L950" i="1"/>
  <c r="K950" i="1"/>
  <c r="J950" i="1"/>
  <c r="D950" i="1"/>
  <c r="B950" i="1"/>
  <c r="L949" i="1"/>
  <c r="K949" i="1"/>
  <c r="J949" i="1"/>
  <c r="D949" i="1"/>
  <c r="B949" i="1"/>
  <c r="L948" i="1"/>
  <c r="K948" i="1"/>
  <c r="J948" i="1"/>
  <c r="D948" i="1"/>
  <c r="B948" i="1"/>
  <c r="L947" i="1"/>
  <c r="K947" i="1"/>
  <c r="J947" i="1"/>
  <c r="D947" i="1"/>
  <c r="B947" i="1"/>
  <c r="L946" i="1"/>
  <c r="K946" i="1"/>
  <c r="J946" i="1"/>
  <c r="D946" i="1"/>
  <c r="B946" i="1"/>
  <c r="L945" i="1"/>
  <c r="K945" i="1"/>
  <c r="J945" i="1"/>
  <c r="D945" i="1"/>
  <c r="B945" i="1"/>
  <c r="L944" i="1"/>
  <c r="K944" i="1"/>
  <c r="J944" i="1"/>
  <c r="D944" i="1"/>
  <c r="B944" i="1"/>
  <c r="L943" i="1"/>
  <c r="K943" i="1"/>
  <c r="J943" i="1"/>
  <c r="D943" i="1"/>
  <c r="B943" i="1"/>
  <c r="L942" i="1"/>
  <c r="K942" i="1"/>
  <c r="J942" i="1"/>
  <c r="D942" i="1"/>
  <c r="B942" i="1"/>
  <c r="L941" i="1"/>
  <c r="K941" i="1"/>
  <c r="J941" i="1"/>
  <c r="D941" i="1"/>
  <c r="B941" i="1"/>
  <c r="L940" i="1"/>
  <c r="K940" i="1"/>
  <c r="J940" i="1"/>
  <c r="D940" i="1"/>
  <c r="B940" i="1"/>
  <c r="L939" i="1"/>
  <c r="K939" i="1"/>
  <c r="J939" i="1"/>
  <c r="D939" i="1"/>
  <c r="B939" i="1"/>
  <c r="L938" i="1"/>
  <c r="K938" i="1"/>
  <c r="J938" i="1"/>
  <c r="D938" i="1"/>
  <c r="B938" i="1"/>
  <c r="L937" i="1"/>
  <c r="K937" i="1"/>
  <c r="J937" i="1"/>
  <c r="D937" i="1"/>
  <c r="B937" i="1"/>
  <c r="L936" i="1"/>
  <c r="K936" i="1"/>
  <c r="J936" i="1"/>
  <c r="D936" i="1"/>
  <c r="B936" i="1"/>
  <c r="L935" i="1"/>
  <c r="K935" i="1"/>
  <c r="J935" i="1"/>
  <c r="D935" i="1"/>
  <c r="B935" i="1"/>
  <c r="L934" i="1"/>
  <c r="K934" i="1"/>
  <c r="J934" i="1"/>
  <c r="D934" i="1"/>
  <c r="B934" i="1"/>
  <c r="L933" i="1"/>
  <c r="K933" i="1"/>
  <c r="J933" i="1"/>
  <c r="D933" i="1"/>
  <c r="B933" i="1"/>
  <c r="L932" i="1"/>
  <c r="K932" i="1"/>
  <c r="J932" i="1"/>
  <c r="D932" i="1"/>
  <c r="B932" i="1"/>
  <c r="L931" i="1"/>
  <c r="K931" i="1"/>
  <c r="J931" i="1"/>
  <c r="D931" i="1"/>
  <c r="B931" i="1"/>
  <c r="L930" i="1"/>
  <c r="K930" i="1"/>
  <c r="J930" i="1"/>
  <c r="D930" i="1"/>
  <c r="B930" i="1"/>
  <c r="L929" i="1"/>
  <c r="K929" i="1"/>
  <c r="J929" i="1"/>
  <c r="D929" i="1"/>
  <c r="B929" i="1"/>
  <c r="L928" i="1"/>
  <c r="K928" i="1"/>
  <c r="J928" i="1"/>
  <c r="D928" i="1"/>
  <c r="B928" i="1"/>
  <c r="L927" i="1"/>
  <c r="K927" i="1"/>
  <c r="J927" i="1"/>
  <c r="D927" i="1"/>
  <c r="B927" i="1"/>
  <c r="L926" i="1"/>
  <c r="K926" i="1"/>
  <c r="J926" i="1"/>
  <c r="D926" i="1"/>
  <c r="B926" i="1"/>
  <c r="L925" i="1"/>
  <c r="K925" i="1"/>
  <c r="J925" i="1"/>
  <c r="D925" i="1"/>
  <c r="B925" i="1"/>
  <c r="L924" i="1"/>
  <c r="K924" i="1"/>
  <c r="J924" i="1"/>
  <c r="D924" i="1"/>
  <c r="B924" i="1"/>
  <c r="L923" i="1"/>
  <c r="K923" i="1"/>
  <c r="J923" i="1"/>
  <c r="D923" i="1"/>
  <c r="B923" i="1"/>
  <c r="L922" i="1"/>
  <c r="K922" i="1"/>
  <c r="J922" i="1"/>
  <c r="D922" i="1"/>
  <c r="B922" i="1"/>
  <c r="L921" i="1"/>
  <c r="K921" i="1"/>
  <c r="J921" i="1"/>
  <c r="D921" i="1"/>
  <c r="B921" i="1"/>
  <c r="L920" i="1"/>
  <c r="K920" i="1"/>
  <c r="J920" i="1"/>
  <c r="D920" i="1"/>
  <c r="B920" i="1"/>
  <c r="L919" i="1"/>
  <c r="K919" i="1"/>
  <c r="J919" i="1"/>
  <c r="D919" i="1"/>
  <c r="B919" i="1"/>
  <c r="L918" i="1"/>
  <c r="K918" i="1"/>
  <c r="J918" i="1"/>
  <c r="D918" i="1"/>
  <c r="B918" i="1"/>
  <c r="L917" i="1"/>
  <c r="K917" i="1"/>
  <c r="J917" i="1"/>
  <c r="D917" i="1"/>
  <c r="B917" i="1"/>
  <c r="L916" i="1"/>
  <c r="K916" i="1"/>
  <c r="J916" i="1"/>
  <c r="D916" i="1"/>
  <c r="B916" i="1"/>
  <c r="L915" i="1"/>
  <c r="K915" i="1"/>
  <c r="J915" i="1"/>
  <c r="D915" i="1"/>
  <c r="B915" i="1"/>
  <c r="L914" i="1"/>
  <c r="K914" i="1"/>
  <c r="J914" i="1"/>
  <c r="D914" i="1"/>
  <c r="B914" i="1"/>
  <c r="L913" i="1"/>
  <c r="K913" i="1"/>
  <c r="J913" i="1"/>
  <c r="D913" i="1"/>
  <c r="B913" i="1"/>
  <c r="L912" i="1"/>
  <c r="K912" i="1"/>
  <c r="J912" i="1"/>
  <c r="D912" i="1"/>
  <c r="B912" i="1"/>
  <c r="L911" i="1"/>
  <c r="K911" i="1"/>
  <c r="J911" i="1"/>
  <c r="D911" i="1"/>
  <c r="B911" i="1"/>
  <c r="L910" i="1"/>
  <c r="K910" i="1"/>
  <c r="J910" i="1"/>
  <c r="D910" i="1"/>
  <c r="B910" i="1"/>
  <c r="L909" i="1"/>
  <c r="K909" i="1"/>
  <c r="J909" i="1"/>
  <c r="D909" i="1"/>
  <c r="B909" i="1"/>
  <c r="L908" i="1"/>
  <c r="K908" i="1"/>
  <c r="J908" i="1"/>
  <c r="D908" i="1"/>
  <c r="B908" i="1"/>
  <c r="L907" i="1"/>
  <c r="K907" i="1"/>
  <c r="J907" i="1"/>
  <c r="D907" i="1"/>
  <c r="B907" i="1"/>
  <c r="L906" i="1"/>
  <c r="K906" i="1"/>
  <c r="J906" i="1"/>
  <c r="D906" i="1"/>
  <c r="B906" i="1"/>
  <c r="L905" i="1"/>
  <c r="K905" i="1"/>
  <c r="J905" i="1"/>
  <c r="D905" i="1"/>
  <c r="B905" i="1"/>
  <c r="L904" i="1"/>
  <c r="K904" i="1"/>
  <c r="J904" i="1"/>
  <c r="D904" i="1"/>
  <c r="B904" i="1"/>
  <c r="L903" i="1"/>
  <c r="K903" i="1"/>
  <c r="J903" i="1"/>
  <c r="D903" i="1"/>
  <c r="B903" i="1"/>
  <c r="L902" i="1"/>
  <c r="K902" i="1"/>
  <c r="J902" i="1"/>
  <c r="D902" i="1"/>
  <c r="B902" i="1"/>
  <c r="L901" i="1"/>
  <c r="K901" i="1"/>
  <c r="J901" i="1"/>
  <c r="D901" i="1"/>
  <c r="B901" i="1"/>
  <c r="L900" i="1"/>
  <c r="K900" i="1"/>
  <c r="J900" i="1"/>
  <c r="D900" i="1"/>
  <c r="B900" i="1"/>
  <c r="L899" i="1"/>
  <c r="K899" i="1"/>
  <c r="J899" i="1"/>
  <c r="D899" i="1"/>
  <c r="B899" i="1"/>
  <c r="L898" i="1"/>
  <c r="K898" i="1"/>
  <c r="J898" i="1"/>
  <c r="D898" i="1"/>
  <c r="B898" i="1"/>
  <c r="L897" i="1"/>
  <c r="K897" i="1"/>
  <c r="J897" i="1"/>
  <c r="D897" i="1"/>
  <c r="B897" i="1"/>
  <c r="L896" i="1"/>
  <c r="K896" i="1"/>
  <c r="J896" i="1"/>
  <c r="D896" i="1"/>
  <c r="B896" i="1"/>
  <c r="L895" i="1"/>
  <c r="K895" i="1"/>
  <c r="J895" i="1"/>
  <c r="D895" i="1"/>
  <c r="B895" i="1"/>
  <c r="L894" i="1"/>
  <c r="K894" i="1"/>
  <c r="J894" i="1"/>
  <c r="D894" i="1"/>
  <c r="B894" i="1"/>
  <c r="L893" i="1"/>
  <c r="K893" i="1"/>
  <c r="J893" i="1"/>
  <c r="D893" i="1"/>
  <c r="B893" i="1"/>
  <c r="L892" i="1"/>
  <c r="K892" i="1"/>
  <c r="J892" i="1"/>
  <c r="D892" i="1"/>
  <c r="B892" i="1"/>
  <c r="L891" i="1"/>
  <c r="K891" i="1"/>
  <c r="J891" i="1"/>
  <c r="D891" i="1"/>
  <c r="B891" i="1"/>
  <c r="L890" i="1"/>
  <c r="K890" i="1"/>
  <c r="J890" i="1"/>
  <c r="D890" i="1"/>
  <c r="B890" i="1"/>
  <c r="L889" i="1"/>
  <c r="K889" i="1"/>
  <c r="J889" i="1"/>
  <c r="D889" i="1"/>
  <c r="B889" i="1"/>
  <c r="L888" i="1"/>
  <c r="K888" i="1"/>
  <c r="J888" i="1"/>
  <c r="D888" i="1"/>
  <c r="B888" i="1"/>
  <c r="L887" i="1"/>
  <c r="K887" i="1"/>
  <c r="J887" i="1"/>
  <c r="D887" i="1"/>
  <c r="B887" i="1"/>
  <c r="L886" i="1"/>
  <c r="K886" i="1"/>
  <c r="J886" i="1"/>
  <c r="D886" i="1"/>
  <c r="B886" i="1"/>
  <c r="L885" i="1"/>
  <c r="K885" i="1"/>
  <c r="J885" i="1"/>
  <c r="D885" i="1"/>
  <c r="B885" i="1"/>
  <c r="L884" i="1"/>
  <c r="K884" i="1"/>
  <c r="J884" i="1"/>
  <c r="D884" i="1"/>
  <c r="B884" i="1"/>
  <c r="L883" i="1"/>
  <c r="K883" i="1"/>
  <c r="J883" i="1"/>
  <c r="D883" i="1"/>
  <c r="B883" i="1"/>
  <c r="L882" i="1"/>
  <c r="K882" i="1"/>
  <c r="J882" i="1"/>
  <c r="D882" i="1"/>
  <c r="B882" i="1"/>
  <c r="L881" i="1"/>
  <c r="K881" i="1"/>
  <c r="J881" i="1"/>
  <c r="D881" i="1"/>
  <c r="B881" i="1"/>
  <c r="L880" i="1"/>
  <c r="K880" i="1"/>
  <c r="J880" i="1"/>
  <c r="D880" i="1"/>
  <c r="B880" i="1"/>
  <c r="L879" i="1"/>
  <c r="K879" i="1"/>
  <c r="J879" i="1"/>
  <c r="D879" i="1"/>
  <c r="B879" i="1"/>
  <c r="L878" i="1"/>
  <c r="K878" i="1"/>
  <c r="J878" i="1"/>
  <c r="D878" i="1"/>
  <c r="B878" i="1"/>
  <c r="L877" i="1"/>
  <c r="K877" i="1"/>
  <c r="J877" i="1"/>
  <c r="D877" i="1"/>
  <c r="B877" i="1"/>
  <c r="L876" i="1"/>
  <c r="K876" i="1"/>
  <c r="J876" i="1"/>
  <c r="D876" i="1"/>
  <c r="B876" i="1"/>
  <c r="L875" i="1"/>
  <c r="K875" i="1"/>
  <c r="J875" i="1"/>
  <c r="D875" i="1"/>
  <c r="B875" i="1"/>
  <c r="L874" i="1"/>
  <c r="K874" i="1"/>
  <c r="J874" i="1"/>
  <c r="D874" i="1"/>
  <c r="B874" i="1"/>
  <c r="L873" i="1"/>
  <c r="K873" i="1"/>
  <c r="J873" i="1"/>
  <c r="D873" i="1"/>
  <c r="B873" i="1"/>
  <c r="L872" i="1"/>
  <c r="K872" i="1"/>
  <c r="J872" i="1"/>
  <c r="D872" i="1"/>
  <c r="B872" i="1"/>
  <c r="L871" i="1"/>
  <c r="K871" i="1"/>
  <c r="J871" i="1"/>
  <c r="D871" i="1"/>
  <c r="B871" i="1"/>
  <c r="L870" i="1"/>
  <c r="K870" i="1"/>
  <c r="J870" i="1"/>
  <c r="D870" i="1"/>
  <c r="B870" i="1"/>
  <c r="L869" i="1"/>
  <c r="K869" i="1"/>
  <c r="J869" i="1"/>
  <c r="D869" i="1"/>
  <c r="B869" i="1"/>
  <c r="L868" i="1"/>
  <c r="K868" i="1"/>
  <c r="J868" i="1"/>
  <c r="D868" i="1"/>
  <c r="B868" i="1"/>
  <c r="L867" i="1"/>
  <c r="K867" i="1"/>
  <c r="J867" i="1"/>
  <c r="D867" i="1"/>
  <c r="B867" i="1"/>
  <c r="L866" i="1"/>
  <c r="K866" i="1"/>
  <c r="J866" i="1"/>
  <c r="D866" i="1"/>
  <c r="B866" i="1"/>
  <c r="L865" i="1"/>
  <c r="K865" i="1"/>
  <c r="J865" i="1"/>
  <c r="D865" i="1"/>
  <c r="B865" i="1"/>
  <c r="L864" i="1"/>
  <c r="K864" i="1"/>
  <c r="J864" i="1"/>
  <c r="D864" i="1"/>
  <c r="B864" i="1"/>
  <c r="L863" i="1"/>
  <c r="K863" i="1"/>
  <c r="J863" i="1"/>
  <c r="D863" i="1"/>
  <c r="B863" i="1"/>
  <c r="L862" i="1"/>
  <c r="K862" i="1"/>
  <c r="J862" i="1"/>
  <c r="D862" i="1"/>
  <c r="B862" i="1"/>
  <c r="L861" i="1"/>
  <c r="K861" i="1"/>
  <c r="J861" i="1"/>
  <c r="D861" i="1"/>
  <c r="B861" i="1"/>
  <c r="L860" i="1"/>
  <c r="K860" i="1"/>
  <c r="J860" i="1"/>
  <c r="D860" i="1"/>
  <c r="B860" i="1"/>
  <c r="L859" i="1"/>
  <c r="K859" i="1"/>
  <c r="J859" i="1"/>
  <c r="D859" i="1"/>
  <c r="B859" i="1"/>
  <c r="L858" i="1"/>
  <c r="K858" i="1"/>
  <c r="J858" i="1"/>
  <c r="D858" i="1"/>
  <c r="B858" i="1"/>
  <c r="L857" i="1"/>
  <c r="K857" i="1"/>
  <c r="J857" i="1"/>
  <c r="D857" i="1"/>
  <c r="B857" i="1"/>
  <c r="L856" i="1"/>
  <c r="K856" i="1"/>
  <c r="J856" i="1"/>
  <c r="D856" i="1"/>
  <c r="B856" i="1"/>
  <c r="L855" i="1"/>
  <c r="K855" i="1"/>
  <c r="J855" i="1"/>
  <c r="D855" i="1"/>
  <c r="B855" i="1"/>
  <c r="L854" i="1"/>
  <c r="K854" i="1"/>
  <c r="J854" i="1"/>
  <c r="D854" i="1"/>
  <c r="B854" i="1"/>
  <c r="L853" i="1"/>
  <c r="K853" i="1"/>
  <c r="J853" i="1"/>
  <c r="D853" i="1"/>
  <c r="B853" i="1"/>
  <c r="L852" i="1"/>
  <c r="K852" i="1"/>
  <c r="J852" i="1"/>
  <c r="D852" i="1"/>
  <c r="B852" i="1"/>
  <c r="L851" i="1"/>
  <c r="K851" i="1"/>
  <c r="J851" i="1"/>
  <c r="D851" i="1"/>
  <c r="B851" i="1"/>
  <c r="L850" i="1"/>
  <c r="K850" i="1"/>
  <c r="J850" i="1"/>
  <c r="D850" i="1"/>
  <c r="B850" i="1"/>
  <c r="L849" i="1"/>
  <c r="K849" i="1"/>
  <c r="J849" i="1"/>
  <c r="D849" i="1"/>
  <c r="B849" i="1"/>
  <c r="L848" i="1"/>
  <c r="K848" i="1"/>
  <c r="J848" i="1"/>
  <c r="D848" i="1"/>
  <c r="B848" i="1"/>
  <c r="L847" i="1"/>
  <c r="K847" i="1"/>
  <c r="J847" i="1"/>
  <c r="D847" i="1"/>
  <c r="B847" i="1"/>
  <c r="L846" i="1"/>
  <c r="K846" i="1"/>
  <c r="J846" i="1"/>
  <c r="D846" i="1"/>
  <c r="B846" i="1"/>
  <c r="L845" i="1"/>
  <c r="K845" i="1"/>
  <c r="J845" i="1"/>
  <c r="D845" i="1"/>
  <c r="B845" i="1"/>
  <c r="L844" i="1"/>
  <c r="K844" i="1"/>
  <c r="J844" i="1"/>
  <c r="D844" i="1"/>
  <c r="B844" i="1"/>
  <c r="L843" i="1"/>
  <c r="K843" i="1"/>
  <c r="J843" i="1"/>
  <c r="D843" i="1"/>
  <c r="B843" i="1"/>
  <c r="L842" i="1"/>
  <c r="K842" i="1"/>
  <c r="J842" i="1"/>
  <c r="D842" i="1"/>
  <c r="B842" i="1"/>
  <c r="L841" i="1"/>
  <c r="K841" i="1"/>
  <c r="J841" i="1"/>
  <c r="D841" i="1"/>
  <c r="B841" i="1"/>
  <c r="L840" i="1"/>
  <c r="K840" i="1"/>
  <c r="J840" i="1"/>
  <c r="D840" i="1"/>
  <c r="B840" i="1"/>
  <c r="L839" i="1"/>
  <c r="K839" i="1"/>
  <c r="J839" i="1"/>
  <c r="D839" i="1"/>
  <c r="B839" i="1"/>
  <c r="L838" i="1"/>
  <c r="K838" i="1"/>
  <c r="J838" i="1"/>
  <c r="D838" i="1"/>
  <c r="B838" i="1"/>
  <c r="L837" i="1"/>
  <c r="K837" i="1"/>
  <c r="J837" i="1"/>
  <c r="D837" i="1"/>
  <c r="B837" i="1"/>
  <c r="L836" i="1"/>
  <c r="K836" i="1"/>
  <c r="J836" i="1"/>
  <c r="D836" i="1"/>
  <c r="B836" i="1"/>
  <c r="L835" i="1"/>
  <c r="K835" i="1"/>
  <c r="J835" i="1"/>
  <c r="D835" i="1"/>
  <c r="B835" i="1"/>
  <c r="L834" i="1"/>
  <c r="K834" i="1"/>
  <c r="J834" i="1"/>
  <c r="D834" i="1"/>
  <c r="B834" i="1"/>
  <c r="L833" i="1"/>
  <c r="K833" i="1"/>
  <c r="J833" i="1"/>
  <c r="D833" i="1"/>
  <c r="B833" i="1"/>
  <c r="L832" i="1"/>
  <c r="K832" i="1"/>
  <c r="J832" i="1"/>
  <c r="D832" i="1"/>
  <c r="B832" i="1"/>
  <c r="L831" i="1"/>
  <c r="K831" i="1"/>
  <c r="J831" i="1"/>
  <c r="D831" i="1"/>
  <c r="B831" i="1"/>
  <c r="L830" i="1"/>
  <c r="K830" i="1"/>
  <c r="J830" i="1"/>
  <c r="D830" i="1"/>
  <c r="B830" i="1"/>
  <c r="L829" i="1"/>
  <c r="K829" i="1"/>
  <c r="J829" i="1"/>
  <c r="D829" i="1"/>
  <c r="B829" i="1"/>
  <c r="L828" i="1"/>
  <c r="K828" i="1"/>
  <c r="J828" i="1"/>
  <c r="D828" i="1"/>
  <c r="B828" i="1"/>
  <c r="L827" i="1"/>
  <c r="K827" i="1"/>
  <c r="J827" i="1"/>
  <c r="D827" i="1"/>
  <c r="B827" i="1"/>
  <c r="L826" i="1"/>
  <c r="K826" i="1"/>
  <c r="J826" i="1"/>
  <c r="D826" i="1"/>
  <c r="B826" i="1"/>
  <c r="L825" i="1"/>
  <c r="K825" i="1"/>
  <c r="J825" i="1"/>
  <c r="D825" i="1"/>
  <c r="B825" i="1"/>
  <c r="L824" i="1"/>
  <c r="K824" i="1"/>
  <c r="J824" i="1"/>
  <c r="D824" i="1"/>
  <c r="B824" i="1"/>
  <c r="L823" i="1"/>
  <c r="K823" i="1"/>
  <c r="J823" i="1"/>
  <c r="D823" i="1"/>
  <c r="B823" i="1"/>
  <c r="L822" i="1"/>
  <c r="K822" i="1"/>
  <c r="J822" i="1"/>
  <c r="D822" i="1"/>
  <c r="B822" i="1"/>
  <c r="L821" i="1"/>
  <c r="K821" i="1"/>
  <c r="J821" i="1"/>
  <c r="D821" i="1"/>
  <c r="B821" i="1"/>
  <c r="L820" i="1"/>
  <c r="K820" i="1"/>
  <c r="J820" i="1"/>
  <c r="D820" i="1"/>
  <c r="B820" i="1"/>
  <c r="L819" i="1"/>
  <c r="K819" i="1"/>
  <c r="J819" i="1"/>
  <c r="D819" i="1"/>
  <c r="B819" i="1"/>
  <c r="L818" i="1"/>
  <c r="K818" i="1"/>
  <c r="J818" i="1"/>
  <c r="D818" i="1"/>
  <c r="B818" i="1"/>
  <c r="L817" i="1"/>
  <c r="K817" i="1"/>
  <c r="J817" i="1"/>
  <c r="D817" i="1"/>
  <c r="B817" i="1"/>
  <c r="L816" i="1"/>
  <c r="K816" i="1"/>
  <c r="J816" i="1"/>
  <c r="D816" i="1"/>
  <c r="B816" i="1"/>
  <c r="L815" i="1"/>
  <c r="K815" i="1"/>
  <c r="J815" i="1"/>
  <c r="D815" i="1"/>
  <c r="B815" i="1"/>
  <c r="L814" i="1"/>
  <c r="K814" i="1"/>
  <c r="J814" i="1"/>
  <c r="D814" i="1"/>
  <c r="B814" i="1"/>
  <c r="L813" i="1"/>
  <c r="K813" i="1"/>
  <c r="J813" i="1"/>
  <c r="D813" i="1"/>
  <c r="B813" i="1"/>
  <c r="L812" i="1"/>
  <c r="K812" i="1"/>
  <c r="J812" i="1"/>
  <c r="D812" i="1"/>
  <c r="B812" i="1"/>
  <c r="L811" i="1"/>
  <c r="K811" i="1"/>
  <c r="J811" i="1"/>
  <c r="D811" i="1"/>
  <c r="B811" i="1"/>
  <c r="L810" i="1"/>
  <c r="K810" i="1"/>
  <c r="J810" i="1"/>
  <c r="D810" i="1"/>
  <c r="B810" i="1"/>
  <c r="L809" i="1"/>
  <c r="K809" i="1"/>
  <c r="J809" i="1"/>
  <c r="D809" i="1"/>
  <c r="B809" i="1"/>
  <c r="L808" i="1"/>
  <c r="K808" i="1"/>
  <c r="J808" i="1"/>
  <c r="D808" i="1"/>
  <c r="B808" i="1"/>
  <c r="L807" i="1"/>
  <c r="K807" i="1"/>
  <c r="J807" i="1"/>
  <c r="D807" i="1"/>
  <c r="B807" i="1"/>
  <c r="L806" i="1"/>
  <c r="K806" i="1"/>
  <c r="J806" i="1"/>
  <c r="D806" i="1"/>
  <c r="B806" i="1"/>
  <c r="L805" i="1"/>
  <c r="K805" i="1"/>
  <c r="J805" i="1"/>
  <c r="D805" i="1"/>
  <c r="B805" i="1"/>
  <c r="L804" i="1"/>
  <c r="K804" i="1"/>
  <c r="J804" i="1"/>
  <c r="D804" i="1"/>
  <c r="B804" i="1"/>
  <c r="L803" i="1"/>
  <c r="K803" i="1"/>
  <c r="J803" i="1"/>
  <c r="D803" i="1"/>
  <c r="B803" i="1"/>
  <c r="L802" i="1"/>
  <c r="K802" i="1"/>
  <c r="J802" i="1"/>
  <c r="D802" i="1"/>
  <c r="B802" i="1"/>
  <c r="L801" i="1"/>
  <c r="K801" i="1"/>
  <c r="J801" i="1"/>
  <c r="D801" i="1"/>
  <c r="B801" i="1"/>
  <c r="L800" i="1"/>
  <c r="K800" i="1"/>
  <c r="J800" i="1"/>
  <c r="D800" i="1"/>
  <c r="B800" i="1"/>
  <c r="L799" i="1"/>
  <c r="K799" i="1"/>
  <c r="J799" i="1"/>
  <c r="D799" i="1"/>
  <c r="B799" i="1"/>
  <c r="L798" i="1"/>
  <c r="K798" i="1"/>
  <c r="J798" i="1"/>
  <c r="D798" i="1"/>
  <c r="B798" i="1"/>
  <c r="L797" i="1"/>
  <c r="K797" i="1"/>
  <c r="J797" i="1"/>
  <c r="D797" i="1"/>
  <c r="B797" i="1"/>
  <c r="L796" i="1"/>
  <c r="K796" i="1"/>
  <c r="J796" i="1"/>
  <c r="D796" i="1"/>
  <c r="B796" i="1"/>
  <c r="L795" i="1"/>
  <c r="K795" i="1"/>
  <c r="J795" i="1"/>
  <c r="D795" i="1"/>
  <c r="B795" i="1"/>
  <c r="L794" i="1"/>
  <c r="K794" i="1"/>
  <c r="J794" i="1"/>
  <c r="D794" i="1"/>
  <c r="B794" i="1"/>
  <c r="L793" i="1"/>
  <c r="K793" i="1"/>
  <c r="J793" i="1"/>
  <c r="D793" i="1"/>
  <c r="B793" i="1"/>
  <c r="L792" i="1"/>
  <c r="K792" i="1"/>
  <c r="J792" i="1"/>
  <c r="D792" i="1"/>
  <c r="B792" i="1"/>
  <c r="L791" i="1"/>
  <c r="K791" i="1"/>
  <c r="J791" i="1"/>
  <c r="D791" i="1"/>
  <c r="B791" i="1"/>
  <c r="L790" i="1"/>
  <c r="K790" i="1"/>
  <c r="J790" i="1"/>
  <c r="D790" i="1"/>
  <c r="B790" i="1"/>
  <c r="L789" i="1"/>
  <c r="K789" i="1"/>
  <c r="J789" i="1"/>
  <c r="D789" i="1"/>
  <c r="B789" i="1"/>
  <c r="L788" i="1"/>
  <c r="K788" i="1"/>
  <c r="J788" i="1"/>
  <c r="D788" i="1"/>
  <c r="B788" i="1"/>
  <c r="L787" i="1"/>
  <c r="K787" i="1"/>
  <c r="J787" i="1"/>
  <c r="D787" i="1"/>
  <c r="B787" i="1"/>
  <c r="L786" i="1"/>
  <c r="K786" i="1"/>
  <c r="J786" i="1"/>
  <c r="D786" i="1"/>
  <c r="B786" i="1"/>
  <c r="L785" i="1"/>
  <c r="K785" i="1"/>
  <c r="J785" i="1"/>
  <c r="D785" i="1"/>
  <c r="B785" i="1"/>
  <c r="L784" i="1"/>
  <c r="K784" i="1"/>
  <c r="J784" i="1"/>
  <c r="D784" i="1"/>
  <c r="B784" i="1"/>
  <c r="L783" i="1"/>
  <c r="K783" i="1"/>
  <c r="J783" i="1"/>
  <c r="D783" i="1"/>
  <c r="B783" i="1"/>
  <c r="L782" i="1"/>
  <c r="K782" i="1"/>
  <c r="J782" i="1"/>
  <c r="D782" i="1"/>
  <c r="B782" i="1"/>
  <c r="L781" i="1"/>
  <c r="K781" i="1"/>
  <c r="J781" i="1"/>
  <c r="D781" i="1"/>
  <c r="B781" i="1"/>
  <c r="L780" i="1"/>
  <c r="K780" i="1"/>
  <c r="J780" i="1"/>
  <c r="D780" i="1"/>
  <c r="B780" i="1"/>
  <c r="L779" i="1"/>
  <c r="K779" i="1"/>
  <c r="J779" i="1"/>
  <c r="D779" i="1"/>
  <c r="B779" i="1"/>
  <c r="L778" i="1"/>
  <c r="K778" i="1"/>
  <c r="J778" i="1"/>
  <c r="D778" i="1"/>
  <c r="B778" i="1"/>
  <c r="L777" i="1"/>
  <c r="K777" i="1"/>
  <c r="J777" i="1"/>
  <c r="D777" i="1"/>
  <c r="B777" i="1"/>
  <c r="L776" i="1"/>
  <c r="K776" i="1"/>
  <c r="J776" i="1"/>
  <c r="D776" i="1"/>
  <c r="B776" i="1"/>
  <c r="L775" i="1"/>
  <c r="K775" i="1"/>
  <c r="J775" i="1"/>
  <c r="D775" i="1"/>
  <c r="B775" i="1"/>
  <c r="L774" i="1"/>
  <c r="K774" i="1"/>
  <c r="J774" i="1"/>
  <c r="D774" i="1"/>
  <c r="B774" i="1"/>
  <c r="L773" i="1"/>
  <c r="K773" i="1"/>
  <c r="J773" i="1"/>
  <c r="D773" i="1"/>
  <c r="B773" i="1"/>
  <c r="L772" i="1"/>
  <c r="K772" i="1"/>
  <c r="J772" i="1"/>
  <c r="D772" i="1"/>
  <c r="B772" i="1"/>
  <c r="L771" i="1"/>
  <c r="K771" i="1"/>
  <c r="J771" i="1"/>
  <c r="D771" i="1"/>
  <c r="B771" i="1"/>
  <c r="L770" i="1"/>
  <c r="K770" i="1"/>
  <c r="J770" i="1"/>
  <c r="D770" i="1"/>
  <c r="B770" i="1"/>
  <c r="L769" i="1"/>
  <c r="K769" i="1"/>
  <c r="J769" i="1"/>
  <c r="D769" i="1"/>
  <c r="B769" i="1"/>
  <c r="L768" i="1"/>
  <c r="K768" i="1"/>
  <c r="J768" i="1"/>
  <c r="D768" i="1"/>
  <c r="B768" i="1"/>
  <c r="L767" i="1"/>
  <c r="K767" i="1"/>
  <c r="J767" i="1"/>
  <c r="D767" i="1"/>
  <c r="B767" i="1"/>
  <c r="L766" i="1"/>
  <c r="K766" i="1"/>
  <c r="J766" i="1"/>
  <c r="D766" i="1"/>
  <c r="B766" i="1"/>
  <c r="L765" i="1"/>
  <c r="K765" i="1"/>
  <c r="J765" i="1"/>
  <c r="D765" i="1"/>
  <c r="B765" i="1"/>
  <c r="L764" i="1"/>
  <c r="K764" i="1"/>
  <c r="J764" i="1"/>
  <c r="D764" i="1"/>
  <c r="B764" i="1"/>
  <c r="L763" i="1"/>
  <c r="K763" i="1"/>
  <c r="J763" i="1"/>
  <c r="D763" i="1"/>
  <c r="B763" i="1"/>
  <c r="L762" i="1"/>
  <c r="K762" i="1"/>
  <c r="J762" i="1"/>
  <c r="D762" i="1"/>
  <c r="B762" i="1"/>
  <c r="L761" i="1"/>
  <c r="K761" i="1"/>
  <c r="J761" i="1"/>
  <c r="D761" i="1"/>
  <c r="B761" i="1"/>
  <c r="L760" i="1"/>
  <c r="K760" i="1"/>
  <c r="J760" i="1"/>
  <c r="D760" i="1"/>
  <c r="B760" i="1"/>
  <c r="L759" i="1"/>
  <c r="K759" i="1"/>
  <c r="J759" i="1"/>
  <c r="D759" i="1"/>
  <c r="B759" i="1"/>
  <c r="L758" i="1"/>
  <c r="K758" i="1"/>
  <c r="J758" i="1"/>
  <c r="D758" i="1"/>
  <c r="B758" i="1"/>
  <c r="L757" i="1"/>
  <c r="K757" i="1"/>
  <c r="J757" i="1"/>
  <c r="D757" i="1"/>
  <c r="B757" i="1"/>
  <c r="L756" i="1"/>
  <c r="K756" i="1"/>
  <c r="J756" i="1"/>
  <c r="D756" i="1"/>
  <c r="B756" i="1"/>
  <c r="L755" i="1"/>
  <c r="K755" i="1"/>
  <c r="J755" i="1"/>
  <c r="D755" i="1"/>
  <c r="B755" i="1"/>
  <c r="L754" i="1"/>
  <c r="K754" i="1"/>
  <c r="J754" i="1"/>
  <c r="D754" i="1"/>
  <c r="B754" i="1"/>
  <c r="L753" i="1"/>
  <c r="K753" i="1"/>
  <c r="J753" i="1"/>
  <c r="D753" i="1"/>
  <c r="B753" i="1"/>
  <c r="L752" i="1"/>
  <c r="K752" i="1"/>
  <c r="J752" i="1"/>
  <c r="D752" i="1"/>
  <c r="B752" i="1"/>
  <c r="L751" i="1"/>
  <c r="K751" i="1"/>
  <c r="J751" i="1"/>
  <c r="D751" i="1"/>
  <c r="B751" i="1"/>
  <c r="L750" i="1"/>
  <c r="K750" i="1"/>
  <c r="J750" i="1"/>
  <c r="D750" i="1"/>
  <c r="B750" i="1"/>
  <c r="L749" i="1"/>
  <c r="K749" i="1"/>
  <c r="J749" i="1"/>
  <c r="D749" i="1"/>
  <c r="B749" i="1"/>
  <c r="L748" i="1"/>
  <c r="K748" i="1"/>
  <c r="J748" i="1"/>
  <c r="D748" i="1"/>
  <c r="B748" i="1"/>
  <c r="L747" i="1"/>
  <c r="K747" i="1"/>
  <c r="J747" i="1"/>
  <c r="D747" i="1"/>
  <c r="B747" i="1"/>
  <c r="L746" i="1"/>
  <c r="K746" i="1"/>
  <c r="J746" i="1"/>
  <c r="D746" i="1"/>
  <c r="B746" i="1"/>
  <c r="L745" i="1"/>
  <c r="K745" i="1"/>
  <c r="J745" i="1"/>
  <c r="D745" i="1"/>
  <c r="B745" i="1"/>
  <c r="L744" i="1"/>
  <c r="K744" i="1"/>
  <c r="J744" i="1"/>
  <c r="D744" i="1"/>
  <c r="B744" i="1"/>
  <c r="L743" i="1"/>
  <c r="K743" i="1"/>
  <c r="J743" i="1"/>
  <c r="D743" i="1"/>
  <c r="B743" i="1"/>
  <c r="L742" i="1"/>
  <c r="K742" i="1"/>
  <c r="J742" i="1"/>
  <c r="D742" i="1"/>
  <c r="B742" i="1"/>
  <c r="L741" i="1"/>
  <c r="K741" i="1"/>
  <c r="J741" i="1"/>
  <c r="D741" i="1"/>
  <c r="B741" i="1"/>
  <c r="L740" i="1"/>
  <c r="K740" i="1"/>
  <c r="J740" i="1"/>
  <c r="D740" i="1"/>
  <c r="B740" i="1"/>
  <c r="L739" i="1"/>
  <c r="K739" i="1"/>
  <c r="J739" i="1"/>
  <c r="D739" i="1"/>
  <c r="B739" i="1"/>
  <c r="L738" i="1"/>
  <c r="K738" i="1"/>
  <c r="J738" i="1"/>
  <c r="D738" i="1"/>
  <c r="B738" i="1"/>
  <c r="L737" i="1"/>
  <c r="K737" i="1"/>
  <c r="J737" i="1"/>
  <c r="D737" i="1"/>
  <c r="B737" i="1"/>
  <c r="L736" i="1"/>
  <c r="K736" i="1"/>
  <c r="J736" i="1"/>
  <c r="D736" i="1"/>
  <c r="B736" i="1"/>
  <c r="L735" i="1"/>
  <c r="K735" i="1"/>
  <c r="J735" i="1"/>
  <c r="D735" i="1"/>
  <c r="B735" i="1"/>
  <c r="L734" i="1"/>
  <c r="K734" i="1"/>
  <c r="J734" i="1"/>
  <c r="D734" i="1"/>
  <c r="B734" i="1"/>
  <c r="L733" i="1"/>
  <c r="K733" i="1"/>
  <c r="J733" i="1"/>
  <c r="D733" i="1"/>
  <c r="B733" i="1"/>
  <c r="L732" i="1"/>
  <c r="K732" i="1"/>
  <c r="J732" i="1"/>
  <c r="D732" i="1"/>
  <c r="B732" i="1"/>
  <c r="L731" i="1"/>
  <c r="K731" i="1"/>
  <c r="J731" i="1"/>
  <c r="D731" i="1"/>
  <c r="B731" i="1"/>
  <c r="L730" i="1"/>
  <c r="K730" i="1"/>
  <c r="J730" i="1"/>
  <c r="D730" i="1"/>
  <c r="B730" i="1"/>
  <c r="L729" i="1"/>
  <c r="K729" i="1"/>
  <c r="J729" i="1"/>
  <c r="D729" i="1"/>
  <c r="B729" i="1"/>
  <c r="L728" i="1"/>
  <c r="K728" i="1"/>
  <c r="J728" i="1"/>
  <c r="D728" i="1"/>
  <c r="B728" i="1"/>
  <c r="L727" i="1"/>
  <c r="K727" i="1"/>
  <c r="J727" i="1"/>
  <c r="D727" i="1"/>
  <c r="B727" i="1"/>
  <c r="L726" i="1"/>
  <c r="K726" i="1"/>
  <c r="J726" i="1"/>
  <c r="D726" i="1"/>
  <c r="B726" i="1"/>
  <c r="L725" i="1"/>
  <c r="K725" i="1"/>
  <c r="J725" i="1"/>
  <c r="D725" i="1"/>
  <c r="B725" i="1"/>
  <c r="L724" i="1"/>
  <c r="K724" i="1"/>
  <c r="J724" i="1"/>
  <c r="D724" i="1"/>
  <c r="B724" i="1"/>
  <c r="L723" i="1"/>
  <c r="K723" i="1"/>
  <c r="J723" i="1"/>
  <c r="D723" i="1"/>
  <c r="B723" i="1"/>
  <c r="L722" i="1"/>
  <c r="K722" i="1"/>
  <c r="J722" i="1"/>
  <c r="D722" i="1"/>
  <c r="B722" i="1"/>
  <c r="L721" i="1"/>
  <c r="K721" i="1"/>
  <c r="J721" i="1"/>
  <c r="D721" i="1"/>
  <c r="B721" i="1"/>
  <c r="L720" i="1"/>
  <c r="K720" i="1"/>
  <c r="J720" i="1"/>
  <c r="D720" i="1"/>
  <c r="B720" i="1"/>
  <c r="L719" i="1"/>
  <c r="K719" i="1"/>
  <c r="J719" i="1"/>
  <c r="D719" i="1"/>
  <c r="B719" i="1"/>
  <c r="L718" i="1"/>
  <c r="K718" i="1"/>
  <c r="J718" i="1"/>
  <c r="D718" i="1"/>
  <c r="B718" i="1"/>
  <c r="L717" i="1"/>
  <c r="K717" i="1"/>
  <c r="J717" i="1"/>
  <c r="D717" i="1"/>
  <c r="B717" i="1"/>
  <c r="L716" i="1"/>
  <c r="K716" i="1"/>
  <c r="J716" i="1"/>
  <c r="D716" i="1"/>
  <c r="B716" i="1"/>
  <c r="L715" i="1"/>
  <c r="K715" i="1"/>
  <c r="J715" i="1"/>
  <c r="D715" i="1"/>
  <c r="B715" i="1"/>
  <c r="L714" i="1"/>
  <c r="K714" i="1"/>
  <c r="J714" i="1"/>
  <c r="D714" i="1"/>
  <c r="B714" i="1"/>
  <c r="L713" i="1"/>
  <c r="K713" i="1"/>
  <c r="J713" i="1"/>
  <c r="D713" i="1"/>
  <c r="B713" i="1"/>
  <c r="L712" i="1"/>
  <c r="K712" i="1"/>
  <c r="J712" i="1"/>
  <c r="D712" i="1"/>
  <c r="B712" i="1"/>
  <c r="L711" i="1"/>
  <c r="K711" i="1"/>
  <c r="J711" i="1"/>
  <c r="D711" i="1"/>
  <c r="B711" i="1"/>
  <c r="L710" i="1"/>
  <c r="K710" i="1"/>
  <c r="J710" i="1"/>
  <c r="D710" i="1"/>
  <c r="B710" i="1"/>
  <c r="L709" i="1"/>
  <c r="K709" i="1"/>
  <c r="J709" i="1"/>
  <c r="D709" i="1"/>
  <c r="B709" i="1"/>
  <c r="L708" i="1"/>
  <c r="K708" i="1"/>
  <c r="J708" i="1"/>
  <c r="D708" i="1"/>
  <c r="B708" i="1"/>
  <c r="L707" i="1"/>
  <c r="K707" i="1"/>
  <c r="J707" i="1"/>
  <c r="D707" i="1"/>
  <c r="B707" i="1"/>
  <c r="L706" i="1"/>
  <c r="K706" i="1"/>
  <c r="J706" i="1"/>
  <c r="D706" i="1"/>
  <c r="B706" i="1"/>
  <c r="L705" i="1"/>
  <c r="K705" i="1"/>
  <c r="J705" i="1"/>
  <c r="D705" i="1"/>
  <c r="B705" i="1"/>
  <c r="L704" i="1"/>
  <c r="K704" i="1"/>
  <c r="J704" i="1"/>
  <c r="D704" i="1"/>
  <c r="B704" i="1"/>
  <c r="L703" i="1"/>
  <c r="K703" i="1"/>
  <c r="J703" i="1"/>
  <c r="D703" i="1"/>
  <c r="B703" i="1"/>
  <c r="L702" i="1"/>
  <c r="K702" i="1"/>
  <c r="J702" i="1"/>
  <c r="D702" i="1"/>
  <c r="B702" i="1"/>
  <c r="L701" i="1"/>
  <c r="K701" i="1"/>
  <c r="J701" i="1"/>
  <c r="D701" i="1"/>
  <c r="B701" i="1"/>
  <c r="L700" i="1"/>
  <c r="K700" i="1"/>
  <c r="J700" i="1"/>
  <c r="D700" i="1"/>
  <c r="B700" i="1"/>
  <c r="L699" i="1"/>
  <c r="K699" i="1"/>
  <c r="J699" i="1"/>
  <c r="D699" i="1"/>
  <c r="B699" i="1"/>
  <c r="L698" i="1"/>
  <c r="K698" i="1"/>
  <c r="J698" i="1"/>
  <c r="D698" i="1"/>
  <c r="B698" i="1"/>
  <c r="L697" i="1"/>
  <c r="K697" i="1"/>
  <c r="J697" i="1"/>
  <c r="D697" i="1"/>
  <c r="B697" i="1"/>
  <c r="L696" i="1"/>
  <c r="K696" i="1"/>
  <c r="J696" i="1"/>
  <c r="D696" i="1"/>
  <c r="B696" i="1"/>
  <c r="L695" i="1"/>
  <c r="K695" i="1"/>
  <c r="J695" i="1"/>
  <c r="D695" i="1"/>
  <c r="B695" i="1"/>
  <c r="L694" i="1"/>
  <c r="K694" i="1"/>
  <c r="J694" i="1"/>
  <c r="D694" i="1"/>
  <c r="B694" i="1"/>
  <c r="L693" i="1"/>
  <c r="K693" i="1"/>
  <c r="J693" i="1"/>
  <c r="D693" i="1"/>
  <c r="B693" i="1"/>
  <c r="L692" i="1"/>
  <c r="K692" i="1"/>
  <c r="J692" i="1"/>
  <c r="D692" i="1"/>
  <c r="B692" i="1"/>
  <c r="L691" i="1"/>
  <c r="K691" i="1"/>
  <c r="J691" i="1"/>
  <c r="D691" i="1"/>
  <c r="B691" i="1"/>
  <c r="L690" i="1"/>
  <c r="K690" i="1"/>
  <c r="J690" i="1"/>
  <c r="D690" i="1"/>
  <c r="B690" i="1"/>
  <c r="L689" i="1"/>
  <c r="K689" i="1"/>
  <c r="J689" i="1"/>
  <c r="D689" i="1"/>
  <c r="B689" i="1"/>
  <c r="L688" i="1"/>
  <c r="K688" i="1"/>
  <c r="J688" i="1"/>
  <c r="D688" i="1"/>
  <c r="B688" i="1"/>
  <c r="L687" i="1"/>
  <c r="K687" i="1"/>
  <c r="J687" i="1"/>
  <c r="D687" i="1"/>
  <c r="B687" i="1"/>
  <c r="L686" i="1"/>
  <c r="K686" i="1"/>
  <c r="J686" i="1"/>
  <c r="D686" i="1"/>
  <c r="B686" i="1"/>
  <c r="L685" i="1"/>
  <c r="K685" i="1"/>
  <c r="J685" i="1"/>
  <c r="D685" i="1"/>
  <c r="B685" i="1"/>
  <c r="L684" i="1"/>
  <c r="K684" i="1"/>
  <c r="J684" i="1"/>
  <c r="D684" i="1"/>
  <c r="B684" i="1"/>
  <c r="L683" i="1"/>
  <c r="K683" i="1"/>
  <c r="J683" i="1"/>
  <c r="D683" i="1"/>
  <c r="B683" i="1"/>
  <c r="L682" i="1"/>
  <c r="K682" i="1"/>
  <c r="J682" i="1"/>
  <c r="D682" i="1"/>
  <c r="B682" i="1"/>
  <c r="L681" i="1"/>
  <c r="K681" i="1"/>
  <c r="J681" i="1"/>
  <c r="D681" i="1"/>
  <c r="B681" i="1"/>
  <c r="L680" i="1"/>
  <c r="K680" i="1"/>
  <c r="J680" i="1"/>
  <c r="D680" i="1"/>
  <c r="B680" i="1"/>
  <c r="L679" i="1"/>
  <c r="K679" i="1"/>
  <c r="J679" i="1"/>
  <c r="D679" i="1"/>
  <c r="B679" i="1"/>
  <c r="L678" i="1"/>
  <c r="K678" i="1"/>
  <c r="J678" i="1"/>
  <c r="D678" i="1"/>
  <c r="B678" i="1"/>
  <c r="L677" i="1"/>
  <c r="K677" i="1"/>
  <c r="J677" i="1"/>
  <c r="D677" i="1"/>
  <c r="B677" i="1"/>
  <c r="L676" i="1"/>
  <c r="K676" i="1"/>
  <c r="J676" i="1"/>
  <c r="D676" i="1"/>
  <c r="B676" i="1"/>
  <c r="L675" i="1"/>
  <c r="K675" i="1"/>
  <c r="J675" i="1"/>
  <c r="D675" i="1"/>
  <c r="B675" i="1"/>
  <c r="L674" i="1"/>
  <c r="K674" i="1"/>
  <c r="J674" i="1"/>
  <c r="D674" i="1"/>
  <c r="B674" i="1"/>
  <c r="L673" i="1"/>
  <c r="K673" i="1"/>
  <c r="J673" i="1"/>
  <c r="D673" i="1"/>
  <c r="B673" i="1"/>
  <c r="L672" i="1"/>
  <c r="K672" i="1"/>
  <c r="J672" i="1"/>
  <c r="D672" i="1"/>
  <c r="B672" i="1"/>
  <c r="L671" i="1"/>
  <c r="K671" i="1"/>
  <c r="J671" i="1"/>
  <c r="D671" i="1"/>
  <c r="B671" i="1"/>
  <c r="L670" i="1"/>
  <c r="K670" i="1"/>
  <c r="J670" i="1"/>
  <c r="D670" i="1"/>
  <c r="B670" i="1"/>
  <c r="L669" i="1"/>
  <c r="K669" i="1"/>
  <c r="J669" i="1"/>
  <c r="D669" i="1"/>
  <c r="B669" i="1"/>
  <c r="L668" i="1"/>
  <c r="K668" i="1"/>
  <c r="J668" i="1"/>
  <c r="D668" i="1"/>
  <c r="B668" i="1"/>
  <c r="L667" i="1"/>
  <c r="K667" i="1"/>
  <c r="J667" i="1"/>
  <c r="D667" i="1"/>
  <c r="B667" i="1"/>
  <c r="L666" i="1"/>
  <c r="K666" i="1"/>
  <c r="J666" i="1"/>
  <c r="D666" i="1"/>
  <c r="B666" i="1"/>
  <c r="L665" i="1"/>
  <c r="K665" i="1"/>
  <c r="J665" i="1"/>
  <c r="D665" i="1"/>
  <c r="B665" i="1"/>
  <c r="L664" i="1"/>
  <c r="K664" i="1"/>
  <c r="J664" i="1"/>
  <c r="D664" i="1"/>
  <c r="B664" i="1"/>
  <c r="L663" i="1"/>
  <c r="K663" i="1"/>
  <c r="J663" i="1"/>
  <c r="D663" i="1"/>
  <c r="B663" i="1"/>
  <c r="L662" i="1"/>
  <c r="K662" i="1"/>
  <c r="J662" i="1"/>
  <c r="D662" i="1"/>
  <c r="B662" i="1"/>
  <c r="L661" i="1"/>
  <c r="K661" i="1"/>
  <c r="J661" i="1"/>
  <c r="D661" i="1"/>
  <c r="B661" i="1"/>
  <c r="L660" i="1"/>
  <c r="K660" i="1"/>
  <c r="J660" i="1"/>
  <c r="D660" i="1"/>
  <c r="B660" i="1"/>
  <c r="L659" i="1"/>
  <c r="K659" i="1"/>
  <c r="J659" i="1"/>
  <c r="D659" i="1"/>
  <c r="B659" i="1"/>
  <c r="L658" i="1"/>
  <c r="K658" i="1"/>
  <c r="J658" i="1"/>
  <c r="D658" i="1"/>
  <c r="B658" i="1"/>
  <c r="L657" i="1"/>
  <c r="K657" i="1"/>
  <c r="J657" i="1"/>
  <c r="D657" i="1"/>
  <c r="B657" i="1"/>
  <c r="L656" i="1"/>
  <c r="K656" i="1"/>
  <c r="J656" i="1"/>
  <c r="D656" i="1"/>
  <c r="B656" i="1"/>
  <c r="L655" i="1"/>
  <c r="K655" i="1"/>
  <c r="J655" i="1"/>
  <c r="D655" i="1"/>
  <c r="B655" i="1"/>
  <c r="L654" i="1"/>
  <c r="K654" i="1"/>
  <c r="J654" i="1"/>
  <c r="D654" i="1"/>
  <c r="B654" i="1"/>
  <c r="L653" i="1"/>
  <c r="K653" i="1"/>
  <c r="J653" i="1"/>
  <c r="D653" i="1"/>
  <c r="B653" i="1"/>
  <c r="L652" i="1"/>
  <c r="K652" i="1"/>
  <c r="J652" i="1"/>
  <c r="D652" i="1"/>
  <c r="B652" i="1"/>
  <c r="L651" i="1"/>
  <c r="K651" i="1"/>
  <c r="J651" i="1"/>
  <c r="D651" i="1"/>
  <c r="B651" i="1"/>
  <c r="L650" i="1"/>
  <c r="K650" i="1"/>
  <c r="J650" i="1"/>
  <c r="D650" i="1"/>
  <c r="B650" i="1"/>
  <c r="L649" i="1"/>
  <c r="K649" i="1"/>
  <c r="J649" i="1"/>
  <c r="D649" i="1"/>
  <c r="B649" i="1"/>
  <c r="L648" i="1"/>
  <c r="K648" i="1"/>
  <c r="J648" i="1"/>
  <c r="D648" i="1"/>
  <c r="B648" i="1"/>
  <c r="L647" i="1"/>
  <c r="K647" i="1"/>
  <c r="J647" i="1"/>
  <c r="D647" i="1"/>
  <c r="B647" i="1"/>
  <c r="L646" i="1"/>
  <c r="K646" i="1"/>
  <c r="J646" i="1"/>
  <c r="D646" i="1"/>
  <c r="B646" i="1"/>
  <c r="L645" i="1"/>
  <c r="K645" i="1"/>
  <c r="J645" i="1"/>
  <c r="D645" i="1"/>
  <c r="B645" i="1"/>
  <c r="L644" i="1"/>
  <c r="K644" i="1"/>
  <c r="J644" i="1"/>
  <c r="D644" i="1"/>
  <c r="B644" i="1"/>
  <c r="L643" i="1"/>
  <c r="K643" i="1"/>
  <c r="J643" i="1"/>
  <c r="D643" i="1"/>
  <c r="B643" i="1"/>
  <c r="L642" i="1"/>
  <c r="K642" i="1"/>
  <c r="J642" i="1"/>
  <c r="D642" i="1"/>
  <c r="B642" i="1"/>
  <c r="L641" i="1"/>
  <c r="K641" i="1"/>
  <c r="J641" i="1"/>
  <c r="D641" i="1"/>
  <c r="B641" i="1"/>
  <c r="L640" i="1"/>
  <c r="K640" i="1"/>
  <c r="J640" i="1"/>
  <c r="D640" i="1"/>
  <c r="B640" i="1"/>
  <c r="L639" i="1"/>
  <c r="K639" i="1"/>
  <c r="J639" i="1"/>
  <c r="D639" i="1"/>
  <c r="B639" i="1"/>
  <c r="L638" i="1"/>
  <c r="K638" i="1"/>
  <c r="J638" i="1"/>
  <c r="D638" i="1"/>
  <c r="B638" i="1"/>
  <c r="L637" i="1"/>
  <c r="K637" i="1"/>
  <c r="J637" i="1"/>
  <c r="D637" i="1"/>
  <c r="B637" i="1"/>
  <c r="L636" i="1"/>
  <c r="K636" i="1"/>
  <c r="J636" i="1"/>
  <c r="D636" i="1"/>
  <c r="B636" i="1"/>
  <c r="L635" i="1"/>
  <c r="K635" i="1"/>
  <c r="J635" i="1"/>
  <c r="D635" i="1"/>
  <c r="B635" i="1"/>
  <c r="L634" i="1"/>
  <c r="K634" i="1"/>
  <c r="J634" i="1"/>
  <c r="D634" i="1"/>
  <c r="B634" i="1"/>
  <c r="L633" i="1"/>
  <c r="K633" i="1"/>
  <c r="J633" i="1"/>
  <c r="D633" i="1"/>
  <c r="B633" i="1"/>
  <c r="L632" i="1"/>
  <c r="K632" i="1"/>
  <c r="J632" i="1"/>
  <c r="D632" i="1"/>
  <c r="B632" i="1"/>
  <c r="L631" i="1"/>
  <c r="K631" i="1"/>
  <c r="J631" i="1"/>
  <c r="D631" i="1"/>
  <c r="B631" i="1"/>
  <c r="L630" i="1"/>
  <c r="K630" i="1"/>
  <c r="J630" i="1"/>
  <c r="D630" i="1"/>
  <c r="B630" i="1"/>
  <c r="L629" i="1"/>
  <c r="K629" i="1"/>
  <c r="J629" i="1"/>
  <c r="D629" i="1"/>
  <c r="B629" i="1"/>
  <c r="L628" i="1"/>
  <c r="K628" i="1"/>
  <c r="J628" i="1"/>
  <c r="D628" i="1"/>
  <c r="B628" i="1"/>
  <c r="L627" i="1"/>
  <c r="K627" i="1"/>
  <c r="J627" i="1"/>
  <c r="D627" i="1"/>
  <c r="B627" i="1"/>
  <c r="L626" i="1"/>
  <c r="K626" i="1"/>
  <c r="J626" i="1"/>
  <c r="D626" i="1"/>
  <c r="B626" i="1"/>
  <c r="L625" i="1"/>
  <c r="K625" i="1"/>
  <c r="J625" i="1"/>
  <c r="D625" i="1"/>
  <c r="B625" i="1"/>
  <c r="L624" i="1"/>
  <c r="K624" i="1"/>
  <c r="J624" i="1"/>
  <c r="D624" i="1"/>
  <c r="B624" i="1"/>
  <c r="L623" i="1"/>
  <c r="K623" i="1"/>
  <c r="J623" i="1"/>
  <c r="D623" i="1"/>
  <c r="B623" i="1"/>
  <c r="L622" i="1"/>
  <c r="K622" i="1"/>
  <c r="J622" i="1"/>
  <c r="D622" i="1"/>
  <c r="B622" i="1"/>
  <c r="L621" i="1"/>
  <c r="K621" i="1"/>
  <c r="J621" i="1"/>
  <c r="D621" i="1"/>
  <c r="B621" i="1"/>
  <c r="L620" i="1"/>
  <c r="K620" i="1"/>
  <c r="J620" i="1"/>
  <c r="D620" i="1"/>
  <c r="B620" i="1"/>
  <c r="L619" i="1"/>
  <c r="K619" i="1"/>
  <c r="J619" i="1"/>
  <c r="D619" i="1"/>
  <c r="B619" i="1"/>
  <c r="L618" i="1"/>
  <c r="K618" i="1"/>
  <c r="J618" i="1"/>
  <c r="D618" i="1"/>
  <c r="B618" i="1"/>
  <c r="L617" i="1"/>
  <c r="K617" i="1"/>
  <c r="J617" i="1"/>
  <c r="D617" i="1"/>
  <c r="B617" i="1"/>
  <c r="L616" i="1"/>
  <c r="K616" i="1"/>
  <c r="J616" i="1"/>
  <c r="D616" i="1"/>
  <c r="B616" i="1"/>
  <c r="L615" i="1"/>
  <c r="K615" i="1"/>
  <c r="J615" i="1"/>
  <c r="D615" i="1"/>
  <c r="B615" i="1"/>
  <c r="L614" i="1"/>
  <c r="K614" i="1"/>
  <c r="J614" i="1"/>
  <c r="D614" i="1"/>
  <c r="B614" i="1"/>
  <c r="L613" i="1"/>
  <c r="K613" i="1"/>
  <c r="J613" i="1"/>
  <c r="D613" i="1"/>
  <c r="B613" i="1"/>
  <c r="L612" i="1"/>
  <c r="K612" i="1"/>
  <c r="J612" i="1"/>
  <c r="D612" i="1"/>
  <c r="B612" i="1"/>
  <c r="L611" i="1"/>
  <c r="K611" i="1"/>
  <c r="J611" i="1"/>
  <c r="D611" i="1"/>
  <c r="B611" i="1"/>
  <c r="L610" i="1"/>
  <c r="K610" i="1"/>
  <c r="J610" i="1"/>
  <c r="D610" i="1"/>
  <c r="B610" i="1"/>
  <c r="L609" i="1"/>
  <c r="K609" i="1"/>
  <c r="J609" i="1"/>
  <c r="D609" i="1"/>
  <c r="B609" i="1"/>
  <c r="L608" i="1"/>
  <c r="K608" i="1"/>
  <c r="J608" i="1"/>
  <c r="D608" i="1"/>
  <c r="B608" i="1"/>
  <c r="L607" i="1"/>
  <c r="K607" i="1"/>
  <c r="J607" i="1"/>
  <c r="D607" i="1"/>
  <c r="B607" i="1"/>
  <c r="L606" i="1"/>
  <c r="K606" i="1"/>
  <c r="J606" i="1"/>
  <c r="D606" i="1"/>
  <c r="B606" i="1"/>
  <c r="L605" i="1"/>
  <c r="K605" i="1"/>
  <c r="J605" i="1"/>
  <c r="D605" i="1"/>
  <c r="B605" i="1"/>
  <c r="L604" i="1"/>
  <c r="K604" i="1"/>
  <c r="J604" i="1"/>
  <c r="D604" i="1"/>
  <c r="B604" i="1"/>
  <c r="L603" i="1"/>
  <c r="K603" i="1"/>
  <c r="J603" i="1"/>
  <c r="D603" i="1"/>
  <c r="B603" i="1"/>
  <c r="L602" i="1"/>
  <c r="K602" i="1"/>
  <c r="J602" i="1"/>
  <c r="D602" i="1"/>
  <c r="B602" i="1"/>
  <c r="L601" i="1"/>
  <c r="K601" i="1"/>
  <c r="J601" i="1"/>
  <c r="D601" i="1"/>
  <c r="B601" i="1"/>
  <c r="L600" i="1"/>
  <c r="K600" i="1"/>
  <c r="J600" i="1"/>
  <c r="D600" i="1"/>
  <c r="B600" i="1"/>
  <c r="L599" i="1"/>
  <c r="K599" i="1"/>
  <c r="J599" i="1"/>
  <c r="D599" i="1"/>
  <c r="B599" i="1"/>
  <c r="L598" i="1"/>
  <c r="K598" i="1"/>
  <c r="J598" i="1"/>
  <c r="D598" i="1"/>
  <c r="B598" i="1"/>
  <c r="L597" i="1"/>
  <c r="K597" i="1"/>
  <c r="J597" i="1"/>
  <c r="D597" i="1"/>
  <c r="B597" i="1"/>
  <c r="L596" i="1"/>
  <c r="K596" i="1"/>
  <c r="J596" i="1"/>
  <c r="D596" i="1"/>
  <c r="B596" i="1"/>
  <c r="L595" i="1"/>
  <c r="K595" i="1"/>
  <c r="J595" i="1"/>
  <c r="D595" i="1"/>
  <c r="B595" i="1"/>
  <c r="L594" i="1"/>
  <c r="K594" i="1"/>
  <c r="J594" i="1"/>
  <c r="D594" i="1"/>
  <c r="B594" i="1"/>
  <c r="L593" i="1"/>
  <c r="K593" i="1"/>
  <c r="J593" i="1"/>
  <c r="D593" i="1"/>
  <c r="B593" i="1"/>
  <c r="L592" i="1"/>
  <c r="K592" i="1"/>
  <c r="J592" i="1"/>
  <c r="D592" i="1"/>
  <c r="B592" i="1"/>
  <c r="L591" i="1"/>
  <c r="K591" i="1"/>
  <c r="J591" i="1"/>
  <c r="D591" i="1"/>
  <c r="B591" i="1"/>
  <c r="L590" i="1"/>
  <c r="K590" i="1"/>
  <c r="J590" i="1"/>
  <c r="D590" i="1"/>
  <c r="B590" i="1"/>
  <c r="L589" i="1"/>
  <c r="K589" i="1"/>
  <c r="J589" i="1"/>
  <c r="D589" i="1"/>
  <c r="B589" i="1"/>
  <c r="P588" i="1"/>
  <c r="L588" i="1"/>
  <c r="K588" i="1"/>
  <c r="J588" i="1"/>
  <c r="D588" i="1"/>
  <c r="B588" i="1"/>
  <c r="L587" i="1"/>
  <c r="K587" i="1"/>
  <c r="J587" i="1"/>
  <c r="D587" i="1"/>
  <c r="B587" i="1"/>
  <c r="L586" i="1"/>
  <c r="K586" i="1"/>
  <c r="J586" i="1"/>
  <c r="D586" i="1"/>
  <c r="B586" i="1"/>
  <c r="L585" i="1"/>
  <c r="K585" i="1"/>
  <c r="J585" i="1"/>
  <c r="D585" i="1"/>
  <c r="B585" i="1"/>
  <c r="L584" i="1"/>
  <c r="K584" i="1"/>
  <c r="J584" i="1"/>
  <c r="D584" i="1"/>
  <c r="B584" i="1"/>
  <c r="L583" i="1"/>
  <c r="K583" i="1"/>
  <c r="J583" i="1"/>
  <c r="D583" i="1"/>
  <c r="B583" i="1"/>
  <c r="L582" i="1"/>
  <c r="K582" i="1"/>
  <c r="J582" i="1"/>
  <c r="D582" i="1"/>
  <c r="B582" i="1"/>
  <c r="L581" i="1"/>
  <c r="K581" i="1"/>
  <c r="J581" i="1"/>
  <c r="D581" i="1"/>
  <c r="B581" i="1"/>
  <c r="L580" i="1"/>
  <c r="K580" i="1"/>
  <c r="J580" i="1"/>
  <c r="D580" i="1"/>
  <c r="B580" i="1"/>
  <c r="L579" i="1"/>
  <c r="K579" i="1"/>
  <c r="J579" i="1"/>
  <c r="D579" i="1"/>
  <c r="B579" i="1"/>
  <c r="L578" i="1"/>
  <c r="K578" i="1"/>
  <c r="J578" i="1"/>
  <c r="D578" i="1"/>
  <c r="B578" i="1"/>
  <c r="L577" i="1"/>
  <c r="K577" i="1"/>
  <c r="J577" i="1"/>
  <c r="D577" i="1"/>
  <c r="B577" i="1"/>
  <c r="L576" i="1"/>
  <c r="K576" i="1"/>
  <c r="J576" i="1"/>
  <c r="D576" i="1"/>
  <c r="B576" i="1"/>
  <c r="L575" i="1"/>
  <c r="K575" i="1"/>
  <c r="J575" i="1"/>
  <c r="D575" i="1"/>
  <c r="B575" i="1"/>
  <c r="L574" i="1"/>
  <c r="K574" i="1"/>
  <c r="J574" i="1"/>
  <c r="D574" i="1"/>
  <c r="B574" i="1"/>
  <c r="L573" i="1"/>
  <c r="K573" i="1"/>
  <c r="J573" i="1"/>
  <c r="D573" i="1"/>
  <c r="B573" i="1"/>
  <c r="L572" i="1"/>
  <c r="K572" i="1"/>
  <c r="J572" i="1"/>
  <c r="D572" i="1"/>
  <c r="B572" i="1"/>
  <c r="L571" i="1"/>
  <c r="K571" i="1"/>
  <c r="J571" i="1"/>
  <c r="D571" i="1"/>
  <c r="B571" i="1"/>
  <c r="L570" i="1"/>
  <c r="K570" i="1"/>
  <c r="J570" i="1"/>
  <c r="D570" i="1"/>
  <c r="B570" i="1"/>
  <c r="L569" i="1"/>
  <c r="K569" i="1"/>
  <c r="J569" i="1"/>
  <c r="D569" i="1"/>
  <c r="B569" i="1"/>
  <c r="L568" i="1"/>
  <c r="K568" i="1"/>
  <c r="J568" i="1"/>
  <c r="D568" i="1"/>
  <c r="B568" i="1"/>
  <c r="L567" i="1"/>
  <c r="K567" i="1"/>
  <c r="J567" i="1"/>
  <c r="D567" i="1"/>
  <c r="B567" i="1"/>
  <c r="L566" i="1"/>
  <c r="K566" i="1"/>
  <c r="J566" i="1"/>
  <c r="D566" i="1"/>
  <c r="B566" i="1"/>
  <c r="L565" i="1"/>
  <c r="K565" i="1"/>
  <c r="J565" i="1"/>
  <c r="D565" i="1"/>
  <c r="B565" i="1"/>
  <c r="L564" i="1"/>
  <c r="K564" i="1"/>
  <c r="J564" i="1"/>
  <c r="D564" i="1"/>
  <c r="B564" i="1"/>
  <c r="L563" i="1"/>
  <c r="K563" i="1"/>
  <c r="J563" i="1"/>
  <c r="D563" i="1"/>
  <c r="B563" i="1"/>
  <c r="L562" i="1"/>
  <c r="K562" i="1"/>
  <c r="J562" i="1"/>
  <c r="D562" i="1"/>
  <c r="B562" i="1"/>
  <c r="L561" i="1"/>
  <c r="K561" i="1"/>
  <c r="J561" i="1"/>
  <c r="D561" i="1"/>
  <c r="B561" i="1"/>
  <c r="L560" i="1"/>
  <c r="K560" i="1"/>
  <c r="J560" i="1"/>
  <c r="D560" i="1"/>
  <c r="B560" i="1"/>
  <c r="L559" i="1"/>
  <c r="K559" i="1"/>
  <c r="J559" i="1"/>
  <c r="D559" i="1"/>
  <c r="B559" i="1"/>
  <c r="L558" i="1"/>
  <c r="K558" i="1"/>
  <c r="J558" i="1"/>
  <c r="D558" i="1"/>
  <c r="B558" i="1"/>
  <c r="L557" i="1"/>
  <c r="K557" i="1"/>
  <c r="J557" i="1"/>
  <c r="D557" i="1"/>
  <c r="B557" i="1"/>
  <c r="L556" i="1"/>
  <c r="K556" i="1"/>
  <c r="J556" i="1"/>
  <c r="D556" i="1"/>
  <c r="B556" i="1"/>
  <c r="L555" i="1"/>
  <c r="K555" i="1"/>
  <c r="J555" i="1"/>
  <c r="D555" i="1"/>
  <c r="B555" i="1"/>
  <c r="L554" i="1"/>
  <c r="K554" i="1"/>
  <c r="J554" i="1"/>
  <c r="D554" i="1"/>
  <c r="B554" i="1"/>
  <c r="L553" i="1"/>
  <c r="K553" i="1"/>
  <c r="J553" i="1"/>
  <c r="D553" i="1"/>
  <c r="B553" i="1"/>
  <c r="L552" i="1"/>
  <c r="K552" i="1"/>
  <c r="J552" i="1"/>
  <c r="D552" i="1"/>
  <c r="B552" i="1"/>
  <c r="L551" i="1"/>
  <c r="K551" i="1"/>
  <c r="J551" i="1"/>
  <c r="D551" i="1"/>
  <c r="B551" i="1"/>
  <c r="L550" i="1"/>
  <c r="K550" i="1"/>
  <c r="J550" i="1"/>
  <c r="D550" i="1"/>
  <c r="B550" i="1"/>
  <c r="L549" i="1"/>
  <c r="K549" i="1"/>
  <c r="J549" i="1"/>
  <c r="D549" i="1"/>
  <c r="B549" i="1"/>
  <c r="L548" i="1"/>
  <c r="K548" i="1"/>
  <c r="J548" i="1"/>
  <c r="D548" i="1"/>
  <c r="B548" i="1"/>
  <c r="L547" i="1"/>
  <c r="K547" i="1"/>
  <c r="J547" i="1"/>
  <c r="D547" i="1"/>
  <c r="B547" i="1"/>
  <c r="L546" i="1"/>
  <c r="K546" i="1"/>
  <c r="J546" i="1"/>
  <c r="D546" i="1"/>
  <c r="B546" i="1"/>
  <c r="L545" i="1"/>
  <c r="K545" i="1"/>
  <c r="J545" i="1"/>
  <c r="D545" i="1"/>
  <c r="B545" i="1"/>
  <c r="L544" i="1"/>
  <c r="K544" i="1"/>
  <c r="J544" i="1"/>
  <c r="D544" i="1"/>
  <c r="B544" i="1"/>
  <c r="L543" i="1"/>
  <c r="K543" i="1"/>
  <c r="J543" i="1"/>
  <c r="D543" i="1"/>
  <c r="B543" i="1"/>
  <c r="L542" i="1"/>
  <c r="K542" i="1"/>
  <c r="J542" i="1"/>
  <c r="D542" i="1"/>
  <c r="B542" i="1"/>
  <c r="L541" i="1"/>
  <c r="K541" i="1"/>
  <c r="J541" i="1"/>
  <c r="D541" i="1"/>
  <c r="B541" i="1"/>
  <c r="L540" i="1"/>
  <c r="K540" i="1"/>
  <c r="J540" i="1"/>
  <c r="D540" i="1"/>
  <c r="B540" i="1"/>
  <c r="L539" i="1"/>
  <c r="K539" i="1"/>
  <c r="J539" i="1"/>
  <c r="D539" i="1"/>
  <c r="B539" i="1"/>
  <c r="L538" i="1"/>
  <c r="K538" i="1"/>
  <c r="J538" i="1"/>
  <c r="D538" i="1"/>
  <c r="B538" i="1"/>
  <c r="L537" i="1"/>
  <c r="K537" i="1"/>
  <c r="J537" i="1"/>
  <c r="D537" i="1"/>
  <c r="B537" i="1"/>
  <c r="L536" i="1"/>
  <c r="K536" i="1"/>
  <c r="J536" i="1"/>
  <c r="D536" i="1"/>
  <c r="B536" i="1"/>
  <c r="L535" i="1"/>
  <c r="K535" i="1"/>
  <c r="J535" i="1"/>
  <c r="D535" i="1"/>
  <c r="B535" i="1"/>
  <c r="L534" i="1"/>
  <c r="K534" i="1"/>
  <c r="J534" i="1"/>
  <c r="D534" i="1"/>
  <c r="B534" i="1"/>
  <c r="L533" i="1"/>
  <c r="K533" i="1"/>
  <c r="J533" i="1"/>
  <c r="D533" i="1"/>
  <c r="B533" i="1"/>
  <c r="L532" i="1"/>
  <c r="K532" i="1"/>
  <c r="J532" i="1"/>
  <c r="D532" i="1"/>
  <c r="B532" i="1"/>
  <c r="L531" i="1"/>
  <c r="K531" i="1"/>
  <c r="J531" i="1"/>
  <c r="D531" i="1"/>
  <c r="B531" i="1"/>
  <c r="L530" i="1"/>
  <c r="K530" i="1"/>
  <c r="J530" i="1"/>
  <c r="D530" i="1"/>
  <c r="B530" i="1"/>
  <c r="L529" i="1"/>
  <c r="K529" i="1"/>
  <c r="J529" i="1"/>
  <c r="D529" i="1"/>
  <c r="B529" i="1"/>
  <c r="L528" i="1"/>
  <c r="K528" i="1"/>
  <c r="J528" i="1"/>
  <c r="D528" i="1"/>
  <c r="B528" i="1"/>
  <c r="L527" i="1"/>
  <c r="K527" i="1"/>
  <c r="J527" i="1"/>
  <c r="D527" i="1"/>
  <c r="B527" i="1"/>
  <c r="L526" i="1"/>
  <c r="K526" i="1"/>
  <c r="J526" i="1"/>
  <c r="D526" i="1"/>
  <c r="B526" i="1"/>
  <c r="L525" i="1"/>
  <c r="K525" i="1"/>
  <c r="J525" i="1"/>
  <c r="D525" i="1"/>
  <c r="B525" i="1"/>
  <c r="L524" i="1"/>
  <c r="K524" i="1"/>
  <c r="J524" i="1"/>
  <c r="D524" i="1"/>
  <c r="B524" i="1"/>
  <c r="L523" i="1"/>
  <c r="K523" i="1"/>
  <c r="J523" i="1"/>
  <c r="D523" i="1"/>
  <c r="B523" i="1"/>
  <c r="L522" i="1"/>
  <c r="K522" i="1"/>
  <c r="J522" i="1"/>
  <c r="D522" i="1"/>
  <c r="B522" i="1"/>
  <c r="L521" i="1"/>
  <c r="K521" i="1"/>
  <c r="J521" i="1"/>
  <c r="D521" i="1"/>
  <c r="B521" i="1"/>
  <c r="L520" i="1"/>
  <c r="K520" i="1"/>
  <c r="J520" i="1"/>
  <c r="D520" i="1"/>
  <c r="B520" i="1"/>
  <c r="L519" i="1"/>
  <c r="K519" i="1"/>
  <c r="J519" i="1"/>
  <c r="D519" i="1"/>
  <c r="B519" i="1"/>
  <c r="L518" i="1"/>
  <c r="K518" i="1"/>
  <c r="J518" i="1"/>
  <c r="D518" i="1"/>
  <c r="B518" i="1"/>
  <c r="L517" i="1"/>
  <c r="K517" i="1"/>
  <c r="J517" i="1"/>
  <c r="D517" i="1"/>
  <c r="B517" i="1"/>
  <c r="L516" i="1"/>
  <c r="K516" i="1"/>
  <c r="J516" i="1"/>
  <c r="D516" i="1"/>
  <c r="B516" i="1"/>
  <c r="L515" i="1"/>
  <c r="K515" i="1"/>
  <c r="J515" i="1"/>
  <c r="D515" i="1"/>
  <c r="B515" i="1"/>
  <c r="L514" i="1"/>
  <c r="K514" i="1"/>
  <c r="J514" i="1"/>
  <c r="D514" i="1"/>
  <c r="B514" i="1"/>
  <c r="L513" i="1"/>
  <c r="K513" i="1"/>
  <c r="J513" i="1"/>
  <c r="D513" i="1"/>
  <c r="B513" i="1"/>
  <c r="L512" i="1"/>
  <c r="K512" i="1"/>
  <c r="J512" i="1"/>
  <c r="D512" i="1"/>
  <c r="B512" i="1"/>
  <c r="L511" i="1"/>
  <c r="K511" i="1"/>
  <c r="J511" i="1"/>
  <c r="D511" i="1"/>
  <c r="B511" i="1"/>
  <c r="L510" i="1"/>
  <c r="K510" i="1"/>
  <c r="J510" i="1"/>
  <c r="D510" i="1"/>
  <c r="B510" i="1"/>
  <c r="L509" i="1"/>
  <c r="K509" i="1"/>
  <c r="J509" i="1"/>
  <c r="D509" i="1"/>
  <c r="B509" i="1"/>
  <c r="L508" i="1"/>
  <c r="K508" i="1"/>
  <c r="J508" i="1"/>
  <c r="D508" i="1"/>
  <c r="B508" i="1"/>
  <c r="L507" i="1"/>
  <c r="K507" i="1"/>
  <c r="J507" i="1"/>
  <c r="D507" i="1"/>
  <c r="B507" i="1"/>
  <c r="L506" i="1"/>
  <c r="K506" i="1"/>
  <c r="J506" i="1"/>
  <c r="D506" i="1"/>
  <c r="B506" i="1"/>
  <c r="L505" i="1"/>
  <c r="K505" i="1"/>
  <c r="J505" i="1"/>
  <c r="D505" i="1"/>
  <c r="B505" i="1"/>
  <c r="L504" i="1"/>
  <c r="K504" i="1"/>
  <c r="J504" i="1"/>
  <c r="D504" i="1"/>
  <c r="B504" i="1"/>
  <c r="L503" i="1"/>
  <c r="K503" i="1"/>
  <c r="J503" i="1"/>
  <c r="D503" i="1"/>
  <c r="B503" i="1"/>
  <c r="L502" i="1"/>
  <c r="K502" i="1"/>
  <c r="J502" i="1"/>
  <c r="D502" i="1"/>
  <c r="B502" i="1"/>
  <c r="L501" i="1"/>
  <c r="K501" i="1"/>
  <c r="J501" i="1"/>
  <c r="D501" i="1"/>
  <c r="B501" i="1"/>
  <c r="L500" i="1"/>
  <c r="K500" i="1"/>
  <c r="J500" i="1"/>
  <c r="D500" i="1"/>
  <c r="B500" i="1"/>
  <c r="L499" i="1"/>
  <c r="K499" i="1"/>
  <c r="J499" i="1"/>
  <c r="D499" i="1"/>
  <c r="B499" i="1"/>
  <c r="L498" i="1"/>
  <c r="K498" i="1"/>
  <c r="J498" i="1"/>
  <c r="D498" i="1"/>
  <c r="B498" i="1"/>
  <c r="L497" i="1"/>
  <c r="K497" i="1"/>
  <c r="J497" i="1"/>
  <c r="D497" i="1"/>
  <c r="B497" i="1"/>
  <c r="L496" i="1"/>
  <c r="K496" i="1"/>
  <c r="J496" i="1"/>
  <c r="D496" i="1"/>
  <c r="B496" i="1"/>
  <c r="L495" i="1"/>
  <c r="K495" i="1"/>
  <c r="J495" i="1"/>
  <c r="D495" i="1"/>
  <c r="B495" i="1"/>
  <c r="L494" i="1"/>
  <c r="K494" i="1"/>
  <c r="J494" i="1"/>
  <c r="D494" i="1"/>
  <c r="B494" i="1"/>
  <c r="L493" i="1"/>
  <c r="K493" i="1"/>
  <c r="J493" i="1"/>
  <c r="D493" i="1"/>
  <c r="B493" i="1"/>
  <c r="L492" i="1"/>
  <c r="K492" i="1"/>
  <c r="J492" i="1"/>
  <c r="D492" i="1"/>
  <c r="B492" i="1"/>
  <c r="L491" i="1"/>
  <c r="K491" i="1"/>
  <c r="J491" i="1"/>
  <c r="D491" i="1"/>
  <c r="B491" i="1"/>
  <c r="L490" i="1"/>
  <c r="K490" i="1"/>
  <c r="J490" i="1"/>
  <c r="D490" i="1"/>
  <c r="B490" i="1"/>
  <c r="L489" i="1"/>
  <c r="K489" i="1"/>
  <c r="J489" i="1"/>
  <c r="D489" i="1"/>
  <c r="B489" i="1"/>
  <c r="L488" i="1"/>
  <c r="K488" i="1"/>
  <c r="J488" i="1"/>
  <c r="D488" i="1"/>
  <c r="B488" i="1"/>
  <c r="L487" i="1"/>
  <c r="K487" i="1"/>
  <c r="J487" i="1"/>
  <c r="D487" i="1"/>
  <c r="B487" i="1"/>
  <c r="L486" i="1"/>
  <c r="K486" i="1"/>
  <c r="J486" i="1"/>
  <c r="D486" i="1"/>
  <c r="B486" i="1"/>
  <c r="L485" i="1"/>
  <c r="K485" i="1"/>
  <c r="J485" i="1"/>
  <c r="D485" i="1"/>
  <c r="B485" i="1"/>
  <c r="L484" i="1"/>
  <c r="K484" i="1"/>
  <c r="J484" i="1"/>
  <c r="D484" i="1"/>
  <c r="B484" i="1"/>
  <c r="L483" i="1"/>
  <c r="K483" i="1"/>
  <c r="J483" i="1"/>
  <c r="D483" i="1"/>
  <c r="B483" i="1"/>
  <c r="L482" i="1"/>
  <c r="K482" i="1"/>
  <c r="J482" i="1"/>
  <c r="D482" i="1"/>
  <c r="B482" i="1"/>
  <c r="L481" i="1"/>
  <c r="K481" i="1"/>
  <c r="J481" i="1"/>
  <c r="D481" i="1"/>
  <c r="B481" i="1"/>
  <c r="L480" i="1"/>
  <c r="K480" i="1"/>
  <c r="J480" i="1"/>
  <c r="D480" i="1"/>
  <c r="B480" i="1"/>
  <c r="L479" i="1"/>
  <c r="K479" i="1"/>
  <c r="J479" i="1"/>
  <c r="D479" i="1"/>
  <c r="B479" i="1"/>
  <c r="L478" i="1"/>
  <c r="K478" i="1"/>
  <c r="J478" i="1"/>
  <c r="D478" i="1"/>
  <c r="B478" i="1"/>
  <c r="L477" i="1"/>
  <c r="K477" i="1"/>
  <c r="J477" i="1"/>
  <c r="D477" i="1"/>
  <c r="B477" i="1"/>
  <c r="L476" i="1"/>
  <c r="K476" i="1"/>
  <c r="J476" i="1"/>
  <c r="D476" i="1"/>
  <c r="B476" i="1"/>
  <c r="L475" i="1"/>
  <c r="K475" i="1"/>
  <c r="J475" i="1"/>
  <c r="D475" i="1"/>
  <c r="B475" i="1"/>
  <c r="L474" i="1"/>
  <c r="K474" i="1"/>
  <c r="J474" i="1"/>
  <c r="D474" i="1"/>
  <c r="B474" i="1"/>
  <c r="L473" i="1"/>
  <c r="K473" i="1"/>
  <c r="J473" i="1"/>
  <c r="D473" i="1"/>
  <c r="B473" i="1"/>
  <c r="L472" i="1"/>
  <c r="K472" i="1"/>
  <c r="J472" i="1"/>
  <c r="D472" i="1"/>
  <c r="B472" i="1"/>
  <c r="L471" i="1"/>
  <c r="K471" i="1"/>
  <c r="J471" i="1"/>
  <c r="D471" i="1"/>
  <c r="B471" i="1"/>
  <c r="L470" i="1"/>
  <c r="K470" i="1"/>
  <c r="J470" i="1"/>
  <c r="D470" i="1"/>
  <c r="B470" i="1"/>
  <c r="L469" i="1"/>
  <c r="K469" i="1"/>
  <c r="J469" i="1"/>
  <c r="D469" i="1"/>
  <c r="B469" i="1"/>
  <c r="L468" i="1"/>
  <c r="K468" i="1"/>
  <c r="J468" i="1"/>
  <c r="D468" i="1"/>
  <c r="B468" i="1"/>
  <c r="L467" i="1"/>
  <c r="K467" i="1"/>
  <c r="J467" i="1"/>
  <c r="D467" i="1"/>
  <c r="B467" i="1"/>
  <c r="L466" i="1"/>
  <c r="K466" i="1"/>
  <c r="J466" i="1"/>
  <c r="D466" i="1"/>
  <c r="B466" i="1"/>
  <c r="L465" i="1"/>
  <c r="K465" i="1"/>
  <c r="J465" i="1"/>
  <c r="D465" i="1"/>
  <c r="B465" i="1"/>
  <c r="L464" i="1"/>
  <c r="K464" i="1"/>
  <c r="J464" i="1"/>
  <c r="D464" i="1"/>
  <c r="B464" i="1"/>
  <c r="L463" i="1"/>
  <c r="K463" i="1"/>
  <c r="J463" i="1"/>
  <c r="D463" i="1"/>
  <c r="B463" i="1"/>
  <c r="L462" i="1"/>
  <c r="K462" i="1"/>
  <c r="J462" i="1"/>
  <c r="D462" i="1"/>
  <c r="B462" i="1"/>
  <c r="L461" i="1"/>
  <c r="K461" i="1"/>
  <c r="J461" i="1"/>
  <c r="D461" i="1"/>
  <c r="B461" i="1"/>
  <c r="L460" i="1"/>
  <c r="K460" i="1"/>
  <c r="J460" i="1"/>
  <c r="D460" i="1"/>
  <c r="B460" i="1"/>
  <c r="L459" i="1"/>
  <c r="K459" i="1"/>
  <c r="J459" i="1"/>
  <c r="D459" i="1"/>
  <c r="B459" i="1"/>
  <c r="L458" i="1"/>
  <c r="K458" i="1"/>
  <c r="J458" i="1"/>
  <c r="D458" i="1"/>
  <c r="B458" i="1"/>
  <c r="L457" i="1"/>
  <c r="K457" i="1"/>
  <c r="J457" i="1"/>
  <c r="D457" i="1"/>
  <c r="B457" i="1"/>
  <c r="L456" i="1"/>
  <c r="K456" i="1"/>
  <c r="J456" i="1"/>
  <c r="D456" i="1"/>
  <c r="B456" i="1"/>
  <c r="L455" i="1"/>
  <c r="K455" i="1"/>
  <c r="J455" i="1"/>
  <c r="D455" i="1"/>
  <c r="B455" i="1"/>
  <c r="L454" i="1"/>
  <c r="K454" i="1"/>
  <c r="J454" i="1"/>
  <c r="D454" i="1"/>
  <c r="B454" i="1"/>
  <c r="L453" i="1"/>
  <c r="K453" i="1"/>
  <c r="J453" i="1"/>
  <c r="D453" i="1"/>
  <c r="B453" i="1"/>
  <c r="L452" i="1"/>
  <c r="K452" i="1"/>
  <c r="J452" i="1"/>
  <c r="D452" i="1"/>
  <c r="B452" i="1"/>
  <c r="L451" i="1"/>
  <c r="K451" i="1"/>
  <c r="J451" i="1"/>
  <c r="D451" i="1"/>
  <c r="B451" i="1"/>
  <c r="L450" i="1"/>
  <c r="K450" i="1"/>
  <c r="J450" i="1"/>
  <c r="D450" i="1"/>
  <c r="B450" i="1"/>
  <c r="L449" i="1"/>
  <c r="K449" i="1"/>
  <c r="J449" i="1"/>
  <c r="D449" i="1"/>
  <c r="B449" i="1"/>
  <c r="L448" i="1"/>
  <c r="K448" i="1"/>
  <c r="J448" i="1"/>
  <c r="D448" i="1"/>
  <c r="B448" i="1"/>
  <c r="L447" i="1"/>
  <c r="K447" i="1"/>
  <c r="J447" i="1"/>
  <c r="D447" i="1"/>
  <c r="B447" i="1"/>
  <c r="L446" i="1"/>
  <c r="K446" i="1"/>
  <c r="J446" i="1"/>
  <c r="D446" i="1"/>
  <c r="B446" i="1"/>
  <c r="L445" i="1"/>
  <c r="K445" i="1"/>
  <c r="J445" i="1"/>
  <c r="D445" i="1"/>
  <c r="B445" i="1"/>
  <c r="L444" i="1"/>
  <c r="K444" i="1"/>
  <c r="J444" i="1"/>
  <c r="D444" i="1"/>
  <c r="B444" i="1"/>
  <c r="L443" i="1"/>
  <c r="K443" i="1"/>
  <c r="J443" i="1"/>
  <c r="D443" i="1"/>
  <c r="B443" i="1"/>
  <c r="L442" i="1"/>
  <c r="K442" i="1"/>
  <c r="J442" i="1"/>
  <c r="D442" i="1"/>
  <c r="B442" i="1"/>
  <c r="L441" i="1"/>
  <c r="K441" i="1"/>
  <c r="J441" i="1"/>
  <c r="D441" i="1"/>
  <c r="B441" i="1"/>
  <c r="L440" i="1"/>
  <c r="K440" i="1"/>
  <c r="J440" i="1"/>
  <c r="D440" i="1"/>
  <c r="B440" i="1"/>
  <c r="L439" i="1"/>
  <c r="K439" i="1"/>
  <c r="J439" i="1"/>
  <c r="D439" i="1"/>
  <c r="B439" i="1"/>
  <c r="L438" i="1"/>
  <c r="K438" i="1"/>
  <c r="J438" i="1"/>
  <c r="D438" i="1"/>
  <c r="B438" i="1"/>
  <c r="L437" i="1"/>
  <c r="K437" i="1"/>
  <c r="J437" i="1"/>
  <c r="D437" i="1"/>
  <c r="B437" i="1"/>
  <c r="L436" i="1"/>
  <c r="K436" i="1"/>
  <c r="J436" i="1"/>
  <c r="D436" i="1"/>
  <c r="B436" i="1"/>
  <c r="L435" i="1"/>
  <c r="K435" i="1"/>
  <c r="J435" i="1"/>
  <c r="D435" i="1"/>
  <c r="B435" i="1"/>
  <c r="L434" i="1"/>
  <c r="K434" i="1"/>
  <c r="J434" i="1"/>
  <c r="D434" i="1"/>
  <c r="B434" i="1"/>
  <c r="L433" i="1"/>
  <c r="K433" i="1"/>
  <c r="J433" i="1"/>
  <c r="D433" i="1"/>
  <c r="B433" i="1"/>
  <c r="L432" i="1"/>
  <c r="K432" i="1"/>
  <c r="J432" i="1"/>
  <c r="D432" i="1"/>
  <c r="B432" i="1"/>
  <c r="L431" i="1"/>
  <c r="K431" i="1"/>
  <c r="J431" i="1"/>
  <c r="D431" i="1"/>
  <c r="B431" i="1"/>
  <c r="L430" i="1"/>
  <c r="K430" i="1"/>
  <c r="J430" i="1"/>
  <c r="D430" i="1"/>
  <c r="B430" i="1"/>
  <c r="L429" i="1"/>
  <c r="K429" i="1"/>
  <c r="J429" i="1"/>
  <c r="D429" i="1"/>
  <c r="B429" i="1"/>
  <c r="L428" i="1"/>
  <c r="K428" i="1"/>
  <c r="J428" i="1"/>
  <c r="D428" i="1"/>
  <c r="B428" i="1"/>
  <c r="L427" i="1"/>
  <c r="K427" i="1"/>
  <c r="J427" i="1"/>
  <c r="D427" i="1"/>
  <c r="B427" i="1"/>
  <c r="L426" i="1"/>
  <c r="K426" i="1"/>
  <c r="J426" i="1"/>
  <c r="D426" i="1"/>
  <c r="B426" i="1"/>
  <c r="L425" i="1"/>
  <c r="K425" i="1"/>
  <c r="J425" i="1"/>
  <c r="D425" i="1"/>
  <c r="B425" i="1"/>
  <c r="L424" i="1"/>
  <c r="K424" i="1"/>
  <c r="J424" i="1"/>
  <c r="D424" i="1"/>
  <c r="B424" i="1"/>
  <c r="L423" i="1"/>
  <c r="K423" i="1"/>
  <c r="J423" i="1"/>
  <c r="D423" i="1"/>
  <c r="B423" i="1"/>
  <c r="L422" i="1"/>
  <c r="K422" i="1"/>
  <c r="J422" i="1"/>
  <c r="D422" i="1"/>
  <c r="B422" i="1"/>
  <c r="L421" i="1"/>
  <c r="K421" i="1"/>
  <c r="J421" i="1"/>
  <c r="D421" i="1"/>
  <c r="B421" i="1"/>
  <c r="L420" i="1"/>
  <c r="K420" i="1"/>
  <c r="J420" i="1"/>
  <c r="D420" i="1"/>
  <c r="B420" i="1"/>
  <c r="L419" i="1"/>
  <c r="K419" i="1"/>
  <c r="J419" i="1"/>
  <c r="D419" i="1"/>
  <c r="B419" i="1"/>
  <c r="L418" i="1"/>
  <c r="K418" i="1"/>
  <c r="J418" i="1"/>
  <c r="D418" i="1"/>
  <c r="B418" i="1"/>
  <c r="L417" i="1"/>
  <c r="K417" i="1"/>
  <c r="J417" i="1"/>
  <c r="D417" i="1"/>
  <c r="B417" i="1"/>
  <c r="L416" i="1"/>
  <c r="K416" i="1"/>
  <c r="J416" i="1"/>
  <c r="D416" i="1"/>
  <c r="B416" i="1"/>
  <c r="L415" i="1"/>
  <c r="K415" i="1"/>
  <c r="J415" i="1"/>
  <c r="D415" i="1"/>
  <c r="B415" i="1"/>
  <c r="L414" i="1"/>
  <c r="K414" i="1"/>
  <c r="J414" i="1"/>
  <c r="D414" i="1"/>
  <c r="B414" i="1"/>
  <c r="L413" i="1"/>
  <c r="K413" i="1"/>
  <c r="J413" i="1"/>
  <c r="D413" i="1"/>
  <c r="B413" i="1"/>
  <c r="L412" i="1"/>
  <c r="K412" i="1"/>
  <c r="J412" i="1"/>
  <c r="D412" i="1"/>
  <c r="B412" i="1"/>
  <c r="L411" i="1"/>
  <c r="K411" i="1"/>
  <c r="J411" i="1"/>
  <c r="D411" i="1"/>
  <c r="B411" i="1"/>
  <c r="L410" i="1"/>
  <c r="K410" i="1"/>
  <c r="J410" i="1"/>
  <c r="D410" i="1"/>
  <c r="B410" i="1"/>
  <c r="L409" i="1"/>
  <c r="K409" i="1"/>
  <c r="J409" i="1"/>
  <c r="D409" i="1"/>
  <c r="B409" i="1"/>
  <c r="L408" i="1"/>
  <c r="K408" i="1"/>
  <c r="J408" i="1"/>
  <c r="D408" i="1"/>
  <c r="B408" i="1"/>
  <c r="L407" i="1"/>
  <c r="K407" i="1"/>
  <c r="J407" i="1"/>
  <c r="D407" i="1"/>
  <c r="B407" i="1"/>
  <c r="L406" i="1"/>
  <c r="K406" i="1"/>
  <c r="J406" i="1"/>
  <c r="D406" i="1"/>
  <c r="B406" i="1"/>
  <c r="L405" i="1"/>
  <c r="K405" i="1"/>
  <c r="J405" i="1"/>
  <c r="D405" i="1"/>
  <c r="B405" i="1"/>
  <c r="L404" i="1"/>
  <c r="K404" i="1"/>
  <c r="J404" i="1"/>
  <c r="D404" i="1"/>
  <c r="B404" i="1"/>
  <c r="L403" i="1"/>
  <c r="K403" i="1"/>
  <c r="J403" i="1"/>
  <c r="D403" i="1"/>
  <c r="B403" i="1"/>
  <c r="L402" i="1"/>
  <c r="K402" i="1"/>
  <c r="J402" i="1"/>
  <c r="D402" i="1"/>
  <c r="B402" i="1"/>
  <c r="L401" i="1"/>
  <c r="K401" i="1"/>
  <c r="J401" i="1"/>
  <c r="D401" i="1"/>
  <c r="B401" i="1"/>
  <c r="L400" i="1"/>
  <c r="K400" i="1"/>
  <c r="J400" i="1"/>
  <c r="D400" i="1"/>
  <c r="B400" i="1"/>
  <c r="L399" i="1"/>
  <c r="K399" i="1"/>
  <c r="J399" i="1"/>
  <c r="D399" i="1"/>
  <c r="B399" i="1"/>
  <c r="L398" i="1"/>
  <c r="K398" i="1"/>
  <c r="J398" i="1"/>
  <c r="D398" i="1"/>
  <c r="B398" i="1"/>
  <c r="L397" i="1"/>
  <c r="K397" i="1"/>
  <c r="J397" i="1"/>
  <c r="D397" i="1"/>
  <c r="B397" i="1"/>
  <c r="L396" i="1"/>
  <c r="K396" i="1"/>
  <c r="J396" i="1"/>
  <c r="D396" i="1"/>
  <c r="B396" i="1"/>
  <c r="L395" i="1"/>
  <c r="K395" i="1"/>
  <c r="J395" i="1"/>
  <c r="D395" i="1"/>
  <c r="B395" i="1"/>
  <c r="L394" i="1"/>
  <c r="K394" i="1"/>
  <c r="J394" i="1"/>
  <c r="D394" i="1"/>
  <c r="B394" i="1"/>
  <c r="L393" i="1"/>
  <c r="K393" i="1"/>
  <c r="J393" i="1"/>
  <c r="D393" i="1"/>
  <c r="B393" i="1"/>
  <c r="L392" i="1"/>
  <c r="K392" i="1"/>
  <c r="J392" i="1"/>
  <c r="D392" i="1"/>
  <c r="B392" i="1"/>
  <c r="L391" i="1"/>
  <c r="K391" i="1"/>
  <c r="J391" i="1"/>
  <c r="D391" i="1"/>
  <c r="B391" i="1"/>
  <c r="L390" i="1"/>
  <c r="K390" i="1"/>
  <c r="J390" i="1"/>
  <c r="D390" i="1"/>
  <c r="B390" i="1"/>
  <c r="L389" i="1"/>
  <c r="K389" i="1"/>
  <c r="J389" i="1"/>
  <c r="D389" i="1"/>
  <c r="B389" i="1"/>
  <c r="L388" i="1"/>
  <c r="K388" i="1"/>
  <c r="J388" i="1"/>
  <c r="D388" i="1"/>
  <c r="B388" i="1"/>
  <c r="L387" i="1"/>
  <c r="K387" i="1"/>
  <c r="J387" i="1"/>
  <c r="D387" i="1"/>
  <c r="B387" i="1"/>
  <c r="L386" i="1"/>
  <c r="K386" i="1"/>
  <c r="J386" i="1"/>
  <c r="D386" i="1"/>
  <c r="B386" i="1"/>
  <c r="L385" i="1"/>
  <c r="K385" i="1"/>
  <c r="J385" i="1"/>
  <c r="D385" i="1"/>
  <c r="B385" i="1"/>
  <c r="L384" i="1"/>
  <c r="K384" i="1"/>
  <c r="J384" i="1"/>
  <c r="D384" i="1"/>
  <c r="B384" i="1"/>
  <c r="L383" i="1"/>
  <c r="K383" i="1"/>
  <c r="J383" i="1"/>
  <c r="D383" i="1"/>
  <c r="B383" i="1"/>
  <c r="L382" i="1"/>
  <c r="K382" i="1"/>
  <c r="J382" i="1"/>
  <c r="D382" i="1"/>
  <c r="B382" i="1"/>
  <c r="L381" i="1"/>
  <c r="K381" i="1"/>
  <c r="J381" i="1"/>
  <c r="D381" i="1"/>
  <c r="B381" i="1"/>
  <c r="L380" i="1"/>
  <c r="K380" i="1"/>
  <c r="J380" i="1"/>
  <c r="D380" i="1"/>
  <c r="B380" i="1"/>
  <c r="L379" i="1"/>
  <c r="K379" i="1"/>
  <c r="J379" i="1"/>
  <c r="D379" i="1"/>
  <c r="B379" i="1"/>
  <c r="L378" i="1"/>
  <c r="K378" i="1"/>
  <c r="J378" i="1"/>
  <c r="D378" i="1"/>
  <c r="B378" i="1"/>
  <c r="L377" i="1"/>
  <c r="K377" i="1"/>
  <c r="J377" i="1"/>
  <c r="D377" i="1"/>
  <c r="B377" i="1"/>
  <c r="L376" i="1"/>
  <c r="K376" i="1"/>
  <c r="J376" i="1"/>
  <c r="D376" i="1"/>
  <c r="B376" i="1"/>
  <c r="L375" i="1"/>
  <c r="K375" i="1"/>
  <c r="J375" i="1"/>
  <c r="D375" i="1"/>
  <c r="B375" i="1"/>
  <c r="L374" i="1"/>
  <c r="K374" i="1"/>
  <c r="J374" i="1"/>
  <c r="D374" i="1"/>
  <c r="B374" i="1"/>
  <c r="L373" i="1"/>
  <c r="K373" i="1"/>
  <c r="J373" i="1"/>
  <c r="D373" i="1"/>
  <c r="B373" i="1"/>
  <c r="L372" i="1"/>
  <c r="K372" i="1"/>
  <c r="J372" i="1"/>
  <c r="D372" i="1"/>
  <c r="B372" i="1"/>
  <c r="L371" i="1"/>
  <c r="K371" i="1"/>
  <c r="J371" i="1"/>
  <c r="D371" i="1"/>
  <c r="B371" i="1"/>
  <c r="L370" i="1"/>
  <c r="K370" i="1"/>
  <c r="J370" i="1"/>
  <c r="D370" i="1"/>
  <c r="B370" i="1"/>
  <c r="L369" i="1"/>
  <c r="K369" i="1"/>
  <c r="J369" i="1"/>
  <c r="D369" i="1"/>
  <c r="B369" i="1"/>
  <c r="L368" i="1"/>
  <c r="K368" i="1"/>
  <c r="J368" i="1"/>
  <c r="D368" i="1"/>
  <c r="B368" i="1"/>
  <c r="L367" i="1"/>
  <c r="K367" i="1"/>
  <c r="J367" i="1"/>
  <c r="D367" i="1"/>
  <c r="B367" i="1"/>
  <c r="L366" i="1"/>
  <c r="K366" i="1"/>
  <c r="J366" i="1"/>
  <c r="D366" i="1"/>
  <c r="B366" i="1"/>
  <c r="L365" i="1"/>
  <c r="K365" i="1"/>
  <c r="J365" i="1"/>
  <c r="D365" i="1"/>
  <c r="B365" i="1"/>
  <c r="L364" i="1"/>
  <c r="K364" i="1"/>
  <c r="J364" i="1"/>
  <c r="D364" i="1"/>
  <c r="B364" i="1"/>
  <c r="L363" i="1"/>
  <c r="K363" i="1"/>
  <c r="J363" i="1"/>
  <c r="D363" i="1"/>
  <c r="B363" i="1"/>
  <c r="L362" i="1"/>
  <c r="K362" i="1"/>
  <c r="J362" i="1"/>
  <c r="D362" i="1"/>
  <c r="B362" i="1"/>
  <c r="L361" i="1"/>
  <c r="K361" i="1"/>
  <c r="J361" i="1"/>
  <c r="D361" i="1"/>
  <c r="B361" i="1"/>
  <c r="L360" i="1"/>
  <c r="K360" i="1"/>
  <c r="J360" i="1"/>
  <c r="D360" i="1"/>
  <c r="B360" i="1"/>
  <c r="L359" i="1"/>
  <c r="K359" i="1"/>
  <c r="J359" i="1"/>
  <c r="D359" i="1"/>
  <c r="B359" i="1"/>
  <c r="L358" i="1"/>
  <c r="K358" i="1"/>
  <c r="J358" i="1"/>
  <c r="D358" i="1"/>
  <c r="B358" i="1"/>
  <c r="L357" i="1"/>
  <c r="K357" i="1"/>
  <c r="J357" i="1"/>
  <c r="D357" i="1"/>
  <c r="B357" i="1"/>
  <c r="L356" i="1"/>
  <c r="K356" i="1"/>
  <c r="J356" i="1"/>
  <c r="D356" i="1"/>
  <c r="B356" i="1"/>
  <c r="L355" i="1"/>
  <c r="K355" i="1"/>
  <c r="J355" i="1"/>
  <c r="D355" i="1"/>
  <c r="B355" i="1"/>
  <c r="L354" i="1"/>
  <c r="K354" i="1"/>
  <c r="J354" i="1"/>
  <c r="D354" i="1"/>
  <c r="B354" i="1"/>
  <c r="L353" i="1"/>
  <c r="K353" i="1"/>
  <c r="J353" i="1"/>
  <c r="D353" i="1"/>
  <c r="B353" i="1"/>
  <c r="L352" i="1"/>
  <c r="K352" i="1"/>
  <c r="J352" i="1"/>
  <c r="D352" i="1"/>
  <c r="B352" i="1"/>
  <c r="L351" i="1"/>
  <c r="K351" i="1"/>
  <c r="J351" i="1"/>
  <c r="D351" i="1"/>
  <c r="B351" i="1"/>
  <c r="L350" i="1"/>
  <c r="K350" i="1"/>
  <c r="J350" i="1"/>
  <c r="D350" i="1"/>
  <c r="B350" i="1"/>
  <c r="L349" i="1"/>
  <c r="K349" i="1"/>
  <c r="J349" i="1"/>
  <c r="D349" i="1"/>
  <c r="B349" i="1"/>
  <c r="L348" i="1"/>
  <c r="K348" i="1"/>
  <c r="J348" i="1"/>
  <c r="D348" i="1"/>
  <c r="B348" i="1"/>
  <c r="L347" i="1"/>
  <c r="K347" i="1"/>
  <c r="J347" i="1"/>
  <c r="D347" i="1"/>
  <c r="B347" i="1"/>
  <c r="L346" i="1"/>
  <c r="K346" i="1"/>
  <c r="J346" i="1"/>
  <c r="D346" i="1"/>
  <c r="B346" i="1"/>
  <c r="L345" i="1"/>
  <c r="K345" i="1"/>
  <c r="J345" i="1"/>
  <c r="D345" i="1"/>
  <c r="B345" i="1"/>
  <c r="L344" i="1"/>
  <c r="K344" i="1"/>
  <c r="J344" i="1"/>
  <c r="D344" i="1"/>
  <c r="B344" i="1"/>
  <c r="L343" i="1"/>
  <c r="K343" i="1"/>
  <c r="J343" i="1"/>
  <c r="D343" i="1"/>
  <c r="B343" i="1"/>
  <c r="L342" i="1"/>
  <c r="K342" i="1"/>
  <c r="J342" i="1"/>
  <c r="D342" i="1"/>
  <c r="B342" i="1"/>
  <c r="L341" i="1"/>
  <c r="K341" i="1"/>
  <c r="J341" i="1"/>
  <c r="D341" i="1"/>
  <c r="B341" i="1"/>
  <c r="L340" i="1"/>
  <c r="K340" i="1"/>
  <c r="J340" i="1"/>
  <c r="D340" i="1"/>
  <c r="B340" i="1"/>
  <c r="L339" i="1"/>
  <c r="K339" i="1"/>
  <c r="J339" i="1"/>
  <c r="D339" i="1"/>
  <c r="B339" i="1"/>
  <c r="L338" i="1"/>
  <c r="K338" i="1"/>
  <c r="J338" i="1"/>
  <c r="D338" i="1"/>
  <c r="B338" i="1"/>
  <c r="L337" i="1"/>
  <c r="K337" i="1"/>
  <c r="J337" i="1"/>
  <c r="D337" i="1"/>
  <c r="B337" i="1"/>
  <c r="L336" i="1"/>
  <c r="K336" i="1"/>
  <c r="J336" i="1"/>
  <c r="D336" i="1"/>
  <c r="B336" i="1"/>
  <c r="L335" i="1"/>
  <c r="K335" i="1"/>
  <c r="J335" i="1"/>
  <c r="D335" i="1"/>
  <c r="B335" i="1"/>
  <c r="L334" i="1"/>
  <c r="K334" i="1"/>
  <c r="J334" i="1"/>
  <c r="D334" i="1"/>
  <c r="B334" i="1"/>
  <c r="L333" i="1"/>
  <c r="K333" i="1"/>
  <c r="J333" i="1"/>
  <c r="D333" i="1"/>
  <c r="B333" i="1"/>
  <c r="L332" i="1"/>
  <c r="K332" i="1"/>
  <c r="J332" i="1"/>
  <c r="D332" i="1"/>
  <c r="B332" i="1"/>
  <c r="L331" i="1"/>
  <c r="K331" i="1"/>
  <c r="J331" i="1"/>
  <c r="D331" i="1"/>
  <c r="B331" i="1"/>
  <c r="L330" i="1"/>
  <c r="K330" i="1"/>
  <c r="J330" i="1"/>
  <c r="D330" i="1"/>
  <c r="B330" i="1"/>
  <c r="L329" i="1"/>
  <c r="K329" i="1"/>
  <c r="J329" i="1"/>
  <c r="D329" i="1"/>
  <c r="B329" i="1"/>
  <c r="L328" i="1"/>
  <c r="K328" i="1"/>
  <c r="J328" i="1"/>
  <c r="D328" i="1"/>
  <c r="B328" i="1"/>
  <c r="L327" i="1"/>
  <c r="K327" i="1"/>
  <c r="J327" i="1"/>
  <c r="D327" i="1"/>
  <c r="B327" i="1"/>
  <c r="L326" i="1"/>
  <c r="K326" i="1"/>
  <c r="J326" i="1"/>
  <c r="D326" i="1"/>
  <c r="B326" i="1"/>
  <c r="L325" i="1"/>
  <c r="K325" i="1"/>
  <c r="J325" i="1"/>
  <c r="D325" i="1"/>
  <c r="B325" i="1"/>
  <c r="L324" i="1"/>
  <c r="K324" i="1"/>
  <c r="J324" i="1"/>
  <c r="D324" i="1"/>
  <c r="B324" i="1"/>
  <c r="L323" i="1"/>
  <c r="K323" i="1"/>
  <c r="J323" i="1"/>
  <c r="D323" i="1"/>
  <c r="B323" i="1"/>
  <c r="L322" i="1"/>
  <c r="K322" i="1"/>
  <c r="J322" i="1"/>
  <c r="D322" i="1"/>
  <c r="B322" i="1"/>
  <c r="L321" i="1"/>
  <c r="K321" i="1"/>
  <c r="J321" i="1"/>
  <c r="D321" i="1"/>
  <c r="B321" i="1"/>
  <c r="L320" i="1"/>
  <c r="K320" i="1"/>
  <c r="J320" i="1"/>
  <c r="D320" i="1"/>
  <c r="B320" i="1"/>
  <c r="L319" i="1"/>
  <c r="K319" i="1"/>
  <c r="J319" i="1"/>
  <c r="D319" i="1"/>
  <c r="B319" i="1"/>
  <c r="L318" i="1"/>
  <c r="K318" i="1"/>
  <c r="J318" i="1"/>
  <c r="D318" i="1"/>
  <c r="B318" i="1"/>
  <c r="L317" i="1"/>
  <c r="K317" i="1"/>
  <c r="J317" i="1"/>
  <c r="D317" i="1"/>
  <c r="B317" i="1"/>
  <c r="L316" i="1"/>
  <c r="K316" i="1"/>
  <c r="J316" i="1"/>
  <c r="D316" i="1"/>
  <c r="B316" i="1"/>
  <c r="L315" i="1"/>
  <c r="K315" i="1"/>
  <c r="J315" i="1"/>
  <c r="D315" i="1"/>
  <c r="B315" i="1"/>
  <c r="L314" i="1"/>
  <c r="K314" i="1"/>
  <c r="J314" i="1"/>
  <c r="D314" i="1"/>
  <c r="B314" i="1"/>
  <c r="L313" i="1"/>
  <c r="K313" i="1"/>
  <c r="J313" i="1"/>
  <c r="D313" i="1"/>
  <c r="B313" i="1"/>
  <c r="L312" i="1"/>
  <c r="K312" i="1"/>
  <c r="J312" i="1"/>
  <c r="D312" i="1"/>
  <c r="B312" i="1"/>
  <c r="L311" i="1"/>
  <c r="K311" i="1"/>
  <c r="J311" i="1"/>
  <c r="D311" i="1"/>
  <c r="B311" i="1"/>
  <c r="L310" i="1"/>
  <c r="K310" i="1"/>
  <c r="J310" i="1"/>
  <c r="D310" i="1"/>
  <c r="B310" i="1"/>
  <c r="L309" i="1"/>
  <c r="K309" i="1"/>
  <c r="J309" i="1"/>
  <c r="D309" i="1"/>
  <c r="B309" i="1"/>
  <c r="L308" i="1"/>
  <c r="K308" i="1"/>
  <c r="J308" i="1"/>
  <c r="D308" i="1"/>
  <c r="B308" i="1"/>
  <c r="L307" i="1"/>
  <c r="K307" i="1"/>
  <c r="J307" i="1"/>
  <c r="D307" i="1"/>
  <c r="B307" i="1"/>
  <c r="L306" i="1"/>
  <c r="K306" i="1"/>
  <c r="J306" i="1"/>
  <c r="D306" i="1"/>
  <c r="B306" i="1"/>
  <c r="L305" i="1"/>
  <c r="K305" i="1"/>
  <c r="J305" i="1"/>
  <c r="D305" i="1"/>
  <c r="B305" i="1"/>
  <c r="L304" i="1"/>
  <c r="K304" i="1"/>
  <c r="J304" i="1"/>
  <c r="D304" i="1"/>
  <c r="B304" i="1"/>
  <c r="L303" i="1"/>
  <c r="K303" i="1"/>
  <c r="J303" i="1"/>
  <c r="D303" i="1"/>
  <c r="B303" i="1"/>
  <c r="L302" i="1"/>
  <c r="K302" i="1"/>
  <c r="J302" i="1"/>
  <c r="D302" i="1"/>
  <c r="B302" i="1"/>
  <c r="L301" i="1"/>
  <c r="K301" i="1"/>
  <c r="J301" i="1"/>
  <c r="D301" i="1"/>
  <c r="B301" i="1"/>
  <c r="L300" i="1"/>
  <c r="K300" i="1"/>
  <c r="J300" i="1"/>
  <c r="D300" i="1"/>
  <c r="B300" i="1"/>
  <c r="L299" i="1"/>
  <c r="K299" i="1"/>
  <c r="J299" i="1"/>
  <c r="D299" i="1"/>
  <c r="B299" i="1"/>
  <c r="L298" i="1"/>
  <c r="K298" i="1"/>
  <c r="J298" i="1"/>
  <c r="D298" i="1"/>
  <c r="B298" i="1"/>
  <c r="L297" i="1"/>
  <c r="K297" i="1"/>
  <c r="J297" i="1"/>
  <c r="D297" i="1"/>
  <c r="B297" i="1"/>
  <c r="L296" i="1"/>
  <c r="K296" i="1"/>
  <c r="J296" i="1"/>
  <c r="D296" i="1"/>
  <c r="B296" i="1"/>
  <c r="L295" i="1"/>
  <c r="K295" i="1"/>
  <c r="J295" i="1"/>
  <c r="D295" i="1"/>
  <c r="B295" i="1"/>
  <c r="L294" i="1"/>
  <c r="K294" i="1"/>
  <c r="J294" i="1"/>
  <c r="D294" i="1"/>
  <c r="B294" i="1"/>
  <c r="L293" i="1"/>
  <c r="K293" i="1"/>
  <c r="J293" i="1"/>
  <c r="D293" i="1"/>
  <c r="B293" i="1"/>
  <c r="L292" i="1"/>
  <c r="K292" i="1"/>
  <c r="J292" i="1"/>
  <c r="D292" i="1"/>
  <c r="B292" i="1"/>
  <c r="L291" i="1"/>
  <c r="K291" i="1"/>
  <c r="J291" i="1"/>
  <c r="D291" i="1"/>
  <c r="B291" i="1"/>
  <c r="L290" i="1"/>
  <c r="K290" i="1"/>
  <c r="J290" i="1"/>
  <c r="D290" i="1"/>
  <c r="B290" i="1"/>
  <c r="L289" i="1"/>
  <c r="K289" i="1"/>
  <c r="J289" i="1"/>
  <c r="D289" i="1"/>
  <c r="B289" i="1"/>
  <c r="L288" i="1"/>
  <c r="K288" i="1"/>
  <c r="J288" i="1"/>
  <c r="D288" i="1"/>
  <c r="B288" i="1"/>
  <c r="L287" i="1"/>
  <c r="K287" i="1"/>
  <c r="J287" i="1"/>
  <c r="D287" i="1"/>
  <c r="B287" i="1"/>
  <c r="L286" i="1"/>
  <c r="K286" i="1"/>
  <c r="J286" i="1"/>
  <c r="D286" i="1"/>
  <c r="B286" i="1"/>
  <c r="L285" i="1"/>
  <c r="K285" i="1"/>
  <c r="J285" i="1"/>
  <c r="D285" i="1"/>
  <c r="B285" i="1"/>
  <c r="L284" i="1"/>
  <c r="K284" i="1"/>
  <c r="J284" i="1"/>
  <c r="D284" i="1"/>
  <c r="B284" i="1"/>
  <c r="L283" i="1"/>
  <c r="K283" i="1"/>
  <c r="J283" i="1"/>
  <c r="D283" i="1"/>
  <c r="B283" i="1"/>
  <c r="L282" i="1"/>
  <c r="K282" i="1"/>
  <c r="J282" i="1"/>
  <c r="D282" i="1"/>
  <c r="B282" i="1"/>
  <c r="L281" i="1"/>
  <c r="K281" i="1"/>
  <c r="J281" i="1"/>
  <c r="D281" i="1"/>
  <c r="B281" i="1"/>
  <c r="L280" i="1"/>
  <c r="K280" i="1"/>
  <c r="J280" i="1"/>
  <c r="D280" i="1"/>
  <c r="B280" i="1"/>
  <c r="L279" i="1"/>
  <c r="K279" i="1"/>
  <c r="J279" i="1"/>
  <c r="D279" i="1"/>
  <c r="B279" i="1"/>
  <c r="L278" i="1"/>
  <c r="K278" i="1"/>
  <c r="J278" i="1"/>
  <c r="D278" i="1"/>
  <c r="B278" i="1"/>
  <c r="L277" i="1"/>
  <c r="K277" i="1"/>
  <c r="J277" i="1"/>
  <c r="D277" i="1"/>
  <c r="B277" i="1"/>
  <c r="L276" i="1"/>
  <c r="K276" i="1"/>
  <c r="J276" i="1"/>
  <c r="D276" i="1"/>
  <c r="B276" i="1"/>
  <c r="L275" i="1"/>
  <c r="K275" i="1"/>
  <c r="J275" i="1"/>
  <c r="D275" i="1"/>
  <c r="B275" i="1"/>
  <c r="L274" i="1"/>
  <c r="K274" i="1"/>
  <c r="J274" i="1"/>
  <c r="D274" i="1"/>
  <c r="B274" i="1"/>
  <c r="L273" i="1"/>
  <c r="K273" i="1"/>
  <c r="J273" i="1"/>
  <c r="D273" i="1"/>
  <c r="B273" i="1"/>
  <c r="L272" i="1"/>
  <c r="K272" i="1"/>
  <c r="J272" i="1"/>
  <c r="D272" i="1"/>
  <c r="B272" i="1"/>
  <c r="L271" i="1"/>
  <c r="K271" i="1"/>
  <c r="J271" i="1"/>
  <c r="D271" i="1"/>
  <c r="B271" i="1"/>
  <c r="L270" i="1"/>
  <c r="K270" i="1"/>
  <c r="J270" i="1"/>
  <c r="D270" i="1"/>
  <c r="B270" i="1"/>
  <c r="L269" i="1"/>
  <c r="K269" i="1"/>
  <c r="J269" i="1"/>
  <c r="D269" i="1"/>
  <c r="B269" i="1"/>
  <c r="L268" i="1"/>
  <c r="K268" i="1"/>
  <c r="J268" i="1"/>
  <c r="D268" i="1"/>
  <c r="B268" i="1"/>
  <c r="L267" i="1"/>
  <c r="K267" i="1"/>
  <c r="J267" i="1"/>
  <c r="D267" i="1"/>
  <c r="B267" i="1"/>
  <c r="L266" i="1"/>
  <c r="K266" i="1"/>
  <c r="J266" i="1"/>
  <c r="D266" i="1"/>
  <c r="B266" i="1"/>
  <c r="L265" i="1"/>
  <c r="K265" i="1"/>
  <c r="J265" i="1"/>
  <c r="D265" i="1"/>
  <c r="B265" i="1"/>
  <c r="L264" i="1"/>
  <c r="K264" i="1"/>
  <c r="J264" i="1"/>
  <c r="D264" i="1"/>
  <c r="B264" i="1"/>
  <c r="L263" i="1"/>
  <c r="K263" i="1"/>
  <c r="J263" i="1"/>
  <c r="D263" i="1"/>
  <c r="B263" i="1"/>
  <c r="L262" i="1"/>
  <c r="K262" i="1"/>
  <c r="J262" i="1"/>
  <c r="D262" i="1"/>
  <c r="B262" i="1"/>
  <c r="L261" i="1"/>
  <c r="K261" i="1"/>
  <c r="J261" i="1"/>
  <c r="D261" i="1"/>
  <c r="B261" i="1"/>
  <c r="L260" i="1"/>
  <c r="K260" i="1"/>
  <c r="J260" i="1"/>
  <c r="D260" i="1"/>
  <c r="B260" i="1"/>
  <c r="L259" i="1"/>
  <c r="K259" i="1"/>
  <c r="J259" i="1"/>
  <c r="D259" i="1"/>
  <c r="B259" i="1"/>
  <c r="L258" i="1"/>
  <c r="K258" i="1"/>
  <c r="J258" i="1"/>
  <c r="D258" i="1"/>
  <c r="B258" i="1"/>
  <c r="L257" i="1"/>
  <c r="K257" i="1"/>
  <c r="J257" i="1"/>
  <c r="D257" i="1"/>
  <c r="B257" i="1"/>
  <c r="L256" i="1"/>
  <c r="K256" i="1"/>
  <c r="J256" i="1"/>
  <c r="D256" i="1"/>
  <c r="B256" i="1"/>
  <c r="L255" i="1"/>
  <c r="K255" i="1"/>
  <c r="J255" i="1"/>
  <c r="D255" i="1"/>
  <c r="B255" i="1"/>
  <c r="L254" i="1"/>
  <c r="K254" i="1"/>
  <c r="J254" i="1"/>
  <c r="D254" i="1"/>
  <c r="B254" i="1"/>
  <c r="L253" i="1"/>
  <c r="K253" i="1"/>
  <c r="J253" i="1"/>
  <c r="D253" i="1"/>
  <c r="B253" i="1"/>
  <c r="L252" i="1"/>
  <c r="K252" i="1"/>
  <c r="J252" i="1"/>
  <c r="D252" i="1"/>
  <c r="B252" i="1"/>
  <c r="L251" i="1"/>
  <c r="K251" i="1"/>
  <c r="J251" i="1"/>
  <c r="D251" i="1"/>
  <c r="B251" i="1"/>
  <c r="L250" i="1"/>
  <c r="K250" i="1"/>
  <c r="J250" i="1"/>
  <c r="D250" i="1"/>
  <c r="B250" i="1"/>
  <c r="L249" i="1"/>
  <c r="K249" i="1"/>
  <c r="J249" i="1"/>
  <c r="D249" i="1"/>
  <c r="B249" i="1"/>
  <c r="L248" i="1"/>
  <c r="K248" i="1"/>
  <c r="J248" i="1"/>
  <c r="D248" i="1"/>
  <c r="B248" i="1"/>
  <c r="L247" i="1"/>
  <c r="K247" i="1"/>
  <c r="J247" i="1"/>
  <c r="D247" i="1"/>
  <c r="B247" i="1"/>
  <c r="L246" i="1"/>
  <c r="K246" i="1"/>
  <c r="J246" i="1"/>
  <c r="D246" i="1"/>
  <c r="B246" i="1"/>
  <c r="L245" i="1"/>
  <c r="K245" i="1"/>
  <c r="J245" i="1"/>
  <c r="D245" i="1"/>
  <c r="B245" i="1"/>
  <c r="L244" i="1"/>
  <c r="K244" i="1"/>
  <c r="J244" i="1"/>
  <c r="D244" i="1"/>
  <c r="B244" i="1"/>
  <c r="L243" i="1"/>
  <c r="K243" i="1"/>
  <c r="J243" i="1"/>
  <c r="D243" i="1"/>
  <c r="B243" i="1"/>
  <c r="L242" i="1"/>
  <c r="K242" i="1"/>
  <c r="J242" i="1"/>
  <c r="D242" i="1"/>
  <c r="B242" i="1"/>
  <c r="L241" i="1"/>
  <c r="K241" i="1"/>
  <c r="J241" i="1"/>
  <c r="D241" i="1"/>
  <c r="B241" i="1"/>
  <c r="L240" i="1"/>
  <c r="K240" i="1"/>
  <c r="J240" i="1"/>
  <c r="D240" i="1"/>
  <c r="B240" i="1"/>
  <c r="L239" i="1"/>
  <c r="K239" i="1"/>
  <c r="J239" i="1"/>
  <c r="D239" i="1"/>
  <c r="B239" i="1"/>
  <c r="L238" i="1"/>
  <c r="K238" i="1"/>
  <c r="J238" i="1"/>
  <c r="D238" i="1"/>
  <c r="B238" i="1"/>
  <c r="L237" i="1"/>
  <c r="K237" i="1"/>
  <c r="J237" i="1"/>
  <c r="D237" i="1"/>
  <c r="B237" i="1"/>
  <c r="L236" i="1"/>
  <c r="K236" i="1"/>
  <c r="J236" i="1"/>
  <c r="D236" i="1"/>
  <c r="B236" i="1"/>
  <c r="L235" i="1"/>
  <c r="K235" i="1"/>
  <c r="J235" i="1"/>
  <c r="D235" i="1"/>
  <c r="B235" i="1"/>
  <c r="L234" i="1"/>
  <c r="K234" i="1"/>
  <c r="J234" i="1"/>
  <c r="D234" i="1"/>
  <c r="B234" i="1"/>
  <c r="L233" i="1"/>
  <c r="K233" i="1"/>
  <c r="J233" i="1"/>
  <c r="D233" i="1"/>
  <c r="B233" i="1"/>
  <c r="L232" i="1"/>
  <c r="K232" i="1"/>
  <c r="J232" i="1"/>
  <c r="D232" i="1"/>
  <c r="B232" i="1"/>
  <c r="L231" i="1"/>
  <c r="K231" i="1"/>
  <c r="J231" i="1"/>
  <c r="D231" i="1"/>
  <c r="B231" i="1"/>
  <c r="L230" i="1"/>
  <c r="K230" i="1"/>
  <c r="J230" i="1"/>
  <c r="D230" i="1"/>
  <c r="B230" i="1"/>
  <c r="L229" i="1"/>
  <c r="K229" i="1"/>
  <c r="J229" i="1"/>
  <c r="D229" i="1"/>
  <c r="B229" i="1"/>
  <c r="L228" i="1"/>
  <c r="K228" i="1"/>
  <c r="J228" i="1"/>
  <c r="D228" i="1"/>
  <c r="B228" i="1"/>
  <c r="L227" i="1"/>
  <c r="K227" i="1"/>
  <c r="J227" i="1"/>
  <c r="D227" i="1"/>
  <c r="B227" i="1"/>
  <c r="L226" i="1"/>
  <c r="K226" i="1"/>
  <c r="J226" i="1"/>
  <c r="D226" i="1"/>
  <c r="B226" i="1"/>
  <c r="L225" i="1"/>
  <c r="K225" i="1"/>
  <c r="J225" i="1"/>
  <c r="D225" i="1"/>
  <c r="B225" i="1"/>
  <c r="L224" i="1"/>
  <c r="K224" i="1"/>
  <c r="J224" i="1"/>
  <c r="D224" i="1"/>
  <c r="B224" i="1"/>
  <c r="L223" i="1"/>
  <c r="K223" i="1"/>
  <c r="J223" i="1"/>
  <c r="D223" i="1"/>
  <c r="B223" i="1"/>
  <c r="L222" i="1"/>
  <c r="K222" i="1"/>
  <c r="J222" i="1"/>
  <c r="D222" i="1"/>
  <c r="B222" i="1"/>
  <c r="L221" i="1"/>
  <c r="K221" i="1"/>
  <c r="J221" i="1"/>
  <c r="D221" i="1"/>
  <c r="B221" i="1"/>
  <c r="L220" i="1"/>
  <c r="K220" i="1"/>
  <c r="J220" i="1"/>
  <c r="D220" i="1"/>
  <c r="B220" i="1"/>
  <c r="L219" i="1"/>
  <c r="K219" i="1"/>
  <c r="J219" i="1"/>
  <c r="D219" i="1"/>
  <c r="B219" i="1"/>
  <c r="L218" i="1"/>
  <c r="K218" i="1"/>
  <c r="J218" i="1"/>
  <c r="D218" i="1"/>
  <c r="B218" i="1"/>
  <c r="L217" i="1"/>
  <c r="K217" i="1"/>
  <c r="J217" i="1"/>
  <c r="D217" i="1"/>
  <c r="B217" i="1"/>
  <c r="L216" i="1"/>
  <c r="K216" i="1"/>
  <c r="J216" i="1"/>
  <c r="D216" i="1"/>
  <c r="B216" i="1"/>
  <c r="L215" i="1"/>
  <c r="K215" i="1"/>
  <c r="J215" i="1"/>
  <c r="D215" i="1"/>
  <c r="B215" i="1"/>
  <c r="L214" i="1"/>
  <c r="K214" i="1"/>
  <c r="J214" i="1"/>
  <c r="D214" i="1"/>
  <c r="B214" i="1"/>
  <c r="L213" i="1"/>
  <c r="K213" i="1"/>
  <c r="J213" i="1"/>
  <c r="D213" i="1"/>
  <c r="B213" i="1"/>
  <c r="L212" i="1"/>
  <c r="K212" i="1"/>
  <c r="J212" i="1"/>
  <c r="D212" i="1"/>
  <c r="B212" i="1"/>
  <c r="L211" i="1"/>
  <c r="K211" i="1"/>
  <c r="J211" i="1"/>
  <c r="D211" i="1"/>
  <c r="B211" i="1"/>
  <c r="L210" i="1"/>
  <c r="K210" i="1"/>
  <c r="J210" i="1"/>
  <c r="D210" i="1"/>
  <c r="B210" i="1"/>
  <c r="L209" i="1"/>
  <c r="K209" i="1"/>
  <c r="J209" i="1"/>
  <c r="D209" i="1"/>
  <c r="B209" i="1"/>
  <c r="L208" i="1"/>
  <c r="K208" i="1"/>
  <c r="J208" i="1"/>
  <c r="D208" i="1"/>
  <c r="B208" i="1"/>
  <c r="L207" i="1"/>
  <c r="K207" i="1"/>
  <c r="J207" i="1"/>
  <c r="D207" i="1"/>
  <c r="B207" i="1"/>
  <c r="L206" i="1"/>
  <c r="K206" i="1"/>
  <c r="J206" i="1"/>
  <c r="D206" i="1"/>
  <c r="B206" i="1"/>
  <c r="L205" i="1"/>
  <c r="K205" i="1"/>
  <c r="J205" i="1"/>
  <c r="D205" i="1"/>
  <c r="B205" i="1"/>
  <c r="L204" i="1"/>
  <c r="K204" i="1"/>
  <c r="J204" i="1"/>
  <c r="D204" i="1"/>
  <c r="B204" i="1"/>
  <c r="L203" i="1"/>
  <c r="K203" i="1"/>
  <c r="J203" i="1"/>
  <c r="D203" i="1"/>
  <c r="B203" i="1"/>
  <c r="L202" i="1"/>
  <c r="K202" i="1"/>
  <c r="J202" i="1"/>
  <c r="D202" i="1"/>
  <c r="B202" i="1"/>
  <c r="L201" i="1"/>
  <c r="K201" i="1"/>
  <c r="J201" i="1"/>
  <c r="D201" i="1"/>
  <c r="B201" i="1"/>
  <c r="L200" i="1"/>
  <c r="K200" i="1"/>
  <c r="J200" i="1"/>
  <c r="D200" i="1"/>
  <c r="B200" i="1"/>
  <c r="L199" i="1"/>
  <c r="K199" i="1"/>
  <c r="J199" i="1"/>
  <c r="D199" i="1"/>
  <c r="B199" i="1"/>
  <c r="L198" i="1"/>
  <c r="K198" i="1"/>
  <c r="J198" i="1"/>
  <c r="D198" i="1"/>
  <c r="B198" i="1"/>
  <c r="L197" i="1"/>
  <c r="K197" i="1"/>
  <c r="J197" i="1"/>
  <c r="D197" i="1"/>
  <c r="B197" i="1"/>
  <c r="L196" i="1"/>
  <c r="K196" i="1"/>
  <c r="J196" i="1"/>
  <c r="D196" i="1"/>
  <c r="B196" i="1"/>
  <c r="L195" i="1"/>
  <c r="K195" i="1"/>
  <c r="J195" i="1"/>
  <c r="D195" i="1"/>
  <c r="B195" i="1"/>
  <c r="L194" i="1"/>
  <c r="K194" i="1"/>
  <c r="J194" i="1"/>
  <c r="D194" i="1"/>
  <c r="B194" i="1"/>
  <c r="L193" i="1"/>
  <c r="K193" i="1"/>
  <c r="J193" i="1"/>
  <c r="D193" i="1"/>
  <c r="B193" i="1"/>
  <c r="L192" i="1"/>
  <c r="K192" i="1"/>
  <c r="J192" i="1"/>
  <c r="D192" i="1"/>
  <c r="B192" i="1"/>
  <c r="L191" i="1"/>
  <c r="K191" i="1"/>
  <c r="J191" i="1"/>
  <c r="D191" i="1"/>
  <c r="B191" i="1"/>
  <c r="L190" i="1"/>
  <c r="K190" i="1"/>
  <c r="J190" i="1"/>
  <c r="D190" i="1"/>
  <c r="B190" i="1"/>
  <c r="L189" i="1"/>
  <c r="K189" i="1"/>
  <c r="J189" i="1"/>
  <c r="D189" i="1"/>
  <c r="B189" i="1"/>
  <c r="L188" i="1"/>
  <c r="K188" i="1"/>
  <c r="J188" i="1"/>
  <c r="D188" i="1"/>
  <c r="B188" i="1"/>
  <c r="L187" i="1"/>
  <c r="K187" i="1"/>
  <c r="J187" i="1"/>
  <c r="D187" i="1"/>
  <c r="B187" i="1"/>
  <c r="L186" i="1"/>
  <c r="K186" i="1"/>
  <c r="J186" i="1"/>
  <c r="D186" i="1"/>
  <c r="B186" i="1"/>
  <c r="L185" i="1"/>
  <c r="K185" i="1"/>
  <c r="J185" i="1"/>
  <c r="D185" i="1"/>
  <c r="B185" i="1"/>
  <c r="L184" i="1"/>
  <c r="K184" i="1"/>
  <c r="J184" i="1"/>
  <c r="D184" i="1"/>
  <c r="B184" i="1"/>
  <c r="L183" i="1"/>
  <c r="K183" i="1"/>
  <c r="J183" i="1"/>
  <c r="D183" i="1"/>
  <c r="B183" i="1"/>
  <c r="L182" i="1"/>
  <c r="K182" i="1"/>
  <c r="J182" i="1"/>
  <c r="D182" i="1"/>
  <c r="B182" i="1"/>
  <c r="L181" i="1"/>
  <c r="K181" i="1"/>
  <c r="J181" i="1"/>
  <c r="D181" i="1"/>
  <c r="B181" i="1"/>
  <c r="L180" i="1"/>
  <c r="K180" i="1"/>
  <c r="J180" i="1"/>
  <c r="D180" i="1"/>
  <c r="B180" i="1"/>
  <c r="L179" i="1"/>
  <c r="K179" i="1"/>
  <c r="J179" i="1"/>
  <c r="D179" i="1"/>
  <c r="B179" i="1"/>
  <c r="L178" i="1"/>
  <c r="K178" i="1"/>
  <c r="J178" i="1"/>
  <c r="D178" i="1"/>
  <c r="B178" i="1"/>
  <c r="L177" i="1"/>
  <c r="K177" i="1"/>
  <c r="J177" i="1"/>
  <c r="D177" i="1"/>
  <c r="B177" i="1"/>
  <c r="L176" i="1"/>
  <c r="K176" i="1"/>
  <c r="J176" i="1"/>
  <c r="D176" i="1"/>
  <c r="B176" i="1"/>
  <c r="L175" i="1"/>
  <c r="K175" i="1"/>
  <c r="J175" i="1"/>
  <c r="D175" i="1"/>
  <c r="B175" i="1"/>
  <c r="L174" i="1"/>
  <c r="K174" i="1"/>
  <c r="J174" i="1"/>
  <c r="D174" i="1"/>
  <c r="B174" i="1"/>
  <c r="L173" i="1"/>
  <c r="K173" i="1"/>
  <c r="J173" i="1"/>
  <c r="D173" i="1"/>
  <c r="B173" i="1"/>
  <c r="L172" i="1"/>
  <c r="K172" i="1"/>
  <c r="J172" i="1"/>
  <c r="D172" i="1"/>
  <c r="B172" i="1"/>
  <c r="L171" i="1"/>
  <c r="K171" i="1"/>
  <c r="J171" i="1"/>
  <c r="D171" i="1"/>
  <c r="B171" i="1"/>
  <c r="L170" i="1"/>
  <c r="K170" i="1"/>
  <c r="J170" i="1"/>
  <c r="D170" i="1"/>
  <c r="B170" i="1"/>
  <c r="L169" i="1"/>
  <c r="K169" i="1"/>
  <c r="J169" i="1"/>
  <c r="D169" i="1"/>
  <c r="B169" i="1"/>
  <c r="L168" i="1"/>
  <c r="K168" i="1"/>
  <c r="J168" i="1"/>
  <c r="D168" i="1"/>
  <c r="B168" i="1"/>
  <c r="L167" i="1"/>
  <c r="K167" i="1"/>
  <c r="J167" i="1"/>
  <c r="D167" i="1"/>
  <c r="B167" i="1"/>
  <c r="L166" i="1"/>
  <c r="K166" i="1"/>
  <c r="J166" i="1"/>
  <c r="D166" i="1"/>
  <c r="B166" i="1"/>
  <c r="L165" i="1"/>
  <c r="K165" i="1"/>
  <c r="J165" i="1"/>
  <c r="D165" i="1"/>
  <c r="B165" i="1"/>
  <c r="L164" i="1"/>
  <c r="K164" i="1"/>
  <c r="J164" i="1"/>
  <c r="D164" i="1"/>
  <c r="B164" i="1"/>
  <c r="L163" i="1"/>
  <c r="K163" i="1"/>
  <c r="J163" i="1"/>
  <c r="D163" i="1"/>
  <c r="B163" i="1"/>
  <c r="L162" i="1"/>
  <c r="K162" i="1"/>
  <c r="J162" i="1"/>
  <c r="D162" i="1"/>
  <c r="B162" i="1"/>
  <c r="L161" i="1"/>
  <c r="K161" i="1"/>
  <c r="J161" i="1"/>
  <c r="D161" i="1"/>
  <c r="B161" i="1"/>
  <c r="L160" i="1"/>
  <c r="K160" i="1"/>
  <c r="J160" i="1"/>
  <c r="D160" i="1"/>
  <c r="B160" i="1"/>
  <c r="L159" i="1"/>
  <c r="K159" i="1"/>
  <c r="J159" i="1"/>
  <c r="D159" i="1"/>
  <c r="B159" i="1"/>
  <c r="L158" i="1"/>
  <c r="K158" i="1"/>
  <c r="J158" i="1"/>
  <c r="D158" i="1"/>
  <c r="B158" i="1"/>
  <c r="L157" i="1"/>
  <c r="K157" i="1"/>
  <c r="J157" i="1"/>
  <c r="D157" i="1"/>
  <c r="B157" i="1"/>
  <c r="L156" i="1"/>
  <c r="K156" i="1"/>
  <c r="J156" i="1"/>
  <c r="D156" i="1"/>
  <c r="B156" i="1"/>
  <c r="L155" i="1"/>
  <c r="K155" i="1"/>
  <c r="J155" i="1"/>
  <c r="D155" i="1"/>
  <c r="B155" i="1"/>
  <c r="L154" i="1"/>
  <c r="K154" i="1"/>
  <c r="J154" i="1"/>
  <c r="D154" i="1"/>
  <c r="B154" i="1"/>
  <c r="L153" i="1"/>
  <c r="K153" i="1"/>
  <c r="J153" i="1"/>
  <c r="D153" i="1"/>
  <c r="B153" i="1"/>
  <c r="L152" i="1"/>
  <c r="K152" i="1"/>
  <c r="J152" i="1"/>
  <c r="D152" i="1"/>
  <c r="B152" i="1"/>
  <c r="L151" i="1"/>
  <c r="K151" i="1"/>
  <c r="J151" i="1"/>
  <c r="D151" i="1"/>
  <c r="B151" i="1"/>
  <c r="L150" i="1"/>
  <c r="K150" i="1"/>
  <c r="J150" i="1"/>
  <c r="D150" i="1"/>
  <c r="B150" i="1"/>
  <c r="L149" i="1"/>
  <c r="K149" i="1"/>
  <c r="J149" i="1"/>
  <c r="D149" i="1"/>
  <c r="B149" i="1"/>
  <c r="L148" i="1"/>
  <c r="K148" i="1"/>
  <c r="J148" i="1"/>
  <c r="D148" i="1"/>
  <c r="B148" i="1"/>
  <c r="L147" i="1"/>
  <c r="K147" i="1"/>
  <c r="J147" i="1"/>
  <c r="D147" i="1"/>
  <c r="B147" i="1"/>
  <c r="L146" i="1"/>
  <c r="K146" i="1"/>
  <c r="J146" i="1"/>
  <c r="D146" i="1"/>
  <c r="B146" i="1"/>
  <c r="L145" i="1"/>
  <c r="K145" i="1"/>
  <c r="J145" i="1"/>
  <c r="D145" i="1"/>
  <c r="B145" i="1"/>
  <c r="L144" i="1"/>
  <c r="K144" i="1"/>
  <c r="J144" i="1"/>
  <c r="D144" i="1"/>
  <c r="B144" i="1"/>
  <c r="L143" i="1"/>
  <c r="K143" i="1"/>
  <c r="J143" i="1"/>
  <c r="D143" i="1"/>
  <c r="B143" i="1"/>
  <c r="L142" i="1"/>
  <c r="K142" i="1"/>
  <c r="J142" i="1"/>
  <c r="D142" i="1"/>
  <c r="B142" i="1"/>
  <c r="L141" i="1"/>
  <c r="K141" i="1"/>
  <c r="J141" i="1"/>
  <c r="D141" i="1"/>
  <c r="B141" i="1"/>
  <c r="L140" i="1"/>
  <c r="K140" i="1"/>
  <c r="J140" i="1"/>
  <c r="D140" i="1"/>
  <c r="B140" i="1"/>
  <c r="L139" i="1"/>
  <c r="K139" i="1"/>
  <c r="J139" i="1"/>
  <c r="D139" i="1"/>
  <c r="B139" i="1"/>
  <c r="L138" i="1"/>
  <c r="K138" i="1"/>
  <c r="J138" i="1"/>
  <c r="D138" i="1"/>
  <c r="B138" i="1"/>
  <c r="L137" i="1"/>
  <c r="K137" i="1"/>
  <c r="J137" i="1"/>
  <c r="D137" i="1"/>
  <c r="B137" i="1"/>
  <c r="L136" i="1"/>
  <c r="K136" i="1"/>
  <c r="J136" i="1"/>
  <c r="D136" i="1"/>
  <c r="B136" i="1"/>
  <c r="L135" i="1"/>
  <c r="K135" i="1"/>
  <c r="J135" i="1"/>
  <c r="D135" i="1"/>
  <c r="B135" i="1"/>
  <c r="L134" i="1"/>
  <c r="K134" i="1"/>
  <c r="J134" i="1"/>
  <c r="D134" i="1"/>
  <c r="B134" i="1"/>
  <c r="L133" i="1"/>
  <c r="K133" i="1"/>
  <c r="J133" i="1"/>
  <c r="D133" i="1"/>
  <c r="B133" i="1"/>
  <c r="L132" i="1"/>
  <c r="K132" i="1"/>
  <c r="J132" i="1"/>
  <c r="D132" i="1"/>
  <c r="B132" i="1"/>
  <c r="L131" i="1"/>
  <c r="K131" i="1"/>
  <c r="J131" i="1"/>
  <c r="D131" i="1"/>
  <c r="B131" i="1"/>
  <c r="L130" i="1"/>
  <c r="K130" i="1"/>
  <c r="J130" i="1"/>
  <c r="D130" i="1"/>
  <c r="B130" i="1"/>
  <c r="L129" i="1"/>
  <c r="K129" i="1"/>
  <c r="J129" i="1"/>
  <c r="D129" i="1"/>
  <c r="B129" i="1"/>
  <c r="L128" i="1"/>
  <c r="K128" i="1"/>
  <c r="J128" i="1"/>
  <c r="D128" i="1"/>
  <c r="B128" i="1"/>
  <c r="L127" i="1"/>
  <c r="K127" i="1"/>
  <c r="J127" i="1"/>
  <c r="D127" i="1"/>
  <c r="B127" i="1"/>
  <c r="L126" i="1"/>
  <c r="K126" i="1"/>
  <c r="J126" i="1"/>
  <c r="D126" i="1"/>
  <c r="B126" i="1"/>
  <c r="L125" i="1"/>
  <c r="K125" i="1"/>
  <c r="J125" i="1"/>
  <c r="D125" i="1"/>
  <c r="B125" i="1"/>
  <c r="L124" i="1"/>
  <c r="K124" i="1"/>
  <c r="J124" i="1"/>
  <c r="D124" i="1"/>
  <c r="B124" i="1"/>
  <c r="L123" i="1"/>
  <c r="K123" i="1"/>
  <c r="J123" i="1"/>
  <c r="D123" i="1"/>
  <c r="B123" i="1"/>
  <c r="L122" i="1"/>
  <c r="K122" i="1"/>
  <c r="J122" i="1"/>
  <c r="D122" i="1"/>
  <c r="B122" i="1"/>
  <c r="L121" i="1"/>
  <c r="K121" i="1"/>
  <c r="J121" i="1"/>
  <c r="D121" i="1"/>
  <c r="B121" i="1"/>
  <c r="L120" i="1"/>
  <c r="K120" i="1"/>
  <c r="J120" i="1"/>
  <c r="D120" i="1"/>
  <c r="B120" i="1"/>
  <c r="L119" i="1"/>
  <c r="K119" i="1"/>
  <c r="J119" i="1"/>
  <c r="D119" i="1"/>
  <c r="B119" i="1"/>
  <c r="L118" i="1"/>
  <c r="K118" i="1"/>
  <c r="J118" i="1"/>
  <c r="D118" i="1"/>
  <c r="B118" i="1"/>
  <c r="L117" i="1"/>
  <c r="K117" i="1"/>
  <c r="J117" i="1"/>
  <c r="D117" i="1"/>
  <c r="B117" i="1"/>
  <c r="L116" i="1"/>
  <c r="K116" i="1"/>
  <c r="J116" i="1"/>
  <c r="D116" i="1"/>
  <c r="B116" i="1"/>
  <c r="L115" i="1"/>
  <c r="K115" i="1"/>
  <c r="J115" i="1"/>
  <c r="D115" i="1"/>
  <c r="B115" i="1"/>
  <c r="L114" i="1"/>
  <c r="K114" i="1"/>
  <c r="J114" i="1"/>
  <c r="D114" i="1"/>
  <c r="B114" i="1"/>
  <c r="L113" i="1"/>
  <c r="K113" i="1"/>
  <c r="J113" i="1"/>
  <c r="D113" i="1"/>
  <c r="B113" i="1"/>
  <c r="L112" i="1"/>
  <c r="K112" i="1"/>
  <c r="J112" i="1"/>
  <c r="D112" i="1"/>
  <c r="B112" i="1"/>
  <c r="L111" i="1"/>
  <c r="K111" i="1"/>
  <c r="J111" i="1"/>
  <c r="D111" i="1"/>
  <c r="B111" i="1"/>
  <c r="L110" i="1"/>
  <c r="K110" i="1"/>
  <c r="J110" i="1"/>
  <c r="D110" i="1"/>
  <c r="B110" i="1"/>
  <c r="L109" i="1"/>
  <c r="K109" i="1"/>
  <c r="J109" i="1"/>
  <c r="D109" i="1"/>
  <c r="B109" i="1"/>
  <c r="L108" i="1"/>
  <c r="K108" i="1"/>
  <c r="J108" i="1"/>
  <c r="D108" i="1"/>
  <c r="B108" i="1"/>
  <c r="L107" i="1"/>
  <c r="K107" i="1"/>
  <c r="J107" i="1"/>
  <c r="D107" i="1"/>
  <c r="B107" i="1"/>
  <c r="L106" i="1"/>
  <c r="K106" i="1"/>
  <c r="J106" i="1"/>
  <c r="D106" i="1"/>
  <c r="B106" i="1"/>
  <c r="L105" i="1"/>
  <c r="K105" i="1"/>
  <c r="J105" i="1"/>
  <c r="D105" i="1"/>
  <c r="B105" i="1"/>
  <c r="L104" i="1"/>
  <c r="K104" i="1"/>
  <c r="J104" i="1"/>
  <c r="D104" i="1"/>
  <c r="B104" i="1"/>
  <c r="L103" i="1"/>
  <c r="K103" i="1"/>
  <c r="J103" i="1"/>
  <c r="D103" i="1"/>
  <c r="B103" i="1"/>
  <c r="L102" i="1"/>
  <c r="K102" i="1"/>
  <c r="J102" i="1"/>
  <c r="D102" i="1"/>
  <c r="B102" i="1"/>
  <c r="L101" i="1"/>
  <c r="K101" i="1"/>
  <c r="J101" i="1"/>
  <c r="D101" i="1"/>
  <c r="B101" i="1"/>
  <c r="L100" i="1"/>
  <c r="K100" i="1"/>
  <c r="J100" i="1"/>
  <c r="D100" i="1"/>
  <c r="B100" i="1"/>
  <c r="L99" i="1"/>
  <c r="K99" i="1"/>
  <c r="J99" i="1"/>
  <c r="D99" i="1"/>
  <c r="B99" i="1"/>
  <c r="L98" i="1"/>
  <c r="K98" i="1"/>
  <c r="J98" i="1"/>
  <c r="D98" i="1"/>
  <c r="B98" i="1"/>
  <c r="L97" i="1"/>
  <c r="K97" i="1"/>
  <c r="J97" i="1"/>
  <c r="D97" i="1"/>
  <c r="B97" i="1"/>
  <c r="L96" i="1"/>
  <c r="K96" i="1"/>
  <c r="J96" i="1"/>
  <c r="D96" i="1"/>
  <c r="B96" i="1"/>
  <c r="L95" i="1"/>
  <c r="K95" i="1"/>
  <c r="J95" i="1"/>
  <c r="D95" i="1"/>
  <c r="B95" i="1"/>
  <c r="L94" i="1"/>
  <c r="K94" i="1"/>
  <c r="J94" i="1"/>
  <c r="D94" i="1"/>
  <c r="B94" i="1"/>
  <c r="L93" i="1"/>
  <c r="K93" i="1"/>
  <c r="J93" i="1"/>
  <c r="D93" i="1"/>
  <c r="B93" i="1"/>
  <c r="L92" i="1"/>
  <c r="K92" i="1"/>
  <c r="J92" i="1"/>
  <c r="D92" i="1"/>
  <c r="B92" i="1"/>
  <c r="L91" i="1"/>
  <c r="K91" i="1"/>
  <c r="J91" i="1"/>
  <c r="D91" i="1"/>
  <c r="B91" i="1"/>
  <c r="L90" i="1"/>
  <c r="K90" i="1"/>
  <c r="J90" i="1"/>
  <c r="D90" i="1"/>
  <c r="B90" i="1"/>
  <c r="L89" i="1"/>
  <c r="K89" i="1"/>
  <c r="J89" i="1"/>
  <c r="D89" i="1"/>
  <c r="B89" i="1"/>
  <c r="L88" i="1"/>
  <c r="K88" i="1"/>
  <c r="J88" i="1"/>
  <c r="D88" i="1"/>
  <c r="B88" i="1"/>
  <c r="L87" i="1"/>
  <c r="K87" i="1"/>
  <c r="J87" i="1"/>
  <c r="D87" i="1"/>
  <c r="B87" i="1"/>
  <c r="L86" i="1"/>
  <c r="K86" i="1"/>
  <c r="J86" i="1"/>
  <c r="D86" i="1"/>
  <c r="B86" i="1"/>
  <c r="L85" i="1"/>
  <c r="K85" i="1"/>
  <c r="J85" i="1"/>
  <c r="D85" i="1"/>
  <c r="B85" i="1"/>
  <c r="L84" i="1"/>
  <c r="K84" i="1"/>
  <c r="J84" i="1"/>
  <c r="D84" i="1"/>
  <c r="B84" i="1"/>
  <c r="L83" i="1"/>
  <c r="K83" i="1"/>
  <c r="J83" i="1"/>
  <c r="D83" i="1"/>
  <c r="B83" i="1"/>
  <c r="L82" i="1"/>
  <c r="K82" i="1"/>
  <c r="J82" i="1"/>
  <c r="D82" i="1"/>
  <c r="B82" i="1"/>
  <c r="L81" i="1"/>
  <c r="K81" i="1"/>
  <c r="J81" i="1"/>
  <c r="D81" i="1"/>
  <c r="B81" i="1"/>
  <c r="L80" i="1"/>
  <c r="K80" i="1"/>
  <c r="J80" i="1"/>
  <c r="D80" i="1"/>
  <c r="B80" i="1"/>
  <c r="L79" i="1"/>
  <c r="K79" i="1"/>
  <c r="J79" i="1"/>
  <c r="D79" i="1"/>
  <c r="B79" i="1"/>
  <c r="L78" i="1"/>
  <c r="K78" i="1"/>
  <c r="J78" i="1"/>
  <c r="D78" i="1"/>
  <c r="B78" i="1"/>
  <c r="L77" i="1"/>
  <c r="K77" i="1"/>
  <c r="J77" i="1"/>
  <c r="D77" i="1"/>
  <c r="B77" i="1"/>
  <c r="L76" i="1"/>
  <c r="K76" i="1"/>
  <c r="J76" i="1"/>
  <c r="D76" i="1"/>
  <c r="B76" i="1"/>
  <c r="L75" i="1"/>
  <c r="K75" i="1"/>
  <c r="J75" i="1"/>
  <c r="D75" i="1"/>
  <c r="B75" i="1"/>
  <c r="L74" i="1"/>
  <c r="K74" i="1"/>
  <c r="J74" i="1"/>
  <c r="D74" i="1"/>
  <c r="B74" i="1"/>
  <c r="L73" i="1"/>
  <c r="K73" i="1"/>
  <c r="J73" i="1"/>
  <c r="D73" i="1"/>
  <c r="B73" i="1"/>
  <c r="L72" i="1"/>
  <c r="K72" i="1"/>
  <c r="J72" i="1"/>
  <c r="D72" i="1"/>
  <c r="B72" i="1"/>
  <c r="L71" i="1"/>
  <c r="K71" i="1"/>
  <c r="J71" i="1"/>
  <c r="D71" i="1"/>
  <c r="B71" i="1"/>
  <c r="L70" i="1"/>
  <c r="K70" i="1"/>
  <c r="J70" i="1"/>
  <c r="D70" i="1"/>
  <c r="B70" i="1"/>
  <c r="L69" i="1"/>
  <c r="K69" i="1"/>
  <c r="J69" i="1"/>
  <c r="D69" i="1"/>
  <c r="B69" i="1"/>
  <c r="L68" i="1"/>
  <c r="K68" i="1"/>
  <c r="J68" i="1"/>
  <c r="D68" i="1"/>
  <c r="B68" i="1"/>
  <c r="L67" i="1"/>
  <c r="K67" i="1"/>
  <c r="J67" i="1"/>
  <c r="D67" i="1"/>
  <c r="B67" i="1"/>
  <c r="L66" i="1"/>
  <c r="K66" i="1"/>
  <c r="J66" i="1"/>
  <c r="D66" i="1"/>
  <c r="B66" i="1"/>
  <c r="L65" i="1"/>
  <c r="K65" i="1"/>
  <c r="J65" i="1"/>
  <c r="D65" i="1"/>
  <c r="B65" i="1"/>
  <c r="L64" i="1"/>
  <c r="K64" i="1"/>
  <c r="J64" i="1"/>
  <c r="D64" i="1"/>
  <c r="B64" i="1"/>
  <c r="L63" i="1"/>
  <c r="K63" i="1"/>
  <c r="J63" i="1"/>
  <c r="D63" i="1"/>
  <c r="B63" i="1"/>
  <c r="L62" i="1"/>
  <c r="K62" i="1"/>
  <c r="J62" i="1"/>
  <c r="D62" i="1"/>
  <c r="B62" i="1"/>
  <c r="L61" i="1"/>
  <c r="K61" i="1"/>
  <c r="J61" i="1"/>
  <c r="D61" i="1"/>
  <c r="B61" i="1"/>
  <c r="L60" i="1"/>
  <c r="K60" i="1"/>
  <c r="J60" i="1"/>
  <c r="D60" i="1"/>
  <c r="B60" i="1"/>
  <c r="L59" i="1"/>
  <c r="K59" i="1"/>
  <c r="J59" i="1"/>
  <c r="D59" i="1"/>
  <c r="B59" i="1"/>
  <c r="L58" i="1"/>
  <c r="K58" i="1"/>
  <c r="J58" i="1"/>
  <c r="D58" i="1"/>
  <c r="B58" i="1"/>
  <c r="L57" i="1"/>
  <c r="K57" i="1"/>
  <c r="J57" i="1"/>
  <c r="D57" i="1"/>
  <c r="B57" i="1"/>
  <c r="L56" i="1"/>
  <c r="K56" i="1"/>
  <c r="J56" i="1"/>
  <c r="D56" i="1"/>
  <c r="B56" i="1"/>
  <c r="L55" i="1"/>
  <c r="K55" i="1"/>
  <c r="J55" i="1"/>
  <c r="D55" i="1"/>
  <c r="B55" i="1"/>
  <c r="L54" i="1"/>
  <c r="K54" i="1"/>
  <c r="J54" i="1"/>
  <c r="D54" i="1"/>
  <c r="B54" i="1"/>
  <c r="L53" i="1"/>
  <c r="K53" i="1"/>
  <c r="J53" i="1"/>
  <c r="D53" i="1"/>
  <c r="B53" i="1"/>
  <c r="L52" i="1"/>
  <c r="K52" i="1"/>
  <c r="J52" i="1"/>
  <c r="D52" i="1"/>
  <c r="B52" i="1"/>
  <c r="L51" i="1"/>
  <c r="K51" i="1"/>
  <c r="J51" i="1"/>
  <c r="D51" i="1"/>
  <c r="B51" i="1"/>
  <c r="L50" i="1"/>
  <c r="K50" i="1"/>
  <c r="J50" i="1"/>
  <c r="D50" i="1"/>
  <c r="B50" i="1"/>
  <c r="L49" i="1"/>
  <c r="K49" i="1"/>
  <c r="J49" i="1"/>
  <c r="D49" i="1"/>
  <c r="B49" i="1"/>
  <c r="L48" i="1"/>
  <c r="K48" i="1"/>
  <c r="J48" i="1"/>
  <c r="D48" i="1"/>
  <c r="B48" i="1"/>
  <c r="L47" i="1"/>
  <c r="K47" i="1"/>
  <c r="J47" i="1"/>
  <c r="D47" i="1"/>
  <c r="B47" i="1"/>
  <c r="L46" i="1"/>
  <c r="K46" i="1"/>
  <c r="J46" i="1"/>
  <c r="D46" i="1"/>
  <c r="B46" i="1"/>
  <c r="L45" i="1"/>
  <c r="K45" i="1"/>
  <c r="J45" i="1"/>
  <c r="D45" i="1"/>
  <c r="B45" i="1"/>
  <c r="L44" i="1"/>
  <c r="K44" i="1"/>
  <c r="J44" i="1"/>
  <c r="D44" i="1"/>
  <c r="B44" i="1"/>
  <c r="L43" i="1"/>
  <c r="K43" i="1"/>
  <c r="J43" i="1"/>
  <c r="D43" i="1"/>
  <c r="B43" i="1"/>
  <c r="L42" i="1"/>
  <c r="K42" i="1"/>
  <c r="J42" i="1"/>
  <c r="D42" i="1"/>
  <c r="B42" i="1"/>
  <c r="L41" i="1"/>
  <c r="K41" i="1"/>
  <c r="J41" i="1"/>
  <c r="D41" i="1"/>
  <c r="B41" i="1"/>
  <c r="L40" i="1"/>
  <c r="K40" i="1"/>
  <c r="J40" i="1"/>
  <c r="D40" i="1"/>
  <c r="B40" i="1"/>
  <c r="L39" i="1"/>
  <c r="K39" i="1"/>
  <c r="J39" i="1"/>
  <c r="D39" i="1"/>
  <c r="B39" i="1"/>
  <c r="L38" i="1"/>
  <c r="K38" i="1"/>
  <c r="J38" i="1"/>
  <c r="D38" i="1"/>
  <c r="B38" i="1"/>
  <c r="L37" i="1"/>
  <c r="K37" i="1"/>
  <c r="J37" i="1"/>
  <c r="D37" i="1"/>
  <c r="B37" i="1"/>
  <c r="L36" i="1"/>
  <c r="K36" i="1"/>
  <c r="J36" i="1"/>
  <c r="D36" i="1"/>
  <c r="B36" i="1"/>
  <c r="L35" i="1"/>
  <c r="K35" i="1"/>
  <c r="J35" i="1"/>
  <c r="D35" i="1"/>
  <c r="B35" i="1"/>
  <c r="L34" i="1"/>
  <c r="K34" i="1"/>
  <c r="J34" i="1"/>
  <c r="D34" i="1"/>
  <c r="B34" i="1"/>
  <c r="L33" i="1"/>
  <c r="K33" i="1"/>
  <c r="J33" i="1"/>
  <c r="D33" i="1"/>
  <c r="B33" i="1"/>
  <c r="L32" i="1"/>
  <c r="K32" i="1"/>
  <c r="J32" i="1"/>
  <c r="D32" i="1"/>
  <c r="B32" i="1"/>
  <c r="L31" i="1"/>
  <c r="K31" i="1"/>
  <c r="J31" i="1"/>
  <c r="D31" i="1"/>
  <c r="B31" i="1"/>
  <c r="L30" i="1"/>
  <c r="K30" i="1"/>
  <c r="J30" i="1"/>
  <c r="D30" i="1"/>
  <c r="B30" i="1"/>
  <c r="L29" i="1"/>
  <c r="K29" i="1"/>
  <c r="J29" i="1"/>
  <c r="D29" i="1"/>
  <c r="B29" i="1"/>
  <c r="L28" i="1"/>
  <c r="K28" i="1"/>
  <c r="J28" i="1"/>
  <c r="D28" i="1"/>
  <c r="B28" i="1"/>
  <c r="L27" i="1"/>
  <c r="K27" i="1"/>
  <c r="J27" i="1"/>
  <c r="D27" i="1"/>
  <c r="B27" i="1"/>
  <c r="L26" i="1"/>
  <c r="K26" i="1"/>
  <c r="J26" i="1"/>
  <c r="D26" i="1"/>
  <c r="B26" i="1"/>
  <c r="L25" i="1"/>
  <c r="K25" i="1"/>
  <c r="J25" i="1"/>
  <c r="D25" i="1"/>
  <c r="B25" i="1"/>
  <c r="L24" i="1"/>
  <c r="K24" i="1"/>
  <c r="J24" i="1"/>
  <c r="D24" i="1"/>
  <c r="B24" i="1"/>
  <c r="L23" i="1"/>
  <c r="K23" i="1"/>
  <c r="J23" i="1"/>
  <c r="D23" i="1"/>
  <c r="B23" i="1"/>
  <c r="L22" i="1"/>
  <c r="K22" i="1"/>
  <c r="J22" i="1"/>
  <c r="D22" i="1"/>
  <c r="B22" i="1"/>
  <c r="L21" i="1"/>
  <c r="K21" i="1"/>
  <c r="J21" i="1"/>
  <c r="D21" i="1"/>
  <c r="B21" i="1"/>
  <c r="L20" i="1"/>
  <c r="K20" i="1"/>
  <c r="J20" i="1"/>
  <c r="D20" i="1"/>
  <c r="B20" i="1"/>
  <c r="L19" i="1"/>
  <c r="K19" i="1"/>
  <c r="J19" i="1"/>
  <c r="D19" i="1"/>
  <c r="B19" i="1"/>
  <c r="L18" i="1"/>
  <c r="K18" i="1"/>
  <c r="J18" i="1"/>
  <c r="D18" i="1"/>
  <c r="B18" i="1"/>
  <c r="L17" i="1"/>
  <c r="K17" i="1"/>
  <c r="J17" i="1"/>
  <c r="D17" i="1"/>
  <c r="B17" i="1"/>
  <c r="L16" i="1"/>
  <c r="K16" i="1"/>
  <c r="J16" i="1"/>
  <c r="D16" i="1"/>
  <c r="B16" i="1"/>
  <c r="L15" i="1"/>
  <c r="K15" i="1"/>
  <c r="J15" i="1"/>
  <c r="D15" i="1"/>
  <c r="B15" i="1"/>
  <c r="L14" i="1"/>
  <c r="K14" i="1"/>
  <c r="J14" i="1"/>
  <c r="D14" i="1"/>
  <c r="B14" i="1"/>
  <c r="L13" i="1"/>
  <c r="K13" i="1"/>
  <c r="J13" i="1"/>
  <c r="D13" i="1"/>
  <c r="B13" i="1"/>
  <c r="L12" i="1"/>
  <c r="K12" i="1"/>
  <c r="J12" i="1"/>
  <c r="D12" i="1"/>
  <c r="B12" i="1"/>
  <c r="L11" i="1"/>
  <c r="K11" i="1"/>
  <c r="J11" i="1"/>
  <c r="D11" i="1"/>
  <c r="B11" i="1"/>
  <c r="L10" i="1"/>
  <c r="K10" i="1"/>
  <c r="J10" i="1"/>
  <c r="D10" i="1"/>
  <c r="B10" i="1"/>
  <c r="L9" i="1"/>
  <c r="K9" i="1"/>
  <c r="J9" i="1"/>
  <c r="D9" i="1"/>
  <c r="B9" i="1"/>
  <c r="L8" i="1"/>
  <c r="K8" i="1"/>
  <c r="J8" i="1"/>
  <c r="D8" i="1"/>
  <c r="B8" i="1"/>
  <c r="L7" i="1"/>
  <c r="K7" i="1"/>
  <c r="J7" i="1"/>
  <c r="D7" i="1"/>
  <c r="B7" i="1"/>
  <c r="L6" i="1"/>
  <c r="K6" i="1"/>
  <c r="J6" i="1"/>
  <c r="D6" i="1"/>
  <c r="B6" i="1"/>
  <c r="L5" i="1"/>
  <c r="K5" i="1"/>
  <c r="J5" i="1"/>
  <c r="D5" i="1"/>
  <c r="B5" i="1"/>
  <c r="L4" i="1"/>
  <c r="K4" i="1"/>
  <c r="J4" i="1"/>
  <c r="D4" i="1"/>
  <c r="B4" i="1"/>
  <c r="L3" i="1"/>
  <c r="K3" i="1"/>
  <c r="J3" i="1"/>
  <c r="D3" i="1"/>
  <c r="B3" i="1"/>
  <c r="L2" i="1"/>
  <c r="K2" i="1"/>
  <c r="J2" i="1"/>
  <c r="D2" i="1"/>
  <c r="B2" i="1"/>
  <c r="D2386" i="1" l="1"/>
  <c r="B2386" i="1"/>
  <c r="A2387" i="1"/>
  <c r="B2385" i="1"/>
  <c r="D2385" i="1"/>
  <c r="A2388" i="1" l="1"/>
  <c r="D2387" i="1"/>
  <c r="B2387" i="1"/>
  <c r="A2389" i="1" l="1"/>
  <c r="D2388" i="1"/>
  <c r="B2388" i="1"/>
  <c r="D2389" i="1" l="1"/>
  <c r="B2389" i="1"/>
  <c r="A2390" i="1"/>
  <c r="A2391" i="1" l="1"/>
  <c r="D2390" i="1"/>
  <c r="B2390" i="1"/>
  <c r="A2392" i="1" l="1"/>
  <c r="D2391" i="1"/>
  <c r="B2391" i="1"/>
  <c r="B2392" i="1" l="1"/>
  <c r="A2393" i="1"/>
  <c r="D2392" i="1"/>
  <c r="A2394" i="1" l="1"/>
  <c r="D2393" i="1"/>
  <c r="B2393" i="1"/>
  <c r="D2394" i="1" l="1"/>
  <c r="B2394" i="1"/>
  <c r="A2395" i="1"/>
  <c r="A2396" i="1" l="1"/>
  <c r="D2395" i="1"/>
  <c r="B2395" i="1"/>
  <c r="A2397" i="1" l="1"/>
  <c r="D2396" i="1"/>
  <c r="B2396" i="1"/>
  <c r="D2397" i="1" l="1"/>
  <c r="B2397" i="1"/>
  <c r="A2398" i="1"/>
  <c r="A2399" i="1" l="1"/>
  <c r="D2398" i="1"/>
  <c r="B2398" i="1"/>
  <c r="A2400" i="1" l="1"/>
  <c r="D2399" i="1"/>
  <c r="B2399" i="1"/>
  <c r="B2400" i="1" l="1"/>
  <c r="A2401" i="1"/>
  <c r="D2400" i="1"/>
  <c r="A2402" i="1" l="1"/>
  <c r="D2401" i="1"/>
  <c r="B2401" i="1"/>
  <c r="D2402" i="1" l="1"/>
  <c r="B2402" i="1"/>
  <c r="A2403" i="1"/>
  <c r="A2404" i="1" l="1"/>
  <c r="D2403" i="1"/>
  <c r="B2403" i="1"/>
  <c r="A2405" i="1" l="1"/>
  <c r="D2404" i="1"/>
  <c r="B2404" i="1"/>
  <c r="D2405" i="1" l="1"/>
  <c r="B2405" i="1"/>
  <c r="A2406" i="1"/>
  <c r="A2407" i="1" l="1"/>
  <c r="D2406" i="1"/>
  <c r="B2406" i="1"/>
  <c r="A2408" i="1" l="1"/>
  <c r="D2407" i="1"/>
  <c r="B2407" i="1"/>
  <c r="B2408" i="1" l="1"/>
  <c r="A2409" i="1"/>
  <c r="D2408" i="1"/>
  <c r="A2410" i="1" l="1"/>
  <c r="D2409" i="1"/>
  <c r="B2409" i="1"/>
  <c r="D2410" i="1" l="1"/>
  <c r="B2410" i="1"/>
  <c r="A2411" i="1"/>
  <c r="A2412" i="1" l="1"/>
  <c r="D2411" i="1"/>
  <c r="B2411" i="1"/>
  <c r="A2413" i="1" l="1"/>
  <c r="D2412" i="1"/>
  <c r="B2412" i="1"/>
  <c r="D2413" i="1" l="1"/>
  <c r="B2413" i="1"/>
  <c r="A2414" i="1"/>
  <c r="A2415" i="1" l="1"/>
  <c r="D2414" i="1"/>
  <c r="B2414" i="1"/>
  <c r="A2416" i="1" l="1"/>
  <c r="D2415" i="1"/>
  <c r="B2415" i="1"/>
  <c r="B2416" i="1" l="1"/>
  <c r="A2417" i="1"/>
  <c r="D2416" i="1"/>
  <c r="A2418" i="1" l="1"/>
  <c r="D2417" i="1"/>
  <c r="B2417" i="1"/>
  <c r="D2418" i="1" l="1"/>
  <c r="B2418" i="1"/>
  <c r="A2419" i="1"/>
  <c r="A2420" i="1" l="1"/>
  <c r="D2419" i="1"/>
  <c r="B2419" i="1"/>
  <c r="A2421" i="1" l="1"/>
  <c r="D2420" i="1"/>
  <c r="B2420" i="1"/>
  <c r="D2421" i="1" l="1"/>
  <c r="B2421" i="1"/>
  <c r="A2422" i="1"/>
  <c r="A2423" i="1" l="1"/>
  <c r="D2422" i="1"/>
  <c r="B2422" i="1"/>
  <c r="A2424" i="1" l="1"/>
  <c r="D2423" i="1"/>
  <c r="B2423" i="1"/>
  <c r="B2424" i="1" l="1"/>
  <c r="A2425" i="1"/>
  <c r="D2424" i="1"/>
  <c r="A2426" i="1" l="1"/>
  <c r="D2425" i="1"/>
  <c r="B2425" i="1"/>
  <c r="D2426" i="1" l="1"/>
  <c r="B2426" i="1"/>
</calcChain>
</file>

<file path=xl/sharedStrings.xml><?xml version="1.0" encoding="utf-8"?>
<sst xmlns="http://schemas.openxmlformats.org/spreadsheetml/2006/main" count="16916" uniqueCount="843">
  <si>
    <t>SEM</t>
  </si>
  <si>
    <t>MES</t>
  </si>
  <si>
    <t>AÑO</t>
  </si>
  <si>
    <t>ACUM</t>
  </si>
  <si>
    <t>CONDUCTOR</t>
  </si>
  <si>
    <t>TIPO</t>
  </si>
  <si>
    <t>AGRUPADOR</t>
  </si>
  <si>
    <t>CONCEPTO</t>
  </si>
  <si>
    <t>LLAVE</t>
  </si>
  <si>
    <t>MARCA</t>
  </si>
  <si>
    <t>MODELO</t>
  </si>
  <si>
    <t>COLOR</t>
  </si>
  <si>
    <t>SOCIO</t>
  </si>
  <si>
    <t>PLATAFORMA</t>
  </si>
  <si>
    <t>CUENTA</t>
  </si>
  <si>
    <t>GANANCIAS</t>
  </si>
  <si>
    <t>FIANZA</t>
  </si>
  <si>
    <t>SIN CONDUCTOR</t>
  </si>
  <si>
    <t>GASTO</t>
  </si>
  <si>
    <t>ADEUDOS</t>
  </si>
  <si>
    <t>Pago de adeudo anterior</t>
  </si>
  <si>
    <t>-</t>
  </si>
  <si>
    <t/>
  </si>
  <si>
    <t>TRASLADO</t>
  </si>
  <si>
    <t>Transporte</t>
  </si>
  <si>
    <t>SALDO</t>
  </si>
  <si>
    <t>Saldo gps</t>
  </si>
  <si>
    <t>PAPELERÍA</t>
  </si>
  <si>
    <t>Papeleria</t>
  </si>
  <si>
    <t>COMBUSTIBLE</t>
  </si>
  <si>
    <t>Facturas de gasolina</t>
  </si>
  <si>
    <t>OFICINA UBER</t>
  </si>
  <si>
    <t>SUSPENSIÓN</t>
  </si>
  <si>
    <t>Amortiguadores</t>
  </si>
  <si>
    <t>AVEO|2018|ROJO|R51BKD</t>
  </si>
  <si>
    <t>U64</t>
  </si>
  <si>
    <t>suspensión</t>
  </si>
  <si>
    <t>BEAT|2020|GRIS|NFN014B</t>
  </si>
  <si>
    <t>SERVICIO</t>
  </si>
  <si>
    <t>Cambio de Aceite</t>
  </si>
  <si>
    <t>VERSA|2017|ACERO|X24APU</t>
  </si>
  <si>
    <t>GPS</t>
  </si>
  <si>
    <t>VENTO|2018|AMARILLO|PED1652</t>
  </si>
  <si>
    <t>ASHC</t>
  </si>
  <si>
    <t>Pasajes</t>
  </si>
  <si>
    <t>Filtros de aire</t>
  </si>
  <si>
    <t>MARCH|2020|TURQ|N15BKD</t>
  </si>
  <si>
    <t>Filtros de aceite</t>
  </si>
  <si>
    <t>NEUMÁTICOS</t>
  </si>
  <si>
    <t>2 LLANTAS</t>
  </si>
  <si>
    <t>Garrafa de aceite</t>
  </si>
  <si>
    <t>VENTO|2017|GRIS|MMA672C</t>
  </si>
  <si>
    <t>gasolina</t>
  </si>
  <si>
    <t>LIMPIEZA</t>
  </si>
  <si>
    <t>autolavado</t>
  </si>
  <si>
    <t xml:space="preserve">suspensión </t>
  </si>
  <si>
    <t>caja de suspensión</t>
  </si>
  <si>
    <t>MTTO</t>
  </si>
  <si>
    <t>Soporte de motor</t>
  </si>
  <si>
    <t>AVEO|2019|BLANCO|NBS225A</t>
  </si>
  <si>
    <t>Cambio de aceite y filtros</t>
  </si>
  <si>
    <t>KIA RIO|2017|ROJO|MYE912A</t>
  </si>
  <si>
    <t>MECÁNICO</t>
  </si>
  <si>
    <t>masa y balero doble</t>
  </si>
  <si>
    <t>MANO DE OBRA</t>
  </si>
  <si>
    <t xml:space="preserve">mano de obra </t>
  </si>
  <si>
    <t>Aceite</t>
  </si>
  <si>
    <t>KIA RIO|2020|GRIS|NCK475B</t>
  </si>
  <si>
    <t>GPS reanudación</t>
  </si>
  <si>
    <t>OPERACIÓN</t>
  </si>
  <si>
    <t>Escobas con palo</t>
  </si>
  <si>
    <t>Llanta de refaccion con rin</t>
  </si>
  <si>
    <t>VENTO|2020|GRIS|R66BER</t>
  </si>
  <si>
    <t>VERSA|2023|PLATA|NCT814A</t>
  </si>
  <si>
    <t>Prensa</t>
  </si>
  <si>
    <t>Balatas</t>
  </si>
  <si>
    <t>AVEO|2018|GRIS|X59AWG</t>
  </si>
  <si>
    <t>VERIFICACIÓN</t>
  </si>
  <si>
    <t xml:space="preserve">Verificación </t>
  </si>
  <si>
    <t>AVEO|2021|OCRE|NEB156A</t>
  </si>
  <si>
    <t>TENENCIA</t>
  </si>
  <si>
    <t>Tenencia</t>
  </si>
  <si>
    <t>AVEO|2019|PLATA|NEL860A</t>
  </si>
  <si>
    <t>MULTA</t>
  </si>
  <si>
    <t>Multa</t>
  </si>
  <si>
    <t>Hojas de opalina</t>
  </si>
  <si>
    <t>Transmision</t>
  </si>
  <si>
    <t>ELÉCTRICO</t>
  </si>
  <si>
    <t>Eléctrico</t>
  </si>
  <si>
    <t>Gasolina</t>
  </si>
  <si>
    <t>Chapa OFICINA UBER</t>
  </si>
  <si>
    <t xml:space="preserve">Mano de obra </t>
  </si>
  <si>
    <t>REFACCIONES</t>
  </si>
  <si>
    <t>Bomba de gasolina</t>
  </si>
  <si>
    <t>Suspensión</t>
  </si>
  <si>
    <t>Tornillos</t>
  </si>
  <si>
    <t>Colocación de balero y prensa</t>
  </si>
  <si>
    <t>Reparación de suspensión</t>
  </si>
  <si>
    <t>Gasolina 2 Semanas</t>
  </si>
  <si>
    <t>Tapa del tanque de gasolina</t>
  </si>
  <si>
    <t>Bomba de combustible</t>
  </si>
  <si>
    <t>BOMBA DE GASOLINA MO</t>
  </si>
  <si>
    <t>AVEO|2022|AZUL|MUF515A</t>
  </si>
  <si>
    <t>ACEITE BUJIAS Y 2 FILTROS</t>
  </si>
  <si>
    <t>Carbuclin</t>
  </si>
  <si>
    <t xml:space="preserve">AFINACIÓN </t>
  </si>
  <si>
    <t>CARBURACIÓN LUCES Y MO</t>
  </si>
  <si>
    <t>PAGO A CONDUCTORES</t>
  </si>
  <si>
    <t>Gasolina (se le entrego a Rosa)</t>
  </si>
  <si>
    <t>Saldo para su chip</t>
  </si>
  <si>
    <t>Gasolina (Se le entrego a Mario como reposición)</t>
  </si>
  <si>
    <t>Sellado de llantas</t>
  </si>
  <si>
    <t>KIA RIO|2020|ROJO|MFP751C</t>
  </si>
  <si>
    <t>GASOLINA</t>
  </si>
  <si>
    <t>TRANSFERENCIA BBVA</t>
  </si>
  <si>
    <t>PLACAS</t>
  </si>
  <si>
    <t>AVEO|2022|AZUL|NZY685B</t>
  </si>
  <si>
    <t>1  LLAVE</t>
  </si>
  <si>
    <t>ADELANTO DE NÓM</t>
  </si>
  <si>
    <t>ADEUDO KAAR</t>
  </si>
  <si>
    <t>BALATAS</t>
  </si>
  <si>
    <t>Reparación de alternador, baleros, carbones</t>
  </si>
  <si>
    <t xml:space="preserve">Gasolina </t>
  </si>
  <si>
    <t>4 rondanas y 2 tornillos</t>
  </si>
  <si>
    <t>Torniñllos (Jesus)</t>
  </si>
  <si>
    <t>Gasolina (Carro Nico)</t>
  </si>
  <si>
    <t>SUSPENSIÓN Y CAMBIO DE 4 AMORTIG</t>
  </si>
  <si>
    <t>CAMBIO DE BALATAS Y ALTERNADOR</t>
  </si>
  <si>
    <t>SALDO DE FIANZA DEVUELTA</t>
  </si>
  <si>
    <t>SOPORTES  Y REFACCIONES</t>
  </si>
  <si>
    <t>LLANTAS MO COLOCACIÓN</t>
  </si>
  <si>
    <t>AVEO|2024|GRIS|LRL009C</t>
  </si>
  <si>
    <t>COMPRA DE LLANTAS 2</t>
  </si>
  <si>
    <t>RETIRO SIN TARJETA A MEMO</t>
  </si>
  <si>
    <t>PAGO DE MULTAS</t>
  </si>
  <si>
    <t>INSTALACIÓN DE GPS</t>
  </si>
  <si>
    <t>Transferencias a jesus Aurelio</t>
  </si>
  <si>
    <t>BATERÍA</t>
  </si>
  <si>
    <t>BATERIA</t>
  </si>
  <si>
    <t>SWIFT|2017|ROJO|X89ALV</t>
  </si>
  <si>
    <t>BYER</t>
  </si>
  <si>
    <t>CLUTCH</t>
  </si>
  <si>
    <t>HOJALATERÍA</t>
  </si>
  <si>
    <t>HOJALATERIA</t>
  </si>
  <si>
    <t>VERSA|2020|ROJO|NLP172B</t>
  </si>
  <si>
    <t>ADELANTO DE CUENTA</t>
  </si>
  <si>
    <t>KIA RIO|2023|ROJO|H99BLC</t>
  </si>
  <si>
    <t>OTROS</t>
  </si>
  <si>
    <t>REFACCIONARIA FONSECA</t>
  </si>
  <si>
    <t xml:space="preserve">GASOLINA </t>
  </si>
  <si>
    <t>PENDIENTE TENENCIA</t>
  </si>
  <si>
    <t>REPARACUIÓN CREISTAL</t>
  </si>
  <si>
    <t>TUBOS FRENOS</t>
  </si>
  <si>
    <t>FRENOS</t>
  </si>
  <si>
    <t>LITRO DE LIQ FRENOS</t>
  </si>
  <si>
    <t>BALATAS DELANTERAS</t>
  </si>
  <si>
    <t>GASOLINA OPERACIONES</t>
  </si>
  <si>
    <t>PASAJES  SERGIO VISITA</t>
  </si>
  <si>
    <t>GESTORÍA</t>
  </si>
  <si>
    <t>GESTORIA</t>
  </si>
  <si>
    <t>SEGUROS</t>
  </si>
  <si>
    <t>SEGURO</t>
  </si>
  <si>
    <t>HYUNDAI|2022|PLATA|D40BKD</t>
  </si>
  <si>
    <t xml:space="preserve">2 LLANTAS 175 65 RIN 14 </t>
  </si>
  <si>
    <t>2 LLANTAS 185 60 RIN 15</t>
  </si>
  <si>
    <t>VIELETA DERECHA</t>
  </si>
  <si>
    <t>TERMINAL</t>
  </si>
  <si>
    <t>COMPUTADORA</t>
  </si>
  <si>
    <t>1 LLANTAS 185 60 RIN 15</t>
  </si>
  <si>
    <t>SERVIO  COMPLETO</t>
  </si>
  <si>
    <t>SOPORTES DE MOTOR</t>
  </si>
  <si>
    <t>REVISION ELECTRICO KIA RIO ROJO</t>
  </si>
  <si>
    <t>SUSPENSIONES</t>
  </si>
  <si>
    <t xml:space="preserve">REVISION ELECTRICO </t>
  </si>
  <si>
    <t xml:space="preserve">SE LE PUSIERON LLANTAS </t>
  </si>
  <si>
    <t>PASAJE</t>
  </si>
  <si>
    <t>ACCESORIOS</t>
  </si>
  <si>
    <t>FOCO Y ABRAZADERA PLAFONES</t>
  </si>
  <si>
    <t>VERSA|2020|BLANCO|A35BHD</t>
  </si>
  <si>
    <t>PASAJES  SERGIO</t>
  </si>
  <si>
    <t>CODIFICACCIÓN DE TABLERO, COMPUTADORA Y LLAVE, MANO DE OBRA</t>
  </si>
  <si>
    <t>BALATAS Y VALERO</t>
  </si>
  <si>
    <t>AVEO|2020|AZUL|D28BET</t>
  </si>
  <si>
    <t>2 LLANTAS 195/65/rin 15</t>
  </si>
  <si>
    <t>CAMBIO DE VALERO</t>
  </si>
  <si>
    <t>MARCH|2021|ROJO|NZU5163</t>
  </si>
  <si>
    <t xml:space="preserve">2 LLANTAS </t>
  </si>
  <si>
    <t>ADELANTO A IVAN MOGUEL</t>
  </si>
  <si>
    <t>FACTURACIÓN DE GASOLINA</t>
  </si>
  <si>
    <t>RADIADOR Y DEPOSITO DE ANTICONGELANTE</t>
  </si>
  <si>
    <t>MANGUERAS Y ABRAZADERA 1 METRO</t>
  </si>
  <si>
    <t>CUTIN</t>
  </si>
  <si>
    <t>CANVA</t>
  </si>
  <si>
    <t>FILTRO DE ACEITE</t>
  </si>
  <si>
    <t>FILTRO DE AIRE</t>
  </si>
  <si>
    <t>ACEITE</t>
  </si>
  <si>
    <t>SOLDADURA DE CAJA DE DIRECCION</t>
  </si>
  <si>
    <t>TORNILLOS DE PUENTE</t>
  </si>
  <si>
    <t>ABRAZADERA DE CAJA DE DIRECCION</t>
  </si>
  <si>
    <t>CUCHARITAS</t>
  </si>
  <si>
    <t xml:space="preserve">RADIADOR </t>
  </si>
  <si>
    <t>HORQUILLA</t>
  </si>
  <si>
    <t>FOCO PARA FARO</t>
  </si>
  <si>
    <t>NOTAS DE REMISION</t>
  </si>
  <si>
    <t>GRASA, LIQUIDO DE FRENOS, ABRAZADERA</t>
  </si>
  <si>
    <t>UBER (PASAJES NICO)</t>
  </si>
  <si>
    <t>ETIQUETAS</t>
  </si>
  <si>
    <t xml:space="preserve">PUENTE </t>
  </si>
  <si>
    <t>TOLBA</t>
  </si>
  <si>
    <t>FAROS</t>
  </si>
  <si>
    <t>RONDANAS</t>
  </si>
  <si>
    <t xml:space="preserve">TORNILLOS  </t>
  </si>
  <si>
    <t>DESARMADORES SET</t>
  </si>
  <si>
    <t>SEM 14 CÉSAR PIÑA</t>
  </si>
  <si>
    <t>VENTO|2019|BLANCO|LUE965C</t>
  </si>
  <si>
    <t>JGD</t>
  </si>
  <si>
    <t>TARJETA DE CIRCULACIÓN</t>
  </si>
  <si>
    <t>HOJALATERO</t>
  </si>
  <si>
    <t>GESTOR DE PLACAS</t>
  </si>
  <si>
    <t>SOPORTE DE MOTOR</t>
  </si>
  <si>
    <t>SOPORTE DE MOTOR TRASERO</t>
  </si>
  <si>
    <t>EXHIBIDORES DE JOYERÍA</t>
  </si>
  <si>
    <t>GESTOR VERIFICACION</t>
  </si>
  <si>
    <t>RECTIFICACION DE DISCOS DELANTEROS</t>
  </si>
  <si>
    <t>BALATAS DELANTERAS Y TRASERAS</t>
  </si>
  <si>
    <t>MULTAS 2</t>
  </si>
  <si>
    <t xml:space="preserve">MULTAS 1 </t>
  </si>
  <si>
    <t>BALATAS DELANTERAS CERAMIC</t>
  </si>
  <si>
    <t>REVISION ELECTRICA</t>
  </si>
  <si>
    <t>ALINEACION Y BALANCEO</t>
  </si>
  <si>
    <t>BROCA Y TORNILLOS</t>
  </si>
  <si>
    <t>FACTURACION DE GASOLINA</t>
  </si>
  <si>
    <t>ROSA PENDIENTE</t>
  </si>
  <si>
    <t>AUTOLAVADO</t>
  </si>
  <si>
    <t>CACAHUATES</t>
  </si>
  <si>
    <t>BALEROS</t>
  </si>
  <si>
    <t>UBER DE HOJALATERO A CONTRERAS</t>
  </si>
  <si>
    <t>PARQUIMETRO</t>
  </si>
  <si>
    <t>ESTACIONAMIENTO</t>
  </si>
  <si>
    <t>REPARACION DE LLAVE</t>
  </si>
  <si>
    <t>PLUMAS</t>
  </si>
  <si>
    <t>ESCANEO</t>
  </si>
  <si>
    <t>LLANTA SECCIONADA</t>
  </si>
  <si>
    <t>CLOUCH</t>
  </si>
  <si>
    <t>FILTROS DE AIRE</t>
  </si>
  <si>
    <t>TORRES DE SOPORTE</t>
  </si>
  <si>
    <t>GPS ANUALIDAD DE FLOTILLA</t>
  </si>
  <si>
    <t>BICARBONATO</t>
  </si>
  <si>
    <t>GASOLINA RETO</t>
  </si>
  <si>
    <t>TALACHA</t>
  </si>
  <si>
    <t>UBER DE HOJALATERO A CSAN JERONIMO</t>
  </si>
  <si>
    <t>CORRALÓN</t>
  </si>
  <si>
    <t>ARRASTRE DE GRUA PARA CORRALON</t>
  </si>
  <si>
    <t>DEPOSITO DEL CORRALON</t>
  </si>
  <si>
    <t>GASOLINA DE GUILLERMO</t>
  </si>
  <si>
    <t>30 FOCOS</t>
  </si>
  <si>
    <t>1 FOVO DE NIEBLA</t>
  </si>
  <si>
    <t>LIMPIA PARABRISAS</t>
  </si>
  <si>
    <t>FILTROS DE ACEITE</t>
  </si>
  <si>
    <t>LIMPIADOR DE CARBURADOR</t>
  </si>
  <si>
    <t>BUJIAS</t>
  </si>
  <si>
    <t>HORQUILLA IZQUIERDA</t>
  </si>
  <si>
    <t>GALON DE ACEITE 5/30 HELLA</t>
  </si>
  <si>
    <t>ANTICONGELANTE HELLA ROSA</t>
  </si>
  <si>
    <t>ANTICONGELANTE QUAKER</t>
  </si>
  <si>
    <t>LIQUIDO DE FRENOS</t>
  </si>
  <si>
    <t>GASOLINA DE RETO JAIME</t>
  </si>
  <si>
    <t>GASOLINA DE RETO IVAN</t>
  </si>
  <si>
    <t>BATERIA CHECKER</t>
  </si>
  <si>
    <t>PRESUPUESTO</t>
  </si>
  <si>
    <t>BALATAS CANABRAKE</t>
  </si>
  <si>
    <t>MULTA DE VERIFICACION</t>
  </si>
  <si>
    <t>REPARACION DE AIRE ACONDICIONADO</t>
  </si>
  <si>
    <t>4 BUJIAS PLATINO</t>
  </si>
  <si>
    <t>GALON DE ACEITE SINTETICO</t>
  </si>
  <si>
    <t>FILTRO DE GASOLINA</t>
  </si>
  <si>
    <t>2 ACEITES PARA CAJA</t>
  </si>
  <si>
    <t>1 ACEITE PAR ACAJA</t>
  </si>
  <si>
    <t>VENTILADOR</t>
  </si>
  <si>
    <t>BALERO DOBLE</t>
  </si>
  <si>
    <t>COLOCACION DE BALERO DOBLE</t>
  </si>
  <si>
    <t>MANO DE OBRA DEL SENSOR</t>
  </si>
  <si>
    <t>SENSOR</t>
  </si>
  <si>
    <t>ARREGLO DEL VENTILADOR</t>
  </si>
  <si>
    <t>BOBINA (2)</t>
  </si>
  <si>
    <t>BALATAS TRASERAS</t>
  </si>
  <si>
    <t>BRINCO DE VERIFICACION</t>
  </si>
  <si>
    <t>KIT DE FUSIBLES</t>
  </si>
  <si>
    <t>FOCOS</t>
  </si>
  <si>
    <t>BALERO</t>
  </si>
  <si>
    <t>MANO DE OBRA DE BALERO</t>
  </si>
  <si>
    <t>LLAVE DE CARRO</t>
  </si>
  <si>
    <t>TALACHA LLANTAS</t>
  </si>
  <si>
    <t>CINCHOS</t>
  </si>
  <si>
    <t>BOMBA DE GASOLINA</t>
  </si>
  <si>
    <t>LLANTA 185-55 RIN 16</t>
  </si>
  <si>
    <t>GASOLINA DE VERIFICACIÓN</t>
  </si>
  <si>
    <t xml:space="preserve">operación general </t>
  </si>
  <si>
    <t>Navajas</t>
  </si>
  <si>
    <t xml:space="preserve">Afinacion  aceite gelar </t>
  </si>
  <si>
    <t>Gasolina GPC</t>
  </si>
  <si>
    <t xml:space="preserve">2 manjeras anti congelante  </t>
  </si>
  <si>
    <t xml:space="preserve"> Afinacion 4 bujias filtro de aceite y filtro de aire </t>
  </si>
  <si>
    <t>PENDIENTES</t>
  </si>
  <si>
    <t>LLANTAS  (2)</t>
  </si>
  <si>
    <t>LLANTAS (2)</t>
  </si>
  <si>
    <t>NAVAJAS</t>
  </si>
  <si>
    <t>Tapetes</t>
  </si>
  <si>
    <t>poliza de seguro</t>
  </si>
  <si>
    <t>ADEUDO DE NICO</t>
  </si>
  <si>
    <t>GALON DE ACEITE</t>
  </si>
  <si>
    <t xml:space="preserve">4 BUJIAS   </t>
  </si>
  <si>
    <t>2 ANTICONGELANTE ROSA</t>
  </si>
  <si>
    <t>MARCH|2019|TURQ|MAY737C</t>
  </si>
  <si>
    <t>ADEUDO ROSA</t>
  </si>
  <si>
    <t>CAMBIO CHIP GPS</t>
  </si>
  <si>
    <t>FARO IZQUIERDO</t>
  </si>
  <si>
    <t>JULIO GASOLINA</t>
  </si>
  <si>
    <t>VIÁTICOS</t>
  </si>
  <si>
    <t>JULIO CASETAS</t>
  </si>
  <si>
    <t>GASOLINA GPS</t>
  </si>
  <si>
    <t xml:space="preserve">GPS CHIPS </t>
  </si>
  <si>
    <t>ORQUILLAS</t>
  </si>
  <si>
    <t>RAUL CORTE PRESTAMO</t>
  </si>
  <si>
    <t>IVAN PRESTAMO</t>
  </si>
  <si>
    <t>CAFÉS</t>
  </si>
  <si>
    <t>GASOLINA VERSA GPS</t>
  </si>
  <si>
    <t>ADMINISTRACIÓN</t>
  </si>
  <si>
    <t>MICA</t>
  </si>
  <si>
    <t>CALCULADORA</t>
  </si>
  <si>
    <t>GARRAFON DE AGUA</t>
  </si>
  <si>
    <t>FACTURAS DE GASOLINA</t>
  </si>
  <si>
    <t>2 ENGOMADOS</t>
  </si>
  <si>
    <t>BEAT|2019|OCRE|MAY730C</t>
  </si>
  <si>
    <t>DEDUCIBLE CRISTAL</t>
  </si>
  <si>
    <t>ELECTRICO</t>
  </si>
  <si>
    <t>FUNDAS</t>
  </si>
  <si>
    <t>GOMAS</t>
  </si>
  <si>
    <t>LIMPIADORES</t>
  </si>
  <si>
    <t>DERECHOS</t>
  </si>
  <si>
    <t>PERMISO</t>
  </si>
  <si>
    <t>GOMAS DE BASE AMORTIGUADOR</t>
  </si>
  <si>
    <t>MANO DE OBRA DE LAS GOMAS DE AMOR+</t>
  </si>
  <si>
    <t>VERIFICACION</t>
  </si>
  <si>
    <t>TERMOSTATO</t>
  </si>
  <si>
    <t>TORNILLOS PARA PLACAS</t>
  </si>
  <si>
    <t>HOJALATERO A CONTRERAS</t>
  </si>
  <si>
    <t>BOLSA DE AIRE</t>
  </si>
  <si>
    <t>PILA</t>
  </si>
  <si>
    <t>RELAY CAMIONETA</t>
  </si>
  <si>
    <t>SOPORTES</t>
  </si>
  <si>
    <t>CLOTCH</t>
  </si>
  <si>
    <t>OPERATIVO</t>
  </si>
  <si>
    <t>RELAY</t>
  </si>
  <si>
    <t>3 SOPORTES DE MOTOR</t>
  </si>
  <si>
    <t>LAVADO EXTERIOR</t>
  </si>
  <si>
    <t>KIT HERRAMIENTAS</t>
  </si>
  <si>
    <t xml:space="preserve">CUERPO DE ACELERACIÓN </t>
  </si>
  <si>
    <t>VOLANTE, CINTURONES Y MOLDURA</t>
  </si>
  <si>
    <t>CANDADO BODEGA TALLER</t>
  </si>
  <si>
    <t>LIMPIAPARABRISAS</t>
  </si>
  <si>
    <t>TORNILLO ESTABILIZADOR</t>
  </si>
  <si>
    <t>KARBUCLIN BODEGA TALLER</t>
  </si>
  <si>
    <t>LLANTAS</t>
  </si>
  <si>
    <t>TERMINAL DE DIRRECCION</t>
  </si>
  <si>
    <t>PAGO VARIOS JGD</t>
  </si>
  <si>
    <t>VENTO|2019|BLANCO|MGC410C</t>
  </si>
  <si>
    <t>ARMADURA DE CARBON</t>
  </si>
  <si>
    <t xml:space="preserve">TRANSMISIÓN </t>
  </si>
  <si>
    <t>???</t>
  </si>
  <si>
    <t>KIA RIO|2020|AZUL|LUE960C</t>
  </si>
  <si>
    <t>TOMA DE AGUA</t>
  </si>
  <si>
    <t xml:space="preserve">VIELETA </t>
  </si>
  <si>
    <t>FLECHA + COTRL LUZ</t>
  </si>
  <si>
    <t>MARCHA</t>
  </si>
  <si>
    <t>BALATA DELANTERA</t>
  </si>
  <si>
    <t>MOTAJE DE 2 LLANTAS</t>
  </si>
  <si>
    <t>YOSHUA JARETH VALDEZ</t>
  </si>
  <si>
    <t>CAMBIO DE BALERO</t>
  </si>
  <si>
    <t>ALINEACIÓN  Y BALANCEO DE LLANTAS</t>
  </si>
  <si>
    <t>MONTAJE Y DESMONTAJE DE LLANTAS</t>
  </si>
  <si>
    <t>TAXI PARA IR A CUARTEL</t>
  </si>
  <si>
    <t>PERMISO DE PLACAS</t>
  </si>
  <si>
    <t>VENTO|2020|GRIS|MGC414C</t>
  </si>
  <si>
    <t>MARCH|2022|BLANCO|MGC417C</t>
  </si>
  <si>
    <t>FOCOS PARA FARO H11</t>
  </si>
  <si>
    <t>FUSIBLES ELECTRICOS</t>
  </si>
  <si>
    <t>MANO DE OBRA POR REVISAR TABLERO</t>
  </si>
  <si>
    <t>GASOLINA PARA IR AL HOJALATERO</t>
  </si>
  <si>
    <t>GASOLINA PARA IR A LA VISITA</t>
  </si>
  <si>
    <t>PAGO DE BAJA DE PLACAS</t>
  </si>
  <si>
    <t>PAGO DE ADEUDO DE TENENCIA</t>
  </si>
  <si>
    <t>PAGO DE VERIFICACIÓN</t>
  </si>
  <si>
    <t>JUNTA DE DISTRIBUCIÓN</t>
  </si>
  <si>
    <t>SILICON GRIS LOCTITE</t>
  </si>
  <si>
    <t>GARRAFA DE 5L HELLA</t>
  </si>
  <si>
    <t>FOLTRO DE ACEITE</t>
  </si>
  <si>
    <t>AFLOJA TODO ECOM</t>
  </si>
  <si>
    <t>SOPORTE DE  MOTOR DERECHO</t>
  </si>
  <si>
    <t>ARMANDO MARTINEZ VELAZQUEZ</t>
  </si>
  <si>
    <t>REFACCIÓN LLAVE DE CRUZ</t>
  </si>
  <si>
    <t>CAMBIO DE LLANTA</t>
  </si>
  <si>
    <t>RICARDO OMAR CAMACHO ZÚÑIGA</t>
  </si>
  <si>
    <t>OSCAR BLANCAS NORIEGA</t>
  </si>
  <si>
    <t>LUIS ANGEL ALCANTARA</t>
  </si>
  <si>
    <t>TALACHA DE LLANTA IZQ DELANTERA</t>
  </si>
  <si>
    <t>GARRAFA DE ACEITE</t>
  </si>
  <si>
    <t>2 LITROS DE DISEL</t>
  </si>
  <si>
    <t>SALDO PARA ALEXIS</t>
  </si>
  <si>
    <t>GRAPAS PARA ALFOMBRA</t>
  </si>
  <si>
    <t>GOMA DE BOMBA DE GASOLINA</t>
  </si>
  <si>
    <t>JAIME VALENCIA</t>
  </si>
  <si>
    <t>AUTOLAVADO COMPLETO</t>
  </si>
  <si>
    <t>FOCOS EXTERIORES</t>
  </si>
  <si>
    <t>REPARACIÓN DE MARCHA</t>
  </si>
  <si>
    <t>GASOLINA PARA IR AL ELECTICO</t>
  </si>
  <si>
    <t xml:space="preserve">RUBÍ ROBLES </t>
  </si>
  <si>
    <t>VICTOR HUGO RUIZ CASTILLO</t>
  </si>
  <si>
    <t>LLANTAS DELANTERAS</t>
  </si>
  <si>
    <t>FILTRO DE AIRE NG</t>
  </si>
  <si>
    <t xml:space="preserve">GALON DE ANTICONGELANTE </t>
  </si>
  <si>
    <t>BOBINA GENERAL NGK</t>
  </si>
  <si>
    <t>FORMATO DE PAGO DE PLACAS</t>
  </si>
  <si>
    <t>ABRAZADERAS DE VIELETA</t>
  </si>
  <si>
    <t>GRASA PARA VIELETAS</t>
  </si>
  <si>
    <t>GALON DE ACEITE MOBILE</t>
  </si>
  <si>
    <t>FILTRO PARA CAMBIO DE AIRE</t>
  </si>
  <si>
    <t>REFERENDO DE LA TARJETA DE CIRCULACIÓN</t>
  </si>
  <si>
    <t>ELECTRICO PARA REVISION DE FUSIBLES</t>
  </si>
  <si>
    <t>AMORTIGUADORES R Y L</t>
  </si>
  <si>
    <t>HORQUILLAS DE SUSPENCIÓN R Y L</t>
  </si>
  <si>
    <t>GASOLINA COMPRAS</t>
  </si>
  <si>
    <t>GASOLINA PARA ARRANQUE</t>
  </si>
  <si>
    <t>BATERIA AMERICA</t>
  </si>
  <si>
    <t>JUAN DIEGO GONZALEZ PEREZ</t>
  </si>
  <si>
    <t>PAGO DE SEGURO AXA</t>
  </si>
  <si>
    <t>FERNANDO FUENTES OTERO</t>
  </si>
  <si>
    <t>PAGO DE SEGURO GNP</t>
  </si>
  <si>
    <t>GASOLINA PARA VERIFICAR</t>
  </si>
  <si>
    <t>SOLDADURA DE PUENTE</t>
  </si>
  <si>
    <t>AVEO|2021|GRIS|D51BHV</t>
  </si>
  <si>
    <t>TAXI PARA USO OPERATIVO</t>
  </si>
  <si>
    <t>GASOLINA PARA EL GPS</t>
  </si>
  <si>
    <t>LIJAS DEL NÚMERO 100</t>
  </si>
  <si>
    <t>HORQUILLAS 2 PIEZAS</t>
  </si>
  <si>
    <t>COMPLEMENTO DE HORQUILLAS</t>
  </si>
  <si>
    <t>VALE DE YAELITA</t>
  </si>
  <si>
    <t>CONECTOR DE INYECTOR AINESS 349</t>
  </si>
  <si>
    <t>NABAJA  1 1/2 PEQUEÑA</t>
  </si>
  <si>
    <t>GASOLINA PARA GPS</t>
  </si>
  <si>
    <t>ALTA Y BAJA DE PLACAS</t>
  </si>
  <si>
    <t xml:space="preserve">SERVICIO DE MODULO </t>
  </si>
  <si>
    <t>BASE DE BATERIA</t>
  </si>
  <si>
    <t>ARMANDO MARTINEZ</t>
  </si>
  <si>
    <t>TALACHA DE DOS LLANTAS</t>
  </si>
  <si>
    <t>VENTA DE GASOLINA + 10%</t>
  </si>
  <si>
    <t>IVAN MOGUEL</t>
  </si>
  <si>
    <t>RAUL FRANCISCO</t>
  </si>
  <si>
    <t>GASOLINA PARA VISITA</t>
  </si>
  <si>
    <t>CAMBIO DE VALVULA</t>
  </si>
  <si>
    <t>ACEITE DE MOTOR</t>
  </si>
  <si>
    <t>SOPORTE DE MOTOR DERECHO</t>
  </si>
  <si>
    <t>SOPORTE DE MOTOR IZQUIERDO</t>
  </si>
  <si>
    <t>GASOLINA PARA MOTO OPERECION</t>
  </si>
  <si>
    <t>TOMA DE AGUA 1,6 BORA</t>
  </si>
  <si>
    <t>BOBINA IZQUIERDA Y DERECHA</t>
  </si>
  <si>
    <t>ANTICONGELANTE ROSA</t>
  </si>
  <si>
    <t>BALERO DOBLE MASA</t>
  </si>
  <si>
    <t>PAGO DE HOJALATERIA CAMIONESTA SUSUKI</t>
  </si>
  <si>
    <t>GASOLINA PARA MOTO OPERATIVA</t>
  </si>
  <si>
    <t>RAUL FRANCISCO VÁZQUEZ CORTE</t>
  </si>
  <si>
    <t>REPARACIÓN DE LLANTA</t>
  </si>
  <si>
    <t>BALERO IZQUIERDO DELANTERO</t>
  </si>
  <si>
    <t>FOCO PARA DIRECCIONAL</t>
  </si>
  <si>
    <t>GABRIEL JIMENEZ</t>
  </si>
  <si>
    <t>TALACHA DE LLANTA DERECHA TRASERA</t>
  </si>
  <si>
    <t>GASOLINA UBER GABRIEL</t>
  </si>
  <si>
    <t>PAGO DE FACTURAS DE GASOLINA</t>
  </si>
  <si>
    <t>DAVID ARTURO GONZALEZ TELLEZ</t>
  </si>
  <si>
    <t>PAGO DE GESTORIA ALTA Y BAJA</t>
  </si>
  <si>
    <t>TOMA DE AGUA VW</t>
  </si>
  <si>
    <t>ADESIVO EN AEROSOL</t>
  </si>
  <si>
    <t>LLANTA 175/70 R 15</t>
  </si>
  <si>
    <t>LLANTA 175/70 R 15 CAMBIO URGENTE DE LLANTA</t>
  </si>
  <si>
    <t>PAGO DE DEDUCIBLE RECUPERACION</t>
  </si>
  <si>
    <t>PAGO DE GESTORIA JG</t>
  </si>
  <si>
    <t>ANGEL ALCANTARA</t>
  </si>
  <si>
    <t>SOLDADURA DEL PEDAL DEL CHLOCH</t>
  </si>
  <si>
    <t>BASURA</t>
  </si>
  <si>
    <t>PAGO DE HOJALATERIA CAMIONETA SUZUKI VECINO</t>
  </si>
  <si>
    <t>GASOLINA PARA MOTO VENTO OP.</t>
  </si>
  <si>
    <t>VENTA DE GASOLINA +10%</t>
  </si>
  <si>
    <t>ADOLFO LOPEZ MARTINEZ</t>
  </si>
  <si>
    <t>BALERO DELANTERO IZQUIERDO</t>
  </si>
  <si>
    <t>TALACHA DE LLANTA TRASERA</t>
  </si>
  <si>
    <t>VERSA|2021|BLANCO|MEE228C</t>
  </si>
  <si>
    <t>RUBEN BERMEJO</t>
  </si>
  <si>
    <t>ADALBERTO BELLO NAVARRO</t>
  </si>
  <si>
    <t>PAGO DE GASOLINA MOTO</t>
  </si>
  <si>
    <t>LLANTA 175/65 R14</t>
  </si>
  <si>
    <t>LLANTA 185/65 R15</t>
  </si>
  <si>
    <t>LLANTA 175/65 R15</t>
  </si>
  <si>
    <t>MASA DE BALERO IZQUIERDO</t>
  </si>
  <si>
    <t>HORQUILLA IZQUIERDA DELANTERA</t>
  </si>
  <si>
    <t>BALERO DOBLE IZQUIERDO DELANTERDO</t>
  </si>
  <si>
    <t>MANO DE OBRA CAMBIO DE BALERO</t>
  </si>
  <si>
    <t>GOMAS DE PISTON CALPIS TRASERO DERECHO</t>
  </si>
  <si>
    <t>TALACHA DE LLANTA TRASERA Y REFACCION</t>
  </si>
  <si>
    <t>AMORTIGUADOR IZQUIERDO</t>
  </si>
  <si>
    <t>20 LITROS DE GASOLINA</t>
  </si>
  <si>
    <t>AVEO|2023|GRIS|MLC126A</t>
  </si>
  <si>
    <t>JOSE LUIS HERNANDEZ MEJIA</t>
  </si>
  <si>
    <t>JOSÉ AGUILAR SOTO</t>
  </si>
  <si>
    <t>ELECTRICO REVISION</t>
  </si>
  <si>
    <t xml:space="preserve">VERIFICACIÓN </t>
  </si>
  <si>
    <t>ELECTRICO CARGA DE BATERIA</t>
  </si>
  <si>
    <t>FOCOS PARA DIRECCIONAL</t>
  </si>
  <si>
    <t>MANGUERA DE VACIO</t>
  </si>
  <si>
    <t>JESUS AURELIO CASTILLO</t>
  </si>
  <si>
    <t>DOS TALACHAS</t>
  </si>
  <si>
    <t>FOCOS AMBAR</t>
  </si>
  <si>
    <t>ALTERNADOR</t>
  </si>
  <si>
    <t>PROPINA DE REFACCIONARIA</t>
  </si>
  <si>
    <t>PAGO DE FACTURAS</t>
  </si>
  <si>
    <t>PAGO DE POLICIA MUF</t>
  </si>
  <si>
    <t>CAFÉ PARA OPERACIÓN</t>
  </si>
  <si>
    <t>JOSE ALFREDO MUÑOZ</t>
  </si>
  <si>
    <t>MASA DE BALERO</t>
  </si>
  <si>
    <t>BALERO DOBLE IZQUIERDO</t>
  </si>
  <si>
    <t>GASOLINA APOYO</t>
  </si>
  <si>
    <t>PRENSA DE BALERO</t>
  </si>
  <si>
    <t>BRINCO POR NO ENCENDER</t>
  </si>
  <si>
    <t>GASOLINA DE ASISTENCIA</t>
  </si>
  <si>
    <t>DAVID MARTINEZ</t>
  </si>
  <si>
    <t>JULIO RICARDO GONZALEZ GARCIA</t>
  </si>
  <si>
    <t>DEDUCIBLE DE PARABRISAS</t>
  </si>
  <si>
    <t>REVISION DE BATERIA</t>
  </si>
  <si>
    <t>RICARDO HERNÁNDEZ</t>
  </si>
  <si>
    <t>ABRAZADERAS DE MANGERA ANTICONGELANTE</t>
  </si>
  <si>
    <t>CARBONES PARA ALTERNADOR</t>
  </si>
  <si>
    <t>GABRIEL LUNA</t>
  </si>
  <si>
    <t>LLAVE DE CRUZ</t>
  </si>
  <si>
    <t>RETROVISOR</t>
  </si>
  <si>
    <t>CAUTIN PARA BATERIAS</t>
  </si>
  <si>
    <t>CLOUCH COMPLETO</t>
  </si>
  <si>
    <t xml:space="preserve">2 PLUMAS 16¨ </t>
  </si>
  <si>
    <t>PENSION DE CORRALON</t>
  </si>
  <si>
    <t>AVEO|2022|VINO|P62BHW</t>
  </si>
  <si>
    <t>GASOLINA CORRALON</t>
  </si>
  <si>
    <t>GASOLINA MODULO</t>
  </si>
  <si>
    <t>FOCO DE DIRECCIONAL</t>
  </si>
  <si>
    <t>COPIAS MP</t>
  </si>
  <si>
    <t>GASOLINA DE APOYO MP</t>
  </si>
  <si>
    <t>MODULO</t>
  </si>
  <si>
    <t>REPARACIÓN DE DIRECCIÓN</t>
  </si>
  <si>
    <t xml:space="preserve">GASOLINA PARA RECOGER COCHE </t>
  </si>
  <si>
    <t>PILA PARA CONTROL</t>
  </si>
  <si>
    <t>CABLES PARA CORRIENTE</t>
  </si>
  <si>
    <t>BOBINAS (2)</t>
  </si>
  <si>
    <t>SET DE BUJES</t>
  </si>
  <si>
    <t>AVEO|2023|VINO|R22BMR</t>
  </si>
  <si>
    <t>ACEITE PARA TRANSMISION</t>
  </si>
  <si>
    <t>COLLARIN</t>
  </si>
  <si>
    <t>JUAN CARLOS MEDINA LIMON</t>
  </si>
  <si>
    <t>COLA LOKA</t>
  </si>
  <si>
    <t>LIMONES</t>
  </si>
  <si>
    <t>FOCOS PARA FARO</t>
  </si>
  <si>
    <t>HORQUILLAS (2)</t>
  </si>
  <si>
    <t>FACTURAS SEP JAIME</t>
  </si>
  <si>
    <t>FACTURAS ASHC-BYER</t>
  </si>
  <si>
    <t>CUERPO DE ACELERACIÓN</t>
  </si>
  <si>
    <t>PERMISO PARA MOTO VENTO</t>
  </si>
  <si>
    <t>PAGO DE DERECHOS TARJETA DE CIRCULACION</t>
  </si>
  <si>
    <t>RECARGA OPERACIÓN</t>
  </si>
  <si>
    <t>DANIEL OMKIN GARCIA</t>
  </si>
  <si>
    <t>GASOLINA OPERACIÓN</t>
  </si>
  <si>
    <t>PLAZA VIAJE</t>
  </si>
  <si>
    <t>FILTRO DE ACEITE (2)</t>
  </si>
  <si>
    <t>JAC CAMIONETA</t>
  </si>
  <si>
    <t>FILTO DE AIRE (2)</t>
  </si>
  <si>
    <t>FILTRO (2)</t>
  </si>
  <si>
    <t>ANTICIPO REFACCIONES</t>
  </si>
  <si>
    <t>GASOLINA MOTO OP.</t>
  </si>
  <si>
    <t>BANDA DE ACCESORIOS</t>
  </si>
  <si>
    <t>8 LITROS DE ACEITE 15W40</t>
  </si>
  <si>
    <t>RECTIFICACION DE DISCOS</t>
  </si>
  <si>
    <t>CAMBIO DE BALERO (PRENSA)</t>
  </si>
  <si>
    <t>GASOLINA PARA APOYO</t>
  </si>
  <si>
    <t>PROPINA GAS</t>
  </si>
  <si>
    <t>SENSOR DE CIGÜEÑAL</t>
  </si>
  <si>
    <t>10 FOCOS DE PELLIZCO</t>
  </si>
  <si>
    <t>10 FOCOS DE 1 POLO AMBAR</t>
  </si>
  <si>
    <t>4 LITROS DE ACEITE PARA CAJA</t>
  </si>
  <si>
    <t>LLANTA 185/65 R15 TORNEL</t>
  </si>
  <si>
    <t>TOLENTINO JOSETH PEREZ GONZALEZ</t>
  </si>
  <si>
    <t>LLANTA 175/70 R14 LAUFREN</t>
  </si>
  <si>
    <t>REVISION Y DIAGNOSTICO DE BATERIA</t>
  </si>
  <si>
    <t>ANTICONGELANTE</t>
  </si>
  <si>
    <t>GASOLINA DISEL</t>
  </si>
  <si>
    <t>GAS ROSA</t>
  </si>
  <si>
    <t>DEPOSITO DE ANTICONGELANTE</t>
  </si>
  <si>
    <t>AMORTIGUADORES DELANTEROS</t>
  </si>
  <si>
    <t>BASES DE AMORTIGUADORES DELANTEROS</t>
  </si>
  <si>
    <t>ABRAZADERAS MINI</t>
  </si>
  <si>
    <t>CILINDRO CLOUCH</t>
  </si>
  <si>
    <t>GOMAS  ESTABILIZADORA</t>
  </si>
  <si>
    <t>TALACHAS (2)</t>
  </si>
  <si>
    <t>GONZALO LEYVA MORLAN</t>
  </si>
  <si>
    <t>GASOLINA PRUEBAS OP</t>
  </si>
  <si>
    <t>ALINEACIÓN Y BALANCEO</t>
  </si>
  <si>
    <t>CACAHUATES (2)</t>
  </si>
  <si>
    <t>ROTULAS (2)</t>
  </si>
  <si>
    <t>CAMBIO DE LLAVE</t>
  </si>
  <si>
    <t>CILINDRO CLUTCH</t>
  </si>
  <si>
    <t>BUJE</t>
  </si>
  <si>
    <t>BOMBA DE LIQUIDO</t>
  </si>
  <si>
    <t>BATERIAS (4)</t>
  </si>
  <si>
    <t>3 M DE CINTA NEGRA</t>
  </si>
  <si>
    <t>PENDIENTES AGOSTO</t>
  </si>
  <si>
    <t>(2) IMPERMEABLES</t>
  </si>
  <si>
    <t>ESCANER</t>
  </si>
  <si>
    <t>GATO HIDRAULICO</t>
  </si>
  <si>
    <t>JOSE LUIS HERNANDEZ MEDINA</t>
  </si>
  <si>
    <t>PIZARRON</t>
  </si>
  <si>
    <t>CASETA</t>
  </si>
  <si>
    <t>LLANTA DE REFACCIÓN</t>
  </si>
  <si>
    <t>FUNDA DE VOLANTE</t>
  </si>
  <si>
    <t xml:space="preserve">MULTA  </t>
  </si>
  <si>
    <t>TUERCAS CAMIONETAS JAC</t>
  </si>
  <si>
    <t>FOCOS PARA DIRECCIONAL AMBAR</t>
  </si>
  <si>
    <t>FIDEL ALEJANDRO SANCHEZ VERGARA</t>
  </si>
  <si>
    <t>FOCOS PARA DIRECCIONAL AMBAR MINI</t>
  </si>
  <si>
    <t>FOCO FRONTAL IZQUIERDO</t>
  </si>
  <si>
    <t>JESUS DAVILA CASTAÑEDA</t>
  </si>
  <si>
    <t>FOCO FRONTAL IZQUIERDO MINI</t>
  </si>
  <si>
    <t>BALERO DELANTERO IZQUIERDO DOBLE</t>
  </si>
  <si>
    <t>BALLONETA</t>
  </si>
  <si>
    <t>BIRLO</t>
  </si>
  <si>
    <t>TUERCAS (5)</t>
  </si>
  <si>
    <t xml:space="preserve">CINTA DE AISLAR NEGRA </t>
  </si>
  <si>
    <t>SINCHOS NEGROS CHICOS</t>
  </si>
  <si>
    <t>SINCHOS NEGROS GRANDES</t>
  </si>
  <si>
    <t>FRANCISCO GOMEZ</t>
  </si>
  <si>
    <t>PENDIENTE JG FRANCISCO GOMEZ</t>
  </si>
  <si>
    <t>CHISGUETERO</t>
  </si>
  <si>
    <t>DEFENSA DELANTERA</t>
  </si>
  <si>
    <t>COFRE</t>
  </si>
  <si>
    <t>PARRILLA CENTRAL</t>
  </si>
  <si>
    <t>SALPICADERA DERECHA</t>
  </si>
  <si>
    <t>REJILLA CENTRAL</t>
  </si>
  <si>
    <t>BISAGRA DE COFRE</t>
  </si>
  <si>
    <t>FARO DERECHO</t>
  </si>
  <si>
    <t>MARCO RADIADOR</t>
  </si>
  <si>
    <t xml:space="preserve">CACAHUATE  </t>
  </si>
  <si>
    <t>LIGA DE GASOLINA</t>
  </si>
  <si>
    <t>TUERCAS</t>
  </si>
  <si>
    <t>PAGO A GUSTAVO</t>
  </si>
  <si>
    <t>SOPRTE TRASERO</t>
  </si>
  <si>
    <t>RESTANTE DE BALATAS</t>
  </si>
  <si>
    <t>FARO DE NUEBLA DERECHO</t>
  </si>
  <si>
    <t>GRAPA (2) GUIA DE SOPORTE DE FARO</t>
  </si>
  <si>
    <t>GUIA DE DEFENSA</t>
  </si>
  <si>
    <t>REJILLA INFERIOR DERECHA</t>
  </si>
  <si>
    <t>MOTOVENTILADOR</t>
  </si>
  <si>
    <t>INV</t>
  </si>
  <si>
    <t>COMRPA DE AUTO</t>
  </si>
  <si>
    <t>SEMANAS DE RECUPERACIÓN DE INVERSIÓN</t>
  </si>
  <si>
    <t>INGRESO</t>
  </si>
  <si>
    <t>INGRESO POR RENTA</t>
  </si>
  <si>
    <t>IVETH</t>
  </si>
  <si>
    <t>ARACELI CASTILLO</t>
  </si>
  <si>
    <t>CESAR PIÑA BARONA</t>
  </si>
  <si>
    <t>CLAUDIA LEAÑOS</t>
  </si>
  <si>
    <t>JORGE VAZQUEZ</t>
  </si>
  <si>
    <t>JOSE GUADALUPE GARCIA MORALES</t>
  </si>
  <si>
    <t>JOSE JUAN HERNANDEZ MEJIA</t>
  </si>
  <si>
    <t>ULISES ITIEL CASTILLO AVILA</t>
  </si>
  <si>
    <t>ABRAHAM ESCOBEDO</t>
  </si>
  <si>
    <t>DIEGO SANCHEZ</t>
  </si>
  <si>
    <t>EDGAR GEOVANY URIBE</t>
  </si>
  <si>
    <t>IRAM HERNANDEZ</t>
  </si>
  <si>
    <t>JOSE GUILLERMO HERNÁNDEZ RAMIREZ</t>
  </si>
  <si>
    <t>FERNANDO ESQUIVEL SOSA</t>
  </si>
  <si>
    <t>JUAN CARLOS MUÑOZ</t>
  </si>
  <si>
    <t>MARIO ALBERTO ROJAS</t>
  </si>
  <si>
    <t>RODOLFO AVANTES</t>
  </si>
  <si>
    <t>JULIO CESAR LOPEZ</t>
  </si>
  <si>
    <t>NESTOR NOE HDZ</t>
  </si>
  <si>
    <t>MANUEL GARCIA MARTINEZ</t>
  </si>
  <si>
    <t>YARETH ABRAHAM MORALES</t>
  </si>
  <si>
    <t>EDGAR DAMIAN MARTINEZ</t>
  </si>
  <si>
    <t>ALFONSO GONZALEZ</t>
  </si>
  <si>
    <t>MARIA DEL CARMEN ALVARADO ALEJO</t>
  </si>
  <si>
    <t>ALEJANDRO CABALLERO POMPA</t>
  </si>
  <si>
    <t>JOSE DE JESUS PEREZ GARCIA</t>
  </si>
  <si>
    <t>JUAN FERNANDO GUTIERREZ FELIX</t>
  </si>
  <si>
    <t>ROMMINA LUGO</t>
  </si>
  <si>
    <t>ALAN ALCANTARA</t>
  </si>
  <si>
    <t>PABLO MANUEL CARDENAS</t>
  </si>
  <si>
    <t>GABRIEL FRANCO</t>
  </si>
  <si>
    <t>RICARDO SANCHEZ ASTORGA</t>
  </si>
  <si>
    <t>LUIS ANGEL CASTAÑEDA</t>
  </si>
  <si>
    <t>JESUS ALBERTO CORTES</t>
  </si>
  <si>
    <t>JOSE AGUILAR SOTO</t>
  </si>
  <si>
    <t>DANIEL CRUZ RODRIGUEZ</t>
  </si>
  <si>
    <t>ADRIAN CRUZ</t>
  </si>
  <si>
    <t>FRANCISCO ISLAS</t>
  </si>
  <si>
    <t>MIGUEL TORRES</t>
  </si>
  <si>
    <t>SALVADOR REGALADO CORDOVA</t>
  </si>
  <si>
    <t>SAUL VAZQUEZ</t>
  </si>
  <si>
    <t>MARTIN ALEJANDRO CRUZ TORRES</t>
  </si>
  <si>
    <t>VARIOS UBER</t>
  </si>
  <si>
    <t>SUELDOS</t>
  </si>
  <si>
    <t>PERSONAL UBER</t>
  </si>
  <si>
    <t>JOSE GUILLERMO HERNANDEZ RAMIREZ</t>
  </si>
  <si>
    <t>RAUL FRANCISCO VAZQUEZ CORTE</t>
  </si>
  <si>
    <t>RICARDO OMAR CAMACHO ZUÑIGA</t>
  </si>
  <si>
    <t xml:space="preserve">RUBI ROBLES </t>
  </si>
  <si>
    <t>YOSHUA YARETH VALDEZ</t>
  </si>
  <si>
    <t>JOSE JUAN HERNANDEZ MEDINA</t>
  </si>
  <si>
    <t>RICARDO HERNANDEZ</t>
  </si>
  <si>
    <t>ALEJANDRO LUCIO GONZALEZ</t>
  </si>
  <si>
    <t>RAYMUNDO CHAVEZ DELGADO</t>
  </si>
  <si>
    <t>ALEJANDRO CAMACHO PAZ</t>
  </si>
  <si>
    <t>LUIS JOARI RODRIGUEZ ZUÑIGA</t>
  </si>
  <si>
    <t>CAMILO IESUA IESUA</t>
  </si>
  <si>
    <t xml:space="preserve">ALBERTO ARRIAGA </t>
  </si>
  <si>
    <t>SERGIO BAEZ</t>
  </si>
  <si>
    <t>AVEO|2025|PERSUASION|MXM503C</t>
  </si>
  <si>
    <t xml:space="preserve">SERGIO BALDERAS BAEZ </t>
  </si>
  <si>
    <t>CRISTIAN HERNANDEZ MUNGUIA</t>
  </si>
  <si>
    <t>ALAN LARA</t>
  </si>
  <si>
    <t>GERMAN LUSARRETA ROMERO</t>
  </si>
  <si>
    <t>AVEO|2025|PERSUASION|MZN091C</t>
  </si>
  <si>
    <t>FERNANDO GARRIDO GARNICA</t>
  </si>
  <si>
    <t>JESUS ROSALES GARCIA</t>
  </si>
  <si>
    <t>GASOLINA IR A RONDA</t>
  </si>
  <si>
    <t>SOPORTE TRASERO</t>
  </si>
  <si>
    <t>GASOLINA TAXI ISAMEL RONDA</t>
  </si>
  <si>
    <t>ESTACIONAMIENTO MP</t>
  </si>
  <si>
    <t>PERMISO PARA CIRCULAR</t>
  </si>
  <si>
    <t>AVEO|2025|PERSUASION|MXM510C</t>
  </si>
  <si>
    <t>AVEO|2025|PERSUASION|MXM502C</t>
  </si>
  <si>
    <t>GABO PENDIENTES DE RONDA</t>
  </si>
  <si>
    <t>ESTEREO</t>
  </si>
  <si>
    <t>DEPOSITO LIMPIADOR</t>
  </si>
  <si>
    <t>POLISH BLANCO</t>
  </si>
  <si>
    <t>CERA LIQUIDA</t>
  </si>
  <si>
    <t>FARO DE NIEBLA</t>
  </si>
  <si>
    <t>2 GARRAFAS DE ANTICONGELANTE</t>
  </si>
  <si>
    <t xml:space="preserve">CALAVERA </t>
  </si>
  <si>
    <t xml:space="preserve">CABLE </t>
  </si>
  <si>
    <t>GASOLINA HONDA MOTO OPER</t>
  </si>
  <si>
    <t>GAS OPERACIÓN</t>
  </si>
  <si>
    <t>PERMISO PARA CIRCULAR MOTO HONDA</t>
  </si>
  <si>
    <t>UBER HOJALATERO</t>
  </si>
  <si>
    <t>MODULO DE MOTOVENTILADOR</t>
  </si>
  <si>
    <t>TOMA DE AIRE DE REGILLA</t>
  </si>
  <si>
    <t>TERMINAL EXTERIOR</t>
  </si>
  <si>
    <t>TERMINAL INTERIOR</t>
  </si>
  <si>
    <t xml:space="preserve">ELECTRICO </t>
  </si>
  <si>
    <t>GAS PRUEBA</t>
  </si>
  <si>
    <t xml:space="preserve">GAS </t>
  </si>
  <si>
    <t>LAVADO</t>
  </si>
  <si>
    <t>(2) FOCOS</t>
  </si>
  <si>
    <t>PRUEBA</t>
  </si>
  <si>
    <t>BOBINA</t>
  </si>
  <si>
    <t>REPARACION DE MANGUERAS</t>
  </si>
  <si>
    <t>PERMISOS (2)</t>
  </si>
  <si>
    <t xml:space="preserve">ROTULA </t>
  </si>
  <si>
    <t>GAS DE MANGUERAS</t>
  </si>
  <si>
    <t xml:space="preserve">ALINEACION </t>
  </si>
  <si>
    <t>PAGO DE CHIP</t>
  </si>
  <si>
    <t>CAMIONETAS JAC</t>
  </si>
  <si>
    <t>FOCOS HELLA (2)</t>
  </si>
  <si>
    <t>MONTAJE DE LLANTAS(2)</t>
  </si>
  <si>
    <t>PROPINA DE GASERA</t>
  </si>
  <si>
    <t>TAXI DE UNIDAD A MIXCOAC</t>
  </si>
  <si>
    <t>MUDANZA</t>
  </si>
  <si>
    <t>CINTAS CANELA (4)</t>
  </si>
  <si>
    <t>AFINACIÓN</t>
  </si>
  <si>
    <t>BALERO DELANTERO DERECHO DOBLE</t>
  </si>
  <si>
    <t>CILINDRO</t>
  </si>
  <si>
    <t>SILICÓN NEGRO</t>
  </si>
  <si>
    <t>FOCO (1)</t>
  </si>
  <si>
    <t>SINIESTRO</t>
  </si>
  <si>
    <t>PARABRISAS</t>
  </si>
  <si>
    <t>CALCOMANIAS</t>
  </si>
  <si>
    <t>LONAS ROSA MARÍA</t>
  </si>
  <si>
    <t>TORNILLO</t>
  </si>
  <si>
    <t>CILINDRO DE CLUTCH</t>
  </si>
  <si>
    <t>TINTAS PARA IMPRESORA (3) ROSA MARÍA</t>
  </si>
  <si>
    <t>CABLE PARA IMPRESORA USB ROSA MARÍA</t>
  </si>
  <si>
    <t>FOCO PELLISCO</t>
  </si>
  <si>
    <t>FOCO</t>
  </si>
  <si>
    <t>LIMPIADOR DE CUERPO</t>
  </si>
  <si>
    <t>BALERO DELANTERO</t>
  </si>
  <si>
    <t>MAZA DE RUEDA DELANTERO</t>
  </si>
  <si>
    <t>CHIPS</t>
  </si>
  <si>
    <t>REVISIÓN DE FUGAS</t>
  </si>
  <si>
    <t>ROTACION Y MONTAJE DE LLANTAS</t>
  </si>
  <si>
    <t>FOCO FELLISCO (2)</t>
  </si>
  <si>
    <t>FOCO UVA (2)</t>
  </si>
  <si>
    <t>FOCOS (2)</t>
  </si>
  <si>
    <t>BULB. ACEITE</t>
  </si>
  <si>
    <t>CABLES DE BUJIAS</t>
  </si>
  <si>
    <t>CACAHUATE ESTABILIZADOR</t>
  </si>
  <si>
    <t>LLANTA</t>
  </si>
  <si>
    <t>FUSIBLE</t>
  </si>
  <si>
    <t>ACEITE DE TRASMISIÓN (3)</t>
  </si>
  <si>
    <t>CHIP</t>
  </si>
  <si>
    <t>DESAYUNO</t>
  </si>
  <si>
    <t>SOPORTE</t>
  </si>
  <si>
    <t>BRINCO</t>
  </si>
  <si>
    <t>AVEO|2025|PERSUASION|MZN057C</t>
  </si>
  <si>
    <t xml:space="preserve">GALON DE ACEITE </t>
  </si>
  <si>
    <t xml:space="preserve">BUJIAS </t>
  </si>
  <si>
    <t xml:space="preserve">SOPORTE DE MOTOR </t>
  </si>
  <si>
    <t>SOPORTE DE CAJA</t>
  </si>
  <si>
    <t>FOCO DE CALAVERA (4)</t>
  </si>
  <si>
    <t>BOBINA ENCENDIDO</t>
  </si>
  <si>
    <t>FIT DE AFINACIÓN</t>
  </si>
  <si>
    <t>REPARACION DE MOTOR</t>
  </si>
  <si>
    <t>BIRLOS DE SEGURIDAD</t>
  </si>
  <si>
    <t>ACEITE DE TRANSMISIÓN (3)</t>
  </si>
  <si>
    <t xml:space="preserve">BALATAS </t>
  </si>
  <si>
    <t>BOCINAS</t>
  </si>
  <si>
    <t>ACEITE DE TRANSMISIÓN (4)</t>
  </si>
  <si>
    <t>PENDIENTES OCTUBRE</t>
  </si>
  <si>
    <t>AFINACION DE SWIFT</t>
  </si>
  <si>
    <t>OPERACIÓN FERNANDO</t>
  </si>
  <si>
    <t>MANTENIMIENTO Y TRASLADO</t>
  </si>
  <si>
    <t>ISMAEL</t>
  </si>
  <si>
    <t>NAYE</t>
  </si>
  <si>
    <t>GABRIEL</t>
  </si>
  <si>
    <t>TAXI ROSA MARÍA</t>
  </si>
  <si>
    <t>COMPLEMENTO DE SWIFT</t>
  </si>
  <si>
    <t>PERMISOS</t>
  </si>
  <si>
    <t>ALTA Y BAJA DE PLACAS FRONTIER</t>
  </si>
  <si>
    <t>FRONTIER|2025|GRIS</t>
  </si>
  <si>
    <t>PLACA EXTRAVIADA</t>
  </si>
  <si>
    <t>GESTORIA FRONTIER</t>
  </si>
  <si>
    <t>ALTA Y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</si>
</sst>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 Light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38" fontId="0" fillId="0" borderId="0" xfId="0" applyNumberFormat="1"/>
    <xf numFmtId="38" fontId="0" fillId="3" borderId="0" xfId="0" applyNumberForma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cuments/YUL/UBER/S48%20CONSOLIDADO%20UB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PTO%20NOVIEMBRE%20BYER-ASHC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S"/>
      <sheetName val="SUELDOS"/>
      <sheetName val="DB"/>
      <sheetName val="Hoja2"/>
      <sheetName val="BASE"/>
      <sheetName val="Hoja1"/>
      <sheetName val="INVERSIÓN"/>
      <sheetName val="AUTOS"/>
      <sheetName val="LISTA"/>
      <sheetName val="GASTO"/>
    </sheetNames>
    <sheetDataSet>
      <sheetData sheetId="0">
        <row r="6">
          <cell r="D6">
            <v>39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LLAVE</v>
          </cell>
          <cell r="D1" t="str">
            <v>MODELO</v>
          </cell>
          <cell r="E1" t="str">
            <v>AÑO</v>
          </cell>
          <cell r="F1" t="str">
            <v>COLOR</v>
          </cell>
          <cell r="G1" t="str">
            <v>PLACAS</v>
          </cell>
        </row>
        <row r="2">
          <cell r="C2" t="str">
            <v>VENTO|2020|GRIS|R66BER</v>
          </cell>
          <cell r="D2" t="str">
            <v>VENTO</v>
          </cell>
          <cell r="E2">
            <v>2020</v>
          </cell>
          <cell r="F2" t="str">
            <v>GRIS</v>
          </cell>
          <cell r="G2" t="str">
            <v>R66BER</v>
          </cell>
        </row>
        <row r="3">
          <cell r="C3" t="str">
            <v>AVEO|2022|AZUL|MUF515A</v>
          </cell>
          <cell r="D3" t="str">
            <v>AVEO</v>
          </cell>
          <cell r="E3">
            <v>2022</v>
          </cell>
          <cell r="F3" t="str">
            <v>AZUL</v>
          </cell>
          <cell r="G3" t="str">
            <v>MUF515A</v>
          </cell>
        </row>
        <row r="4">
          <cell r="C4" t="str">
            <v>AVEO|2018|ROJO|R51BKD</v>
          </cell>
          <cell r="D4" t="str">
            <v>AVEO</v>
          </cell>
          <cell r="E4">
            <v>2018</v>
          </cell>
          <cell r="F4" t="str">
            <v>ROJO</v>
          </cell>
          <cell r="G4" t="str">
            <v>R51BKD</v>
          </cell>
        </row>
        <row r="5">
          <cell r="C5" t="str">
            <v>AVEO|2019|PLATA|NEL860A</v>
          </cell>
          <cell r="D5" t="str">
            <v>AVEO</v>
          </cell>
          <cell r="E5">
            <v>2019</v>
          </cell>
          <cell r="F5" t="str">
            <v>PLATA</v>
          </cell>
          <cell r="G5" t="str">
            <v>NEL860A</v>
          </cell>
        </row>
        <row r="6">
          <cell r="C6" t="str">
            <v>AVEO|2019|BLANCO|NBS225A</v>
          </cell>
          <cell r="D6" t="str">
            <v>AVEO</v>
          </cell>
          <cell r="E6">
            <v>2019</v>
          </cell>
          <cell r="F6" t="str">
            <v>BLANCO</v>
          </cell>
          <cell r="G6" t="str">
            <v>NBS225A</v>
          </cell>
        </row>
        <row r="7">
          <cell r="C7" t="str">
            <v>MARCH|2020|TURQ|N15BKD</v>
          </cell>
          <cell r="D7" t="str">
            <v>MARCH</v>
          </cell>
          <cell r="E7">
            <v>2020</v>
          </cell>
          <cell r="F7" t="str">
            <v>TURQ</v>
          </cell>
          <cell r="G7" t="str">
            <v>N15BKD</v>
          </cell>
        </row>
        <row r="8">
          <cell r="C8" t="str">
            <v>VERSA|2017|ACERO|X24APU</v>
          </cell>
          <cell r="D8" t="str">
            <v>VERSA</v>
          </cell>
          <cell r="E8">
            <v>2017</v>
          </cell>
          <cell r="F8" t="str">
            <v>ACERO</v>
          </cell>
          <cell r="G8" t="str">
            <v>X24APU</v>
          </cell>
        </row>
        <row r="9">
          <cell r="C9" t="str">
            <v>KIA RIO|2017|ROJO|MYE912A</v>
          </cell>
          <cell r="D9" t="str">
            <v>KIA RIO</v>
          </cell>
          <cell r="E9">
            <v>2017</v>
          </cell>
          <cell r="F9" t="str">
            <v>ROJO</v>
          </cell>
          <cell r="G9" t="str">
            <v>MYE912A</v>
          </cell>
        </row>
        <row r="10">
          <cell r="C10" t="str">
            <v>AVEO|2018|GRIS|X59AWG</v>
          </cell>
          <cell r="D10" t="str">
            <v>AVEO</v>
          </cell>
          <cell r="E10">
            <v>2018</v>
          </cell>
          <cell r="F10" t="str">
            <v>GRIS</v>
          </cell>
          <cell r="G10" t="str">
            <v>X59AWG</v>
          </cell>
        </row>
        <row r="11">
          <cell r="C11" t="str">
            <v>BEAT|2020|GRIS|NFN014B</v>
          </cell>
          <cell r="D11" t="str">
            <v>BEAT</v>
          </cell>
          <cell r="E11">
            <v>2020</v>
          </cell>
          <cell r="F11" t="str">
            <v>GRIS</v>
          </cell>
          <cell r="G11" t="str">
            <v>NFN014B</v>
          </cell>
        </row>
        <row r="12">
          <cell r="C12" t="str">
            <v>VENTO|2017|GRIS|MMA672C</v>
          </cell>
          <cell r="D12" t="str">
            <v>VENTO</v>
          </cell>
          <cell r="E12">
            <v>2017</v>
          </cell>
          <cell r="F12" t="str">
            <v>GRIS</v>
          </cell>
          <cell r="G12" t="str">
            <v>MMA672C</v>
          </cell>
        </row>
        <row r="13">
          <cell r="C13" t="str">
            <v>HYUNDAI|2022|PLATA|D40BKD</v>
          </cell>
          <cell r="D13" t="str">
            <v>HYUNDAI</v>
          </cell>
          <cell r="E13">
            <v>2022</v>
          </cell>
          <cell r="F13" t="str">
            <v>PLATA</v>
          </cell>
          <cell r="G13" t="str">
            <v>D40BKD</v>
          </cell>
        </row>
        <row r="14">
          <cell r="C14" t="str">
            <v>AVEO|2021|OCRE|NEB156A</v>
          </cell>
          <cell r="D14" t="str">
            <v>AVEO</v>
          </cell>
          <cell r="E14">
            <v>2021</v>
          </cell>
          <cell r="F14" t="str">
            <v>OCRE</v>
          </cell>
          <cell r="G14" t="str">
            <v>NEB156A</v>
          </cell>
        </row>
        <row r="15">
          <cell r="C15" t="str">
            <v>AVEO|2022|AZUL|NZY685B</v>
          </cell>
          <cell r="D15" t="str">
            <v>AVEO</v>
          </cell>
          <cell r="E15">
            <v>2022</v>
          </cell>
          <cell r="F15" t="str">
            <v>AZUL</v>
          </cell>
          <cell r="G15" t="str">
            <v>NZY685B</v>
          </cell>
        </row>
        <row r="16">
          <cell r="C16" t="str">
            <v>VERSA|2020|BLANCO|A35BHD</v>
          </cell>
          <cell r="D16" t="str">
            <v>VERSA</v>
          </cell>
          <cell r="E16">
            <v>2020</v>
          </cell>
          <cell r="F16" t="str">
            <v>BLANCO</v>
          </cell>
          <cell r="G16" t="str">
            <v>A35BHD</v>
          </cell>
        </row>
        <row r="17">
          <cell r="C17" t="str">
            <v>AVEO|2020|AZUL|D28BET</v>
          </cell>
          <cell r="D17" t="str">
            <v>AVEO</v>
          </cell>
          <cell r="E17">
            <v>2020</v>
          </cell>
          <cell r="F17" t="str">
            <v>AZUL</v>
          </cell>
          <cell r="G17" t="str">
            <v>D28BET</v>
          </cell>
        </row>
        <row r="18">
          <cell r="C18" t="str">
            <v>SWIFT|2017|ROJO|X89ALV</v>
          </cell>
          <cell r="D18" t="str">
            <v>SWIFT</v>
          </cell>
          <cell r="E18">
            <v>2017</v>
          </cell>
          <cell r="F18" t="str">
            <v>ROJO</v>
          </cell>
          <cell r="G18" t="str">
            <v>X89ALV</v>
          </cell>
        </row>
        <row r="19">
          <cell r="C19" t="str">
            <v>VENTO|2018|AMARILLO|PED1652</v>
          </cell>
          <cell r="D19" t="str">
            <v>VENTO</v>
          </cell>
          <cell r="E19">
            <v>2018</v>
          </cell>
          <cell r="F19" t="str">
            <v>AMARILLO</v>
          </cell>
          <cell r="G19" t="str">
            <v>PED1652</v>
          </cell>
        </row>
        <row r="20">
          <cell r="C20" t="str">
            <v>KIA RIO|2020|GRIS|NCK475B</v>
          </cell>
          <cell r="D20" t="str">
            <v>KIA RIO</v>
          </cell>
          <cell r="E20">
            <v>2020</v>
          </cell>
          <cell r="F20" t="str">
            <v>GRIS</v>
          </cell>
          <cell r="G20" t="str">
            <v>NCK475B</v>
          </cell>
        </row>
        <row r="21">
          <cell r="C21" t="str">
            <v>VERSA|2023|PLATA|NCT814A</v>
          </cell>
          <cell r="D21" t="str">
            <v>VERSA</v>
          </cell>
          <cell r="E21">
            <v>2023</v>
          </cell>
          <cell r="F21" t="str">
            <v>PLATA</v>
          </cell>
          <cell r="G21" t="str">
            <v>NCT814A</v>
          </cell>
        </row>
        <row r="22">
          <cell r="C22" t="str">
            <v>VERSA|2020|ROJO|NLP172B</v>
          </cell>
          <cell r="D22" t="str">
            <v>VERSA</v>
          </cell>
          <cell r="E22">
            <v>2020</v>
          </cell>
          <cell r="F22" t="str">
            <v>ROJO</v>
          </cell>
          <cell r="G22" t="str">
            <v>NLP172B</v>
          </cell>
        </row>
        <row r="23">
          <cell r="C23" t="str">
            <v>AVEO|2024|GRIS|LRL009C</v>
          </cell>
          <cell r="D23" t="str">
            <v>AVEO</v>
          </cell>
          <cell r="E23">
            <v>2024</v>
          </cell>
          <cell r="F23" t="str">
            <v>GRIS</v>
          </cell>
          <cell r="G23" t="str">
            <v>LRL009C</v>
          </cell>
        </row>
        <row r="24">
          <cell r="C24" t="str">
            <v>KIA RIO|2020|ROJO|MFP751C</v>
          </cell>
          <cell r="D24" t="str">
            <v>KIA RIO</v>
          </cell>
          <cell r="E24">
            <v>2020</v>
          </cell>
          <cell r="F24" t="str">
            <v>ROJO</v>
          </cell>
          <cell r="G24" t="str">
            <v>MFP751C</v>
          </cell>
        </row>
        <row r="25">
          <cell r="C25" t="str">
            <v>MARCH|2021|ROJO|NZU5163</v>
          </cell>
          <cell r="D25" t="str">
            <v>MARCH</v>
          </cell>
          <cell r="E25">
            <v>2021</v>
          </cell>
          <cell r="F25" t="str">
            <v>ROJO</v>
          </cell>
          <cell r="G25" t="str">
            <v>NZU5163</v>
          </cell>
        </row>
        <row r="26">
          <cell r="C26" t="str">
            <v>VENTO|2019|BLANCO|LUE965C</v>
          </cell>
          <cell r="D26" t="str">
            <v>VENTO</v>
          </cell>
          <cell r="E26">
            <v>2019</v>
          </cell>
          <cell r="F26" t="str">
            <v>BLANCO</v>
          </cell>
          <cell r="G26" t="str">
            <v>LUE965C</v>
          </cell>
        </row>
        <row r="27">
          <cell r="C27" t="str">
            <v>KIA RIO|2020|AZUL|LUE960C</v>
          </cell>
          <cell r="D27" t="str">
            <v>KIA RIO</v>
          </cell>
          <cell r="E27">
            <v>2020</v>
          </cell>
          <cell r="F27" t="str">
            <v>AZUL</v>
          </cell>
          <cell r="G27" t="str">
            <v>LUE960C</v>
          </cell>
        </row>
        <row r="28">
          <cell r="C28" t="str">
            <v>KIA RIO|2023|ROJO|H99BLC</v>
          </cell>
          <cell r="D28" t="str">
            <v>KIA RIO</v>
          </cell>
          <cell r="E28">
            <v>2023</v>
          </cell>
          <cell r="F28" t="str">
            <v>ROJO</v>
          </cell>
          <cell r="G28" t="str">
            <v>H99BLC</v>
          </cell>
        </row>
        <row r="29">
          <cell r="C29" t="str">
            <v>BEAT|2019|OCRE|MAY730C</v>
          </cell>
          <cell r="D29" t="str">
            <v>BEAT</v>
          </cell>
          <cell r="E29">
            <v>2019</v>
          </cell>
          <cell r="F29" t="str">
            <v>OCRE</v>
          </cell>
          <cell r="G29" t="str">
            <v>MAY730C</v>
          </cell>
        </row>
        <row r="30">
          <cell r="C30" t="str">
            <v>MARCH|2019|TURQ|MAY737C</v>
          </cell>
          <cell r="D30" t="str">
            <v>MARCH</v>
          </cell>
          <cell r="E30">
            <v>2019</v>
          </cell>
          <cell r="F30" t="str">
            <v>TURQ</v>
          </cell>
          <cell r="G30" t="str">
            <v>MAY737C</v>
          </cell>
        </row>
        <row r="31">
          <cell r="C31" t="str">
            <v>VENTO|2019|BLANCO|MGC410C</v>
          </cell>
          <cell r="D31" t="str">
            <v>VENTO</v>
          </cell>
          <cell r="E31">
            <v>2019</v>
          </cell>
          <cell r="F31" t="str">
            <v>BLANCO</v>
          </cell>
          <cell r="G31" t="str">
            <v>MGC410C</v>
          </cell>
        </row>
        <row r="32">
          <cell r="C32" t="str">
            <v>VENTO|2020|GRIS|MGC414C</v>
          </cell>
          <cell r="D32" t="str">
            <v>VENTO</v>
          </cell>
          <cell r="E32">
            <v>2020</v>
          </cell>
          <cell r="F32" t="str">
            <v>GRIS</v>
          </cell>
          <cell r="G32" t="str">
            <v>MGC414C</v>
          </cell>
        </row>
        <row r="33">
          <cell r="C33" t="str">
            <v>MARCH|2022|BLANCO|MGC417C</v>
          </cell>
          <cell r="D33" t="str">
            <v>MARCH</v>
          </cell>
          <cell r="E33">
            <v>2022</v>
          </cell>
          <cell r="F33" t="str">
            <v>BLANCO</v>
          </cell>
          <cell r="G33" t="str">
            <v>MGC417C</v>
          </cell>
        </row>
        <row r="34">
          <cell r="C34" t="str">
            <v>AVEO|2021|GRIS|D51BHV</v>
          </cell>
          <cell r="D34" t="str">
            <v>AVEO</v>
          </cell>
          <cell r="E34">
            <v>2021</v>
          </cell>
          <cell r="F34" t="str">
            <v>GRIS</v>
          </cell>
          <cell r="G34" t="str">
            <v>D51BHV</v>
          </cell>
        </row>
        <row r="35">
          <cell r="C35" t="str">
            <v>AVEO|2023|VINO|R22BMR</v>
          </cell>
          <cell r="D35" t="str">
            <v>AVEO</v>
          </cell>
          <cell r="E35">
            <v>2023</v>
          </cell>
          <cell r="F35" t="str">
            <v>VINO</v>
          </cell>
          <cell r="G35" t="str">
            <v xml:space="preserve">R22BMR </v>
          </cell>
        </row>
        <row r="36">
          <cell r="C36" t="str">
            <v>AVEO|2022|VINO|P62BHW</v>
          </cell>
          <cell r="D36" t="str">
            <v>AVEO</v>
          </cell>
          <cell r="E36">
            <v>2022</v>
          </cell>
          <cell r="F36" t="str">
            <v>VINO</v>
          </cell>
          <cell r="G36" t="str">
            <v>P62BHW</v>
          </cell>
        </row>
        <row r="37">
          <cell r="C37" t="str">
            <v>VERSA|2021|BLANCO|MEE228C</v>
          </cell>
          <cell r="D37" t="str">
            <v>VERSA</v>
          </cell>
          <cell r="E37">
            <v>2021</v>
          </cell>
          <cell r="F37" t="str">
            <v>BLANCO</v>
          </cell>
          <cell r="G37" t="str">
            <v>MEE228C</v>
          </cell>
        </row>
        <row r="38">
          <cell r="C38" t="str">
            <v>AVEO|2023|GRIS|MLC126A</v>
          </cell>
          <cell r="D38" t="str">
            <v>AVEO</v>
          </cell>
          <cell r="E38">
            <v>2023</v>
          </cell>
          <cell r="F38" t="str">
            <v>GRIS</v>
          </cell>
          <cell r="G38" t="str">
            <v>MLC126A</v>
          </cell>
        </row>
        <row r="39">
          <cell r="C39" t="str">
            <v>AVEO|2025|PERSUASION|MXM503C</v>
          </cell>
          <cell r="D39" t="str">
            <v>AVEO</v>
          </cell>
          <cell r="E39">
            <v>2025</v>
          </cell>
          <cell r="F39" t="str">
            <v>PERSUASION</v>
          </cell>
          <cell r="G39" t="str">
            <v>MXM503C</v>
          </cell>
        </row>
        <row r="40">
          <cell r="C40" t="str">
            <v>AVEO|2025|PERSUASION|MXM510C</v>
          </cell>
          <cell r="D40" t="str">
            <v>AVEO</v>
          </cell>
          <cell r="E40">
            <v>2025</v>
          </cell>
          <cell r="F40" t="str">
            <v>PERSUASION</v>
          </cell>
          <cell r="G40" t="str">
            <v>MXM510C</v>
          </cell>
        </row>
        <row r="41">
          <cell r="C41" t="str">
            <v>AVEO|2025|PERSUASION|MXM502C</v>
          </cell>
          <cell r="D41" t="str">
            <v>AVEO</v>
          </cell>
          <cell r="E41">
            <v>2025</v>
          </cell>
          <cell r="F41" t="str">
            <v>PERSUASION</v>
          </cell>
          <cell r="G41" t="str">
            <v>MXM502C</v>
          </cell>
        </row>
        <row r="42">
          <cell r="C42" t="str">
            <v>AVEO|2025|PERSUASION|MZN091C</v>
          </cell>
          <cell r="D42" t="str">
            <v>AVEO</v>
          </cell>
          <cell r="E42">
            <v>2025</v>
          </cell>
          <cell r="F42" t="str">
            <v>PERSUASION</v>
          </cell>
          <cell r="G42" t="str">
            <v>MZN091C</v>
          </cell>
        </row>
        <row r="43">
          <cell r="C43" t="str">
            <v>AVEO|2025|PERSUASION|MZN057C</v>
          </cell>
          <cell r="D43" t="str">
            <v>AVEO</v>
          </cell>
          <cell r="E43">
            <v>2025</v>
          </cell>
          <cell r="F43" t="str">
            <v>PERSUASION</v>
          </cell>
          <cell r="G43" t="str">
            <v>MZN057C</v>
          </cell>
        </row>
        <row r="44">
          <cell r="C44" t="str">
            <v>VENTO|2020|GRIS|A19BDY</v>
          </cell>
          <cell r="D44" t="str">
            <v>VENTO</v>
          </cell>
          <cell r="E44">
            <v>2020</v>
          </cell>
          <cell r="F44" t="str">
            <v>GRIS</v>
          </cell>
          <cell r="G44" t="str">
            <v>A19BDY</v>
          </cell>
        </row>
        <row r="45">
          <cell r="C45" t="str">
            <v>AVEOH|2024|BLANCO|MWV156C</v>
          </cell>
          <cell r="D45" t="str">
            <v>AVEO</v>
          </cell>
          <cell r="E45">
            <v>2024</v>
          </cell>
          <cell r="F45" t="str">
            <v>BLANCO</v>
          </cell>
          <cell r="G45" t="str">
            <v>MWV156C</v>
          </cell>
        </row>
      </sheetData>
      <sheetData sheetId="8">
        <row r="2">
          <cell r="B2" t="str">
            <v>SEM</v>
          </cell>
          <cell r="C2" t="str">
            <v>MES</v>
          </cell>
        </row>
        <row r="3">
          <cell r="B3">
            <v>1</v>
          </cell>
          <cell r="C3" t="str">
            <v>ENERO</v>
          </cell>
        </row>
        <row r="4">
          <cell r="B4">
            <v>2</v>
          </cell>
          <cell r="C4" t="str">
            <v>ENERO</v>
          </cell>
        </row>
        <row r="5">
          <cell r="B5">
            <v>3</v>
          </cell>
          <cell r="C5" t="str">
            <v>ENERO</v>
          </cell>
        </row>
        <row r="6">
          <cell r="B6">
            <v>4</v>
          </cell>
          <cell r="C6" t="str">
            <v>ENERO</v>
          </cell>
        </row>
        <row r="7">
          <cell r="B7">
            <v>5</v>
          </cell>
          <cell r="C7" t="str">
            <v>ENERO</v>
          </cell>
        </row>
        <row r="8">
          <cell r="B8">
            <v>6</v>
          </cell>
          <cell r="C8" t="str">
            <v>FEBRERO</v>
          </cell>
        </row>
        <row r="9">
          <cell r="B9">
            <v>7</v>
          </cell>
          <cell r="C9" t="str">
            <v>FEBRERO</v>
          </cell>
        </row>
        <row r="10">
          <cell r="B10">
            <v>8</v>
          </cell>
          <cell r="C10" t="str">
            <v>FEBRERO</v>
          </cell>
        </row>
        <row r="11">
          <cell r="B11">
            <v>9</v>
          </cell>
          <cell r="C11" t="str">
            <v>FEBRERO</v>
          </cell>
        </row>
        <row r="12">
          <cell r="B12">
            <v>10</v>
          </cell>
          <cell r="C12" t="str">
            <v>MARZO</v>
          </cell>
        </row>
        <row r="13">
          <cell r="B13">
            <v>11</v>
          </cell>
          <cell r="C13" t="str">
            <v>MARZO</v>
          </cell>
        </row>
        <row r="14">
          <cell r="B14">
            <v>12</v>
          </cell>
          <cell r="C14" t="str">
            <v>MARZO</v>
          </cell>
        </row>
        <row r="15">
          <cell r="B15">
            <v>13</v>
          </cell>
          <cell r="C15" t="str">
            <v>MARZO</v>
          </cell>
        </row>
        <row r="16">
          <cell r="B16">
            <v>14</v>
          </cell>
          <cell r="C16" t="str">
            <v>ABRIL</v>
          </cell>
        </row>
        <row r="17">
          <cell r="B17">
            <v>15</v>
          </cell>
          <cell r="C17" t="str">
            <v>ABRIL</v>
          </cell>
        </row>
        <row r="18">
          <cell r="B18">
            <v>16</v>
          </cell>
          <cell r="C18" t="str">
            <v>ABRIL</v>
          </cell>
        </row>
        <row r="19">
          <cell r="B19">
            <v>17</v>
          </cell>
          <cell r="C19" t="str">
            <v>ABRIL</v>
          </cell>
        </row>
        <row r="20">
          <cell r="B20">
            <v>18</v>
          </cell>
          <cell r="C20" t="str">
            <v>MAYO</v>
          </cell>
        </row>
        <row r="21">
          <cell r="B21">
            <v>19</v>
          </cell>
          <cell r="C21" t="str">
            <v>MAYO</v>
          </cell>
        </row>
        <row r="22">
          <cell r="B22">
            <v>20</v>
          </cell>
          <cell r="C22" t="str">
            <v>MAYO</v>
          </cell>
        </row>
        <row r="23">
          <cell r="B23">
            <v>21</v>
          </cell>
          <cell r="C23" t="str">
            <v>MAYO</v>
          </cell>
        </row>
        <row r="24">
          <cell r="B24">
            <v>22</v>
          </cell>
          <cell r="C24" t="str">
            <v>MAYO</v>
          </cell>
        </row>
        <row r="25">
          <cell r="B25">
            <v>23</v>
          </cell>
          <cell r="C25" t="str">
            <v>JUNIO</v>
          </cell>
        </row>
        <row r="26">
          <cell r="B26">
            <v>24</v>
          </cell>
          <cell r="C26" t="str">
            <v>JUNIO</v>
          </cell>
        </row>
        <row r="27">
          <cell r="B27">
            <v>25</v>
          </cell>
          <cell r="C27" t="str">
            <v>JUNIO</v>
          </cell>
        </row>
        <row r="28">
          <cell r="B28">
            <v>26</v>
          </cell>
          <cell r="C28" t="str">
            <v>JUNIO</v>
          </cell>
        </row>
        <row r="29">
          <cell r="B29">
            <v>27</v>
          </cell>
          <cell r="C29" t="str">
            <v>JULIO</v>
          </cell>
        </row>
        <row r="30">
          <cell r="B30">
            <v>28</v>
          </cell>
          <cell r="C30" t="str">
            <v>JULIO</v>
          </cell>
        </row>
        <row r="31">
          <cell r="B31">
            <v>29</v>
          </cell>
          <cell r="C31" t="str">
            <v>JULIO</v>
          </cell>
        </row>
        <row r="32">
          <cell r="B32">
            <v>30</v>
          </cell>
          <cell r="C32" t="str">
            <v>JULIO</v>
          </cell>
        </row>
        <row r="33">
          <cell r="B33">
            <v>31</v>
          </cell>
          <cell r="C33" t="str">
            <v>JULIO</v>
          </cell>
        </row>
        <row r="34">
          <cell r="B34">
            <v>32</v>
          </cell>
          <cell r="C34" t="str">
            <v>AGOSTO</v>
          </cell>
        </row>
        <row r="35">
          <cell r="B35">
            <v>33</v>
          </cell>
          <cell r="C35" t="str">
            <v>AGOSTO</v>
          </cell>
        </row>
        <row r="36">
          <cell r="B36">
            <v>34</v>
          </cell>
          <cell r="C36" t="str">
            <v>AGOSTO</v>
          </cell>
        </row>
        <row r="37">
          <cell r="B37">
            <v>35</v>
          </cell>
          <cell r="C37" t="str">
            <v>AGOSTO</v>
          </cell>
        </row>
        <row r="38">
          <cell r="B38">
            <v>36</v>
          </cell>
          <cell r="C38" t="str">
            <v>SEPTIEMBRE</v>
          </cell>
        </row>
        <row r="39">
          <cell r="B39">
            <v>37</v>
          </cell>
          <cell r="C39" t="str">
            <v>SEPTIEMBRE</v>
          </cell>
        </row>
        <row r="40">
          <cell r="B40">
            <v>38</v>
          </cell>
          <cell r="C40" t="str">
            <v>SEPTIEMBRE</v>
          </cell>
        </row>
        <row r="41">
          <cell r="B41">
            <v>39</v>
          </cell>
          <cell r="C41" t="str">
            <v>SEPTIEMBRE</v>
          </cell>
        </row>
        <row r="42">
          <cell r="B42">
            <v>40</v>
          </cell>
          <cell r="C42" t="str">
            <v>OCTUBRE</v>
          </cell>
        </row>
        <row r="43">
          <cell r="B43">
            <v>41</v>
          </cell>
          <cell r="C43" t="str">
            <v>OCTUBRE</v>
          </cell>
        </row>
        <row r="44">
          <cell r="B44">
            <v>42</v>
          </cell>
          <cell r="C44" t="str">
            <v>OCTUBRE</v>
          </cell>
        </row>
        <row r="45">
          <cell r="B45">
            <v>43</v>
          </cell>
          <cell r="C45" t="str">
            <v>OCTUBRE</v>
          </cell>
        </row>
        <row r="46">
          <cell r="B46">
            <v>44</v>
          </cell>
          <cell r="C46" t="str">
            <v>OCTUBRE</v>
          </cell>
        </row>
        <row r="47">
          <cell r="B47">
            <v>45</v>
          </cell>
          <cell r="C47" t="str">
            <v>NOVIEMBRE</v>
          </cell>
        </row>
        <row r="48">
          <cell r="B48">
            <v>46</v>
          </cell>
          <cell r="C48" t="str">
            <v>NOVIEMBRE</v>
          </cell>
        </row>
        <row r="49">
          <cell r="B49">
            <v>47</v>
          </cell>
          <cell r="C49" t="str">
            <v>NOVIEMBRE</v>
          </cell>
        </row>
        <row r="50">
          <cell r="B50">
            <v>48</v>
          </cell>
          <cell r="C50" t="str">
            <v>NOVIEMBRE</v>
          </cell>
        </row>
        <row r="51">
          <cell r="B51">
            <v>49</v>
          </cell>
          <cell r="C51" t="str">
            <v>DICIEMBRE</v>
          </cell>
        </row>
        <row r="52">
          <cell r="B52">
            <v>50</v>
          </cell>
          <cell r="C52" t="str">
            <v>DICIEMBRE</v>
          </cell>
        </row>
        <row r="53">
          <cell r="B53">
            <v>51</v>
          </cell>
          <cell r="C53" t="str">
            <v>DICIEMBRE</v>
          </cell>
        </row>
        <row r="54">
          <cell r="B54">
            <v>52</v>
          </cell>
          <cell r="C54" t="str">
            <v>DICIEMBRE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tos"/>
      <sheetName val="Tarjetas de credito"/>
      <sheetName val="PRESUPUESTO LUE Y NCK SINIESTRO"/>
      <sheetName val="58,362"/>
      <sheetName val="9,700"/>
      <sheetName val="800"/>
      <sheetName val="NOMINA JAIME"/>
      <sheetName val="efectivo"/>
      <sheetName val="15,100"/>
      <sheetName val="3,914 JG"/>
      <sheetName val="PED1652"/>
    </sheetNames>
    <sheetDataSet>
      <sheetData sheetId="0">
        <row r="1">
          <cell r="A1" t="str">
            <v>Semana</v>
          </cell>
          <cell r="F1" t="str">
            <v>DETALLE</v>
          </cell>
          <cell r="H1" t="str">
            <v>LLAVE AUTO</v>
          </cell>
          <cell r="M1" t="str">
            <v>REAL</v>
          </cell>
        </row>
        <row r="2">
          <cell r="A2">
            <v>36</v>
          </cell>
          <cell r="F2" t="str">
            <v>PRESUPUESTOS</v>
          </cell>
          <cell r="H2" t="str">
            <v>ADMINISTRATIVO</v>
          </cell>
        </row>
        <row r="3">
          <cell r="A3">
            <v>34</v>
          </cell>
          <cell r="F3" t="str">
            <v>PAGO DE GESTORIA JG</v>
          </cell>
          <cell r="H3" t="str">
            <v>VENTO|2019|BLANCO|MGC410C</v>
          </cell>
          <cell r="M3">
            <v>1300</v>
          </cell>
        </row>
        <row r="4">
          <cell r="A4">
            <v>34</v>
          </cell>
          <cell r="F4" t="str">
            <v>PAGO DE GESTORIA JG</v>
          </cell>
          <cell r="H4" t="str">
            <v>VENTO|2020|GRIS|MGC414C</v>
          </cell>
          <cell r="M4">
            <v>1300</v>
          </cell>
        </row>
        <row r="5">
          <cell r="A5">
            <v>34</v>
          </cell>
          <cell r="F5" t="str">
            <v>PAGO DE GESTORIA JG</v>
          </cell>
          <cell r="H5" t="str">
            <v>MARCH|2021|BLANCO|MGC417C</v>
          </cell>
          <cell r="M5">
            <v>1300</v>
          </cell>
        </row>
        <row r="6">
          <cell r="A6">
            <v>34</v>
          </cell>
          <cell r="F6" t="str">
            <v>SOLDADURA DEL PEDAL DEL CLUTCH</v>
          </cell>
          <cell r="H6" t="str">
            <v>MARCH|2020|TURQ|NI5BKD</v>
          </cell>
          <cell r="M6">
            <v>400</v>
          </cell>
        </row>
        <row r="7">
          <cell r="A7">
            <v>35</v>
          </cell>
          <cell r="F7" t="str">
            <v>BASURA</v>
          </cell>
          <cell r="H7" t="str">
            <v>ADMINISTRATIVO</v>
          </cell>
          <cell r="M7">
            <v>50</v>
          </cell>
        </row>
        <row r="8">
          <cell r="A8">
            <v>36</v>
          </cell>
          <cell r="F8" t="str">
            <v>PAGO DE HOJALATERIA</v>
          </cell>
          <cell r="H8" t="str">
            <v>CAMIONETA SUSUKI EXTERNA</v>
          </cell>
          <cell r="M8">
            <v>4800</v>
          </cell>
        </row>
        <row r="9">
          <cell r="A9">
            <v>36</v>
          </cell>
          <cell r="F9" t="str">
            <v>GASOLINA PARA MOTO VENTO OP.</v>
          </cell>
          <cell r="H9" t="str">
            <v>MOTO OPERATIVA</v>
          </cell>
          <cell r="M9">
            <v>100</v>
          </cell>
        </row>
        <row r="10">
          <cell r="A10">
            <v>36</v>
          </cell>
          <cell r="F10" t="str">
            <v>VENTA DE GASOLINA +10%</v>
          </cell>
          <cell r="H10" t="str">
            <v>VERSA|2023|PLATA|NCT814A</v>
          </cell>
          <cell r="M10">
            <v>1000</v>
          </cell>
        </row>
        <row r="11">
          <cell r="A11">
            <v>36</v>
          </cell>
          <cell r="F11" t="str">
            <v>REPARACIÓN DE LLANTA</v>
          </cell>
          <cell r="H11" t="str">
            <v>MARCH|2020|TURQ|MAY737C</v>
          </cell>
          <cell r="M11">
            <v>350</v>
          </cell>
        </row>
        <row r="12">
          <cell r="A12">
            <v>36</v>
          </cell>
          <cell r="F12" t="str">
            <v>BALERO DELANTERO IZQUIERDO</v>
          </cell>
          <cell r="H12" t="str">
            <v>VERSA|2020|ROJO|NLP172B</v>
          </cell>
          <cell r="M12">
            <v>270</v>
          </cell>
        </row>
        <row r="13">
          <cell r="A13">
            <v>36</v>
          </cell>
          <cell r="F13" t="str">
            <v>FOCO PARA DIRECCIONAL</v>
          </cell>
          <cell r="H13" t="str">
            <v>MARCH|2020|TURQ|NI5BKD</v>
          </cell>
          <cell r="M13">
            <v>40</v>
          </cell>
        </row>
        <row r="14">
          <cell r="A14">
            <v>36</v>
          </cell>
          <cell r="F14" t="str">
            <v>TALACHA DE LLANTA TRASERA</v>
          </cell>
          <cell r="H14" t="str">
            <v>AVEO|2018|GRIS|X59AWG</v>
          </cell>
          <cell r="M14">
            <v>100</v>
          </cell>
        </row>
        <row r="15">
          <cell r="A15">
            <v>36</v>
          </cell>
          <cell r="F15" t="str">
            <v>GASOLINA UBER GABRIEL</v>
          </cell>
          <cell r="H15" t="str">
            <v>AVEO|2018|GRIS|X59AWG</v>
          </cell>
          <cell r="M15">
            <v>756</v>
          </cell>
        </row>
        <row r="16">
          <cell r="A16">
            <v>36</v>
          </cell>
          <cell r="F16" t="str">
            <v>PAGO DE FACTURAS DE GASOLINA</v>
          </cell>
          <cell r="H16" t="str">
            <v>ADMINISTRATIVO</v>
          </cell>
          <cell r="M16">
            <v>1500</v>
          </cell>
        </row>
        <row r="17">
          <cell r="A17">
            <v>36</v>
          </cell>
          <cell r="F17" t="str">
            <v>VENTA DE GASOLINA + 10%</v>
          </cell>
          <cell r="H17" t="str">
            <v>VERSA|2021|BLANCO|MEE228C</v>
          </cell>
          <cell r="M17">
            <v>500</v>
          </cell>
        </row>
        <row r="18">
          <cell r="A18">
            <v>36</v>
          </cell>
          <cell r="F18" t="str">
            <v>COMPRA DE AVEO 2022 PARTICULAR</v>
          </cell>
          <cell r="H18" t="str">
            <v>AVEO|2023|VINO|R22BMR</v>
          </cell>
          <cell r="M18">
            <v>193000</v>
          </cell>
        </row>
        <row r="19">
          <cell r="A19">
            <v>36</v>
          </cell>
          <cell r="F19" t="str">
            <v>COMPRA DE AVEO 2023 PARTICULAR</v>
          </cell>
          <cell r="H19" t="str">
            <v>AVEO|2022|VINO|P62BHW</v>
          </cell>
          <cell r="M19">
            <v>193000</v>
          </cell>
        </row>
        <row r="20">
          <cell r="A20">
            <v>36</v>
          </cell>
          <cell r="F20" t="str">
            <v>PAGO DE GESTORIA ALTA Y BAJA</v>
          </cell>
          <cell r="H20" t="str">
            <v>VENTO|2017|GRIS|NZV7888</v>
          </cell>
          <cell r="M20">
            <v>1740</v>
          </cell>
        </row>
        <row r="21">
          <cell r="A21">
            <v>36</v>
          </cell>
          <cell r="F21" t="str">
            <v>TOMA DE AGUA VW</v>
          </cell>
          <cell r="H21" t="str">
            <v>VENTO|2018|AMARILLO|PED1652</v>
          </cell>
          <cell r="M21">
            <v>438</v>
          </cell>
        </row>
        <row r="22">
          <cell r="A22">
            <v>36</v>
          </cell>
          <cell r="F22" t="str">
            <v>ADESIVO EN AEROSOL</v>
          </cell>
          <cell r="H22" t="str">
            <v>TALLER</v>
          </cell>
          <cell r="M22">
            <v>239</v>
          </cell>
        </row>
        <row r="23">
          <cell r="A23">
            <v>36</v>
          </cell>
          <cell r="F23" t="str">
            <v>PAGO DE DEDUCIBLE RECUPERACION</v>
          </cell>
          <cell r="H23" t="str">
            <v>AVEO|2022|AZUL|NZY685B</v>
          </cell>
          <cell r="M23">
            <v>16760</v>
          </cell>
        </row>
        <row r="24">
          <cell r="A24">
            <v>36</v>
          </cell>
          <cell r="F24" t="str">
            <v>PAGO DE GASOLINA MOTO</v>
          </cell>
          <cell r="H24" t="str">
            <v>MOTO OPERATIVA</v>
          </cell>
          <cell r="M24">
            <v>200</v>
          </cell>
        </row>
        <row r="25">
          <cell r="A25">
            <v>36</v>
          </cell>
          <cell r="F25" t="str">
            <v>BASURA</v>
          </cell>
          <cell r="H25" t="str">
            <v>ADMINISTRATIVO</v>
          </cell>
          <cell r="M25">
            <v>50</v>
          </cell>
        </row>
        <row r="26">
          <cell r="A26">
            <v>36</v>
          </cell>
          <cell r="F26" t="str">
            <v>LLANTA 175/65 R14</v>
          </cell>
          <cell r="H26" t="str">
            <v>MARCH|2020|TURQ|NI5BKD</v>
          </cell>
          <cell r="M26">
            <v>1102</v>
          </cell>
        </row>
        <row r="27">
          <cell r="A27">
            <v>36</v>
          </cell>
          <cell r="F27" t="str">
            <v>LLANTA 185/65 R15</v>
          </cell>
          <cell r="H27" t="str">
            <v>HYUNDAI|2022|PLATA|D40BKD</v>
          </cell>
          <cell r="M27">
            <v>1276</v>
          </cell>
        </row>
        <row r="28">
          <cell r="A28">
            <v>36</v>
          </cell>
          <cell r="F28" t="str">
            <v>LLANTA 175/65 R15</v>
          </cell>
          <cell r="H28" t="str">
            <v>MARCH|2020|TURQ|MAY737C</v>
          </cell>
          <cell r="M28">
            <v>1160</v>
          </cell>
        </row>
        <row r="29">
          <cell r="A29">
            <v>36</v>
          </cell>
          <cell r="F29" t="str">
            <v>BALERO DELANTERO IZQUIERDO</v>
          </cell>
          <cell r="H29" t="str">
            <v>VERSA|2020|ROJO|NLP172B</v>
          </cell>
          <cell r="M29">
            <v>280</v>
          </cell>
        </row>
        <row r="30">
          <cell r="A30">
            <v>36</v>
          </cell>
          <cell r="F30" t="str">
            <v>MASA DE BALERO IZQUIERDO</v>
          </cell>
          <cell r="H30" t="str">
            <v>VERSA|2020|ROJO|NLP172B</v>
          </cell>
          <cell r="M30">
            <v>220</v>
          </cell>
        </row>
        <row r="31">
          <cell r="A31">
            <v>36</v>
          </cell>
          <cell r="F31" t="str">
            <v>MANO DE OBRA DE BALERO</v>
          </cell>
          <cell r="H31" t="str">
            <v>VERSA|2020|ROJO|NLP172B</v>
          </cell>
          <cell r="M31">
            <v>150</v>
          </cell>
        </row>
        <row r="32">
          <cell r="A32">
            <v>36</v>
          </cell>
          <cell r="F32" t="str">
            <v>GASOLINA PARA MOTO VENTO OP.</v>
          </cell>
          <cell r="H32" t="str">
            <v>MOTO OPERATIVA</v>
          </cell>
          <cell r="M32">
            <v>200</v>
          </cell>
        </row>
        <row r="33">
          <cell r="A33">
            <v>37</v>
          </cell>
          <cell r="F33" t="str">
            <v>HORQUILLA IZQUIERDA DELANTERA</v>
          </cell>
          <cell r="H33" t="str">
            <v>VERSA|2023|PLATA|NCT814A</v>
          </cell>
          <cell r="M33">
            <v>450</v>
          </cell>
        </row>
        <row r="34">
          <cell r="A34">
            <v>37</v>
          </cell>
          <cell r="F34" t="str">
            <v>BALERO DOBLE IZQUIERDO DELANTERDO</v>
          </cell>
          <cell r="H34" t="str">
            <v>VERSA|2023|PLATA|NCT814A</v>
          </cell>
          <cell r="M34">
            <v>270</v>
          </cell>
        </row>
        <row r="35">
          <cell r="A35">
            <v>37</v>
          </cell>
          <cell r="F35" t="str">
            <v>MANO DE OBRA CAMBIO DE BALERO</v>
          </cell>
          <cell r="H35" t="str">
            <v>VERSA|2023|PLATA|NCT814A</v>
          </cell>
          <cell r="M35">
            <v>120</v>
          </cell>
        </row>
        <row r="36">
          <cell r="A36">
            <v>37</v>
          </cell>
          <cell r="F36" t="str">
            <v>LIQUIDO DE FRENOS</v>
          </cell>
          <cell r="H36" t="str">
            <v>KIA RIO|2020|AZUL|LUE960C</v>
          </cell>
          <cell r="M36">
            <v>100</v>
          </cell>
        </row>
        <row r="37">
          <cell r="A37">
            <v>37</v>
          </cell>
          <cell r="F37" t="str">
            <v>GOMAS DE PISTON CALPIS TRASERO DERECHO</v>
          </cell>
          <cell r="H37" t="str">
            <v>KIA RIO|2020|AZUL|LUE960C</v>
          </cell>
          <cell r="M37">
            <v>363</v>
          </cell>
        </row>
        <row r="38">
          <cell r="A38">
            <v>37</v>
          </cell>
          <cell r="F38" t="str">
            <v>TALACHA DE LLANTA TRASERA Y REFACCION</v>
          </cell>
          <cell r="H38" t="str">
            <v>HYUNDAI|2022|PLATA|D40BKD</v>
          </cell>
          <cell r="M38">
            <v>150</v>
          </cell>
        </row>
        <row r="39">
          <cell r="A39">
            <v>37</v>
          </cell>
          <cell r="F39" t="str">
            <v>AMORTIGUADOR IZQUIERDO</v>
          </cell>
          <cell r="H39" t="str">
            <v>VENTO|2018|AMARILLO|PED1652</v>
          </cell>
          <cell r="M39">
            <v>600</v>
          </cell>
        </row>
        <row r="40">
          <cell r="A40">
            <v>37</v>
          </cell>
          <cell r="F40" t="str">
            <v>20 LITROS DE GASOLINA</v>
          </cell>
          <cell r="H40" t="str">
            <v>AVEO|2021|GRIS|MLC126A</v>
          </cell>
          <cell r="M40">
            <v>479.8</v>
          </cell>
        </row>
        <row r="41">
          <cell r="A41">
            <v>37</v>
          </cell>
          <cell r="F41" t="str">
            <v>BASURA</v>
          </cell>
          <cell r="H41" t="str">
            <v>ADMINISTRATIVO</v>
          </cell>
          <cell r="M41">
            <v>50</v>
          </cell>
        </row>
        <row r="42">
          <cell r="A42">
            <v>37</v>
          </cell>
          <cell r="F42" t="str">
            <v>GALON DE ACEITE</v>
          </cell>
          <cell r="H42" t="str">
            <v>AVEO|2018|GRIS|X59AWG</v>
          </cell>
          <cell r="M42">
            <v>550</v>
          </cell>
        </row>
        <row r="43">
          <cell r="A43">
            <v>37</v>
          </cell>
          <cell r="F43" t="str">
            <v>BUJIAS</v>
          </cell>
          <cell r="H43" t="str">
            <v>AVEO|2018|GRIS|X59AWG</v>
          </cell>
          <cell r="M43">
            <v>328</v>
          </cell>
        </row>
        <row r="44">
          <cell r="A44">
            <v>37</v>
          </cell>
          <cell r="F44" t="str">
            <v>FILTRO DE AIRE</v>
          </cell>
          <cell r="H44" t="str">
            <v>AVEO|2018|GRIS|X59AWG</v>
          </cell>
          <cell r="M44">
            <v>0</v>
          </cell>
        </row>
        <row r="45">
          <cell r="A45">
            <v>37</v>
          </cell>
          <cell r="F45" t="str">
            <v>FILTRO DE ACEITE</v>
          </cell>
          <cell r="H45" t="str">
            <v>AVEO|2018|GRIS|X59AWG</v>
          </cell>
          <cell r="M45">
            <v>124</v>
          </cell>
        </row>
        <row r="46">
          <cell r="A46">
            <v>37</v>
          </cell>
          <cell r="F46" t="str">
            <v>BALATAS DELANTERAS</v>
          </cell>
          <cell r="H46" t="str">
            <v>AVEO|2018|GRIS|X59AWG</v>
          </cell>
          <cell r="M46">
            <v>397</v>
          </cell>
        </row>
        <row r="47">
          <cell r="A47">
            <v>37</v>
          </cell>
          <cell r="F47" t="str">
            <v>BALATAS TRASERAS</v>
          </cell>
          <cell r="H47" t="str">
            <v>AVEO|2018|GRIS|X59AWG</v>
          </cell>
          <cell r="M47">
            <v>464</v>
          </cell>
        </row>
        <row r="48">
          <cell r="A48">
            <v>37</v>
          </cell>
          <cell r="F48" t="str">
            <v>GALON DE ACEITE</v>
          </cell>
          <cell r="H48" t="str">
            <v>MARCH|2021|ROJO|NZU5163</v>
          </cell>
          <cell r="M48">
            <v>550</v>
          </cell>
        </row>
        <row r="49">
          <cell r="A49">
            <v>37</v>
          </cell>
          <cell r="F49" t="str">
            <v>BUJIAS</v>
          </cell>
          <cell r="H49" t="str">
            <v>MARCH|2021|ROJO|NZU5163</v>
          </cell>
          <cell r="M49">
            <v>0</v>
          </cell>
        </row>
        <row r="50">
          <cell r="A50">
            <v>37</v>
          </cell>
          <cell r="F50" t="str">
            <v>FILTRO DE AIRE</v>
          </cell>
          <cell r="H50" t="str">
            <v>MARCH|2021|ROJO|NZU5163</v>
          </cell>
          <cell r="M50">
            <v>77</v>
          </cell>
        </row>
        <row r="51">
          <cell r="A51">
            <v>37</v>
          </cell>
          <cell r="F51" t="str">
            <v>FILTRO DE ACEITE</v>
          </cell>
          <cell r="H51" t="str">
            <v>MARCH|2021|ROJO|NZU5163</v>
          </cell>
          <cell r="M51">
            <v>49</v>
          </cell>
        </row>
        <row r="52">
          <cell r="A52">
            <v>37</v>
          </cell>
          <cell r="F52" t="str">
            <v>BALATAS DELANTERAS</v>
          </cell>
          <cell r="H52" t="str">
            <v>MARCH|2021|ROJO|NZU5163</v>
          </cell>
          <cell r="M52">
            <v>358</v>
          </cell>
        </row>
        <row r="53">
          <cell r="A53">
            <v>37</v>
          </cell>
          <cell r="F53" t="str">
            <v>GALON DE ACEITE</v>
          </cell>
          <cell r="H53" t="str">
            <v>AVEO|2020|AZUL|D28BET</v>
          </cell>
          <cell r="M53">
            <v>550</v>
          </cell>
        </row>
        <row r="54">
          <cell r="A54">
            <v>37</v>
          </cell>
          <cell r="F54" t="str">
            <v>BUJIAS</v>
          </cell>
          <cell r="H54" t="str">
            <v>AVEO|2020|AZUL|D28BET</v>
          </cell>
          <cell r="M54">
            <v>328</v>
          </cell>
        </row>
        <row r="55">
          <cell r="A55">
            <v>37</v>
          </cell>
          <cell r="F55" t="str">
            <v>FILTRO DE AIRE</v>
          </cell>
          <cell r="H55" t="str">
            <v>AVEO|2020|AZUL|D28BET</v>
          </cell>
          <cell r="M55">
            <v>0</v>
          </cell>
        </row>
        <row r="56">
          <cell r="A56">
            <v>37</v>
          </cell>
          <cell r="F56" t="str">
            <v>FILTRO DE ACEITE</v>
          </cell>
          <cell r="H56" t="str">
            <v>AVEO|2020|AZUL|D28BET</v>
          </cell>
          <cell r="M56">
            <v>124</v>
          </cell>
        </row>
        <row r="57">
          <cell r="A57">
            <v>37</v>
          </cell>
          <cell r="F57" t="str">
            <v>BALATAS DELANTERAS</v>
          </cell>
          <cell r="H57" t="str">
            <v>AVEO|2020|AZUL|D28BET</v>
          </cell>
          <cell r="M57">
            <v>397</v>
          </cell>
        </row>
        <row r="58">
          <cell r="A58">
            <v>37</v>
          </cell>
          <cell r="F58" t="str">
            <v>FACTURAS DE GASOLINA</v>
          </cell>
          <cell r="H58" t="str">
            <v>ADMINISTRATIVO</v>
          </cell>
          <cell r="M58">
            <v>1500</v>
          </cell>
        </row>
        <row r="59">
          <cell r="A59">
            <v>37</v>
          </cell>
          <cell r="F59" t="str">
            <v>ELECTRICO REVISION</v>
          </cell>
          <cell r="H59" t="str">
            <v>VENTO|2017|GRIS|MMA672C</v>
          </cell>
          <cell r="M59">
            <v>250</v>
          </cell>
        </row>
        <row r="60">
          <cell r="A60">
            <v>37</v>
          </cell>
          <cell r="F60" t="str">
            <v xml:space="preserve">VERIFICACIÓN </v>
          </cell>
          <cell r="H60" t="str">
            <v>AVEO|2021|GRIS|MLC126A</v>
          </cell>
          <cell r="M60">
            <v>1131</v>
          </cell>
        </row>
        <row r="61">
          <cell r="A61">
            <v>37</v>
          </cell>
          <cell r="F61" t="str">
            <v>ELECTRICO CARGA DE BATERIA</v>
          </cell>
          <cell r="H61" t="str">
            <v>VENTO|2017|GRIS|MMA672C</v>
          </cell>
          <cell r="M61">
            <v>100</v>
          </cell>
        </row>
        <row r="62">
          <cell r="A62">
            <v>37</v>
          </cell>
          <cell r="F62" t="str">
            <v>ELECTRICO CARGA DE BATERIA</v>
          </cell>
          <cell r="H62" t="str">
            <v>VENTO|2017|GRIS|MMA672C</v>
          </cell>
          <cell r="M62">
            <v>100</v>
          </cell>
        </row>
        <row r="63">
          <cell r="A63">
            <v>37</v>
          </cell>
          <cell r="F63" t="str">
            <v>ELECTRICO CARGA DE BATERIA</v>
          </cell>
          <cell r="H63" t="str">
            <v>TALLER</v>
          </cell>
          <cell r="M63">
            <v>100</v>
          </cell>
        </row>
        <row r="64">
          <cell r="A64">
            <v>37</v>
          </cell>
          <cell r="F64" t="str">
            <v>ELECTRICO CARGA DE BATERIA</v>
          </cell>
          <cell r="H64" t="str">
            <v>TALLER</v>
          </cell>
          <cell r="M64">
            <v>100</v>
          </cell>
        </row>
        <row r="65">
          <cell r="A65">
            <v>37</v>
          </cell>
          <cell r="F65" t="str">
            <v>FOCOS PARA DIRECCIONAL</v>
          </cell>
          <cell r="H65" t="str">
            <v>MARCH|2021|BLANCO|MGC417C</v>
          </cell>
          <cell r="M65">
            <v>60</v>
          </cell>
        </row>
        <row r="66">
          <cell r="A66">
            <v>38</v>
          </cell>
          <cell r="F66" t="str">
            <v>GASOLINA PARA MOTO VENTO OP.</v>
          </cell>
          <cell r="H66" t="str">
            <v>MOTO OPERATIVA</v>
          </cell>
          <cell r="M66">
            <v>50</v>
          </cell>
        </row>
        <row r="67">
          <cell r="A67">
            <v>38</v>
          </cell>
          <cell r="F67" t="str">
            <v>MANGUERA DE VACIO</v>
          </cell>
          <cell r="H67" t="str">
            <v>MARCH|2020|TURQ|NI5BKD</v>
          </cell>
          <cell r="M67">
            <v>45</v>
          </cell>
        </row>
        <row r="68">
          <cell r="A68">
            <v>38</v>
          </cell>
          <cell r="F68" t="str">
            <v>DOS TALACHAS</v>
          </cell>
          <cell r="H68" t="str">
            <v>VENTO|2019|BLANCO|LUE965C</v>
          </cell>
          <cell r="M68">
            <v>100</v>
          </cell>
        </row>
        <row r="69">
          <cell r="A69">
            <v>38</v>
          </cell>
          <cell r="F69" t="str">
            <v>TALACHA</v>
          </cell>
          <cell r="H69" t="str">
            <v>MARCH|2020|TURQ|NI5BKD</v>
          </cell>
          <cell r="M69">
            <v>50</v>
          </cell>
        </row>
        <row r="70">
          <cell r="A70">
            <v>38</v>
          </cell>
          <cell r="F70" t="str">
            <v xml:space="preserve">VERIFICACIÓN </v>
          </cell>
          <cell r="H70" t="str">
            <v>AVEO|2020|AZUL|D28BET</v>
          </cell>
          <cell r="M70">
            <v>740</v>
          </cell>
        </row>
        <row r="71">
          <cell r="A71">
            <v>38</v>
          </cell>
          <cell r="F71" t="str">
            <v>FOCOS AMBAR</v>
          </cell>
          <cell r="H71" t="str">
            <v>TALLER</v>
          </cell>
          <cell r="M71">
            <v>50</v>
          </cell>
        </row>
        <row r="72">
          <cell r="A72">
            <v>38</v>
          </cell>
          <cell r="F72" t="str">
            <v>FOCOS PARA DIRECCIONAL</v>
          </cell>
          <cell r="H72" t="str">
            <v>AVEO|2020|AZUL|D28BET</v>
          </cell>
          <cell r="M72">
            <v>40</v>
          </cell>
        </row>
        <row r="73">
          <cell r="A73">
            <v>38</v>
          </cell>
          <cell r="F73" t="str">
            <v>ALTERNADOR</v>
          </cell>
          <cell r="H73" t="str">
            <v>VENTO|2017|GRIS|MMA672C</v>
          </cell>
          <cell r="M73">
            <v>2082</v>
          </cell>
        </row>
        <row r="74">
          <cell r="A74">
            <v>38</v>
          </cell>
          <cell r="F74" t="str">
            <v>PROPINA DE REFACCIONARIA</v>
          </cell>
          <cell r="H74" t="str">
            <v>VENTO|2017|GRIS|MMA672C</v>
          </cell>
          <cell r="M74">
            <v>18</v>
          </cell>
        </row>
        <row r="75">
          <cell r="A75">
            <v>38</v>
          </cell>
          <cell r="F75" t="str">
            <v>PAGO DE FACTURAS</v>
          </cell>
          <cell r="H75" t="str">
            <v>ADMINISTRACIÓN</v>
          </cell>
          <cell r="M75">
            <v>1500</v>
          </cell>
        </row>
        <row r="76">
          <cell r="A76">
            <v>38</v>
          </cell>
          <cell r="F76" t="str">
            <v>PAGO DE POLICIA MUF</v>
          </cell>
          <cell r="H76" t="str">
            <v>OPERACIÓN</v>
          </cell>
          <cell r="M76">
            <v>200</v>
          </cell>
        </row>
        <row r="77">
          <cell r="A77">
            <v>38</v>
          </cell>
          <cell r="F77" t="str">
            <v>CAFÉ PARA OPERACIÓN</v>
          </cell>
          <cell r="H77" t="str">
            <v>OPERACIÓN</v>
          </cell>
          <cell r="M77">
            <v>50</v>
          </cell>
        </row>
        <row r="78">
          <cell r="A78">
            <v>38</v>
          </cell>
          <cell r="F78" t="str">
            <v>GALON DE ACEITE</v>
          </cell>
          <cell r="H78" t="str">
            <v>KIA RIO|2020|GRIS|NCK475B</v>
          </cell>
          <cell r="M78">
            <v>550</v>
          </cell>
        </row>
        <row r="79">
          <cell r="A79">
            <v>38</v>
          </cell>
          <cell r="F79" t="str">
            <v>BUJIAS</v>
          </cell>
          <cell r="H79" t="str">
            <v>KIA RIO|2020|GRIS|NCK475B</v>
          </cell>
          <cell r="M79">
            <v>0</v>
          </cell>
        </row>
        <row r="80">
          <cell r="A80">
            <v>38</v>
          </cell>
          <cell r="F80" t="str">
            <v>FILTRO DE AIRE</v>
          </cell>
          <cell r="H80" t="str">
            <v>KIA RIO|2020|GRIS|NCK475B</v>
          </cell>
          <cell r="M80">
            <v>50</v>
          </cell>
        </row>
        <row r="81">
          <cell r="A81">
            <v>38</v>
          </cell>
          <cell r="F81" t="str">
            <v>FILTRO DE ACEITE</v>
          </cell>
          <cell r="H81" t="str">
            <v>KIA RIO|2020|GRIS|NCK475B</v>
          </cell>
          <cell r="M81">
            <v>50</v>
          </cell>
        </row>
        <row r="82">
          <cell r="A82">
            <v>38</v>
          </cell>
          <cell r="F82" t="str">
            <v>MASA DE BALERO</v>
          </cell>
          <cell r="H82" t="str">
            <v>AVEO|2018|ROJO|R51BKD</v>
          </cell>
          <cell r="M82">
            <v>183</v>
          </cell>
        </row>
        <row r="83">
          <cell r="A83">
            <v>38</v>
          </cell>
          <cell r="F83" t="str">
            <v>BALERO DOBLE IZQUIERDO</v>
          </cell>
          <cell r="H83" t="str">
            <v>AVEO|2018|ROJO|R51BKD</v>
          </cell>
          <cell r="M83">
            <v>365</v>
          </cell>
        </row>
        <row r="84">
          <cell r="A84">
            <v>38</v>
          </cell>
          <cell r="F84" t="str">
            <v>GASOLINA PARA MOTO VENTO OP.</v>
          </cell>
          <cell r="H84" t="str">
            <v>MOTO OPERATIVA</v>
          </cell>
          <cell r="M84">
            <v>200</v>
          </cell>
        </row>
        <row r="85">
          <cell r="A85">
            <v>38</v>
          </cell>
          <cell r="F85" t="str">
            <v>GASOLINA APOYO</v>
          </cell>
          <cell r="H85" t="str">
            <v>MARCH|2021|BLANCO|MGC417C</v>
          </cell>
          <cell r="M85">
            <v>966</v>
          </cell>
        </row>
        <row r="86">
          <cell r="A86">
            <v>38</v>
          </cell>
          <cell r="F86" t="str">
            <v>PRENSA DE BALERO</v>
          </cell>
          <cell r="H86" t="str">
            <v>AVEO|2018|ROJO|R51BKD</v>
          </cell>
          <cell r="M86">
            <v>120</v>
          </cell>
        </row>
        <row r="87">
          <cell r="A87">
            <v>38</v>
          </cell>
          <cell r="F87" t="str">
            <v xml:space="preserve">VERIFICACIÓN </v>
          </cell>
          <cell r="H87" t="str">
            <v>VENTO|2017|GRIS|MMA672C</v>
          </cell>
          <cell r="M87">
            <v>740</v>
          </cell>
        </row>
        <row r="88">
          <cell r="A88">
            <v>38</v>
          </cell>
          <cell r="F88" t="str">
            <v>GASOLINA</v>
          </cell>
          <cell r="H88" t="str">
            <v>AVEO|2021|GRIS|MLC126A</v>
          </cell>
          <cell r="M88">
            <v>250</v>
          </cell>
        </row>
        <row r="89">
          <cell r="A89">
            <v>38</v>
          </cell>
          <cell r="F89" t="str">
            <v>BRINCO POR NO ENCENDER</v>
          </cell>
          <cell r="H89" t="str">
            <v>VENTO|2017|GRIS|MMA672C</v>
          </cell>
          <cell r="M89">
            <v>50</v>
          </cell>
        </row>
        <row r="90">
          <cell r="A90">
            <v>38</v>
          </cell>
          <cell r="F90" t="str">
            <v>GASOLINA DE ASISTENCIA</v>
          </cell>
          <cell r="H90" t="str">
            <v>KIA|2020|AZUL|LUE960C</v>
          </cell>
          <cell r="M90">
            <v>100</v>
          </cell>
        </row>
        <row r="91">
          <cell r="A91">
            <v>38</v>
          </cell>
          <cell r="F91" t="str">
            <v>GASOLINA PARA GPS</v>
          </cell>
          <cell r="H91" t="str">
            <v>VENTO|2019|BLANCO|MGC410C</v>
          </cell>
          <cell r="M91">
            <v>200</v>
          </cell>
        </row>
        <row r="92">
          <cell r="A92">
            <v>39</v>
          </cell>
          <cell r="F92" t="str">
            <v>AUTOLAVADO</v>
          </cell>
          <cell r="H92" t="str">
            <v>KIA|2020|AZUL|LUE960C</v>
          </cell>
          <cell r="M92">
            <v>120</v>
          </cell>
        </row>
        <row r="93">
          <cell r="A93">
            <v>39</v>
          </cell>
          <cell r="F93" t="str">
            <v>ELECTRICO</v>
          </cell>
          <cell r="H93" t="str">
            <v>VENTO|2017|GRIS|MMA672C</v>
          </cell>
          <cell r="M93">
            <v>500</v>
          </cell>
        </row>
        <row r="94">
          <cell r="A94">
            <v>39</v>
          </cell>
          <cell r="F94" t="str">
            <v>GASOLINA APOYO</v>
          </cell>
          <cell r="H94" t="str">
            <v>MARCH|2021|BLANCO|MGC417C</v>
          </cell>
          <cell r="M94">
            <v>807</v>
          </cell>
        </row>
        <row r="95">
          <cell r="A95">
            <v>39</v>
          </cell>
          <cell r="F95" t="str">
            <v>GASOLINA APOYO</v>
          </cell>
          <cell r="H95" t="str">
            <v>MARCH|2021|BLANCO|MGC417C</v>
          </cell>
          <cell r="M95">
            <v>200</v>
          </cell>
        </row>
        <row r="96">
          <cell r="A96">
            <v>39</v>
          </cell>
          <cell r="F96" t="str">
            <v>DEDUCIBLE DE PARABRISAS</v>
          </cell>
          <cell r="H96" t="str">
            <v>AVEO|2018|ROJO|R51BKD</v>
          </cell>
          <cell r="M96">
            <v>440</v>
          </cell>
        </row>
        <row r="97">
          <cell r="A97">
            <v>39</v>
          </cell>
          <cell r="F97" t="str">
            <v xml:space="preserve">VERIFICACIÓN </v>
          </cell>
          <cell r="H97" t="str">
            <v>KIA RIO|2021|ROJO|MFP751C</v>
          </cell>
          <cell r="M97">
            <v>740</v>
          </cell>
        </row>
        <row r="98">
          <cell r="A98">
            <v>39</v>
          </cell>
          <cell r="F98" t="str">
            <v>REVISION DE BATERIA</v>
          </cell>
          <cell r="H98" t="str">
            <v>MARCH|2021|ROJO|NZU5163</v>
          </cell>
          <cell r="M98">
            <v>30</v>
          </cell>
        </row>
        <row r="99">
          <cell r="A99">
            <v>39</v>
          </cell>
          <cell r="F99" t="str">
            <v>REPARACIÓN DE MARCHA</v>
          </cell>
          <cell r="H99" t="str">
            <v>MARCH|2020|TURQ|NI5BKD</v>
          </cell>
          <cell r="M99">
            <v>250</v>
          </cell>
        </row>
        <row r="100">
          <cell r="A100">
            <v>39</v>
          </cell>
          <cell r="F100" t="str">
            <v>ABRAZADERAS DE MANGERA ANTICONGELANTE</v>
          </cell>
          <cell r="H100" t="str">
            <v>VENTO|2019|BLANCO|LUE965C</v>
          </cell>
          <cell r="M100">
            <v>40</v>
          </cell>
        </row>
        <row r="101">
          <cell r="A101">
            <v>39</v>
          </cell>
          <cell r="F101" t="str">
            <v>CARBONES PARA ALTERNADOR</v>
          </cell>
          <cell r="H101" t="str">
            <v>MARCH|2020|TURQ|NI5BKD</v>
          </cell>
          <cell r="M101">
            <v>20</v>
          </cell>
        </row>
        <row r="102">
          <cell r="A102">
            <v>39</v>
          </cell>
          <cell r="F102" t="str">
            <v>LLAVE DE CRUZ</v>
          </cell>
          <cell r="H102" t="str">
            <v>VENTO|2019|BLANCO|MGC410C</v>
          </cell>
          <cell r="M102">
            <v>135</v>
          </cell>
        </row>
        <row r="103">
          <cell r="A103">
            <v>39</v>
          </cell>
          <cell r="F103" t="str">
            <v>RETROVISOR</v>
          </cell>
          <cell r="H103" t="str">
            <v>VENTO|2019|BLANCO|MGC410C</v>
          </cell>
          <cell r="M103">
            <v>165</v>
          </cell>
        </row>
        <row r="104">
          <cell r="A104">
            <v>39</v>
          </cell>
          <cell r="F104" t="str">
            <v>GASOLINA</v>
          </cell>
          <cell r="H104" t="str">
            <v>VENTO|2019|BLANCO|MGC410C</v>
          </cell>
          <cell r="M104">
            <v>150</v>
          </cell>
        </row>
        <row r="105">
          <cell r="A105">
            <v>39</v>
          </cell>
          <cell r="F105" t="str">
            <v>GASOLINA</v>
          </cell>
          <cell r="H105" t="str">
            <v>MARCH|2020|TURQ|NI5BKD</v>
          </cell>
          <cell r="M105">
            <v>300</v>
          </cell>
        </row>
        <row r="106">
          <cell r="A106">
            <v>39</v>
          </cell>
          <cell r="F106" t="str">
            <v>CAUTIN PARA BATERIAS</v>
          </cell>
          <cell r="H106" t="str">
            <v>TALLER</v>
          </cell>
          <cell r="M106">
            <v>200</v>
          </cell>
        </row>
        <row r="107">
          <cell r="A107">
            <v>39</v>
          </cell>
          <cell r="F107" t="str">
            <v>FILTRO DE AIRE</v>
          </cell>
          <cell r="H107" t="str">
            <v>MARCH|2020|TURQ|MAY737C</v>
          </cell>
          <cell r="M107">
            <v>120</v>
          </cell>
        </row>
        <row r="108">
          <cell r="A108">
            <v>39</v>
          </cell>
          <cell r="F108" t="str">
            <v>CLOUCH COMPLETO</v>
          </cell>
          <cell r="H108" t="str">
            <v>VENTO|2018|AMARILLO|PED1652</v>
          </cell>
          <cell r="M108">
            <v>3600</v>
          </cell>
        </row>
        <row r="109">
          <cell r="A109">
            <v>39</v>
          </cell>
          <cell r="F109" t="str">
            <v>HORQUILLA IZQUIERDA DELANTERA</v>
          </cell>
          <cell r="H109" t="str">
            <v>VENTO|2018|AMARILLO|PED1652</v>
          </cell>
          <cell r="M109">
            <v>350</v>
          </cell>
        </row>
        <row r="110">
          <cell r="A110">
            <v>39</v>
          </cell>
          <cell r="F110" t="str">
            <v xml:space="preserve">2 PLUMAS 16¨ </v>
          </cell>
          <cell r="H110" t="str">
            <v>KIA|2020|AZUL|LUE960C</v>
          </cell>
          <cell r="M110">
            <v>480</v>
          </cell>
        </row>
        <row r="111">
          <cell r="A111">
            <v>39</v>
          </cell>
          <cell r="F111" t="str">
            <v>PENSION DE CORRALON</v>
          </cell>
          <cell r="H111" t="str">
            <v>AVEO|2022|VINO|P62BHW</v>
          </cell>
          <cell r="M111">
            <v>100</v>
          </cell>
        </row>
        <row r="112">
          <cell r="A112">
            <v>39</v>
          </cell>
          <cell r="F112" t="str">
            <v>GASOLINA CORRALON</v>
          </cell>
          <cell r="H112" t="str">
            <v>MARCH|2020|TURQ|N15BKD</v>
          </cell>
          <cell r="M112">
            <v>100</v>
          </cell>
        </row>
        <row r="113">
          <cell r="A113">
            <v>39</v>
          </cell>
          <cell r="F113" t="str">
            <v>GASOLINA MODULO</v>
          </cell>
          <cell r="H113" t="str">
            <v>BEAT|2019|OCRE|MAY730C</v>
          </cell>
          <cell r="M113">
            <v>200</v>
          </cell>
        </row>
        <row r="114">
          <cell r="A114">
            <v>39</v>
          </cell>
          <cell r="F114" t="str">
            <v>FOCO DE DIRECCIONAL</v>
          </cell>
          <cell r="H114" t="str">
            <v>MARCH|2021|BLANCO|MGC417C</v>
          </cell>
          <cell r="M114">
            <v>20</v>
          </cell>
        </row>
        <row r="115">
          <cell r="A115">
            <v>39</v>
          </cell>
          <cell r="F115" t="str">
            <v>AUTOLAVADO</v>
          </cell>
          <cell r="H115" t="str">
            <v>MARCH|2021|BLANCO|MGC417C</v>
          </cell>
          <cell r="M115">
            <v>110</v>
          </cell>
        </row>
        <row r="116">
          <cell r="A116">
            <v>39</v>
          </cell>
          <cell r="F116" t="str">
            <v>COPIAS MP</v>
          </cell>
          <cell r="H116" t="str">
            <v>OPERACIÓN</v>
          </cell>
          <cell r="M116">
            <v>60</v>
          </cell>
        </row>
        <row r="117">
          <cell r="A117">
            <v>39</v>
          </cell>
          <cell r="F117" t="str">
            <v>GASOLINA DE APOYO MP</v>
          </cell>
          <cell r="H117" t="str">
            <v>OPERACIÓN</v>
          </cell>
          <cell r="M117">
            <v>250</v>
          </cell>
        </row>
        <row r="118">
          <cell r="A118">
            <v>39</v>
          </cell>
          <cell r="F118" t="str">
            <v>MODULO</v>
          </cell>
          <cell r="H118" t="str">
            <v>BEAT|2019|OCRE|MAY730C</v>
          </cell>
          <cell r="M118">
            <v>6500</v>
          </cell>
        </row>
        <row r="119">
          <cell r="A119">
            <v>39</v>
          </cell>
          <cell r="F119" t="str">
            <v>REPARACIÓN DE DIRECCIÓN</v>
          </cell>
          <cell r="H119" t="str">
            <v>BEAT|2019|OCRE|MAY730C</v>
          </cell>
          <cell r="M119">
            <v>200</v>
          </cell>
        </row>
        <row r="120">
          <cell r="A120">
            <v>39</v>
          </cell>
          <cell r="F120" t="str">
            <v xml:space="preserve">GASOLINA PARA RECOGER COCHE </v>
          </cell>
          <cell r="H120" t="str">
            <v>BEAT|2019|OCRE|MAY730C</v>
          </cell>
          <cell r="M120">
            <v>245</v>
          </cell>
        </row>
        <row r="121">
          <cell r="A121">
            <v>39</v>
          </cell>
          <cell r="F121" t="str">
            <v>COPIAS MP</v>
          </cell>
          <cell r="H121" t="str">
            <v>OPERACIÓN</v>
          </cell>
          <cell r="M121">
            <v>150</v>
          </cell>
        </row>
        <row r="122">
          <cell r="A122">
            <v>39</v>
          </cell>
          <cell r="F122" t="str">
            <v>PILA PARA CONTROL</v>
          </cell>
          <cell r="H122" t="str">
            <v>MARCH|2020|TURQ|MAY737C</v>
          </cell>
          <cell r="M122">
            <v>29</v>
          </cell>
        </row>
        <row r="123">
          <cell r="A123">
            <v>39</v>
          </cell>
          <cell r="F123" t="str">
            <v>CABLES PARA CORRIENTE</v>
          </cell>
          <cell r="H123" t="str">
            <v>TALLER</v>
          </cell>
          <cell r="M123">
            <v>289</v>
          </cell>
        </row>
        <row r="124">
          <cell r="A124">
            <v>40</v>
          </cell>
          <cell r="F124" t="str">
            <v>GASOLINA</v>
          </cell>
          <cell r="H124" t="str">
            <v>BEAT|2019|OCRE|MAY730C</v>
          </cell>
          <cell r="M124">
            <v>500</v>
          </cell>
        </row>
        <row r="125">
          <cell r="A125">
            <v>40</v>
          </cell>
          <cell r="F125" t="str">
            <v>BOBINAS (2)</v>
          </cell>
          <cell r="H125" t="str">
            <v>VENTO|2017|GRIS|MMA672C</v>
          </cell>
          <cell r="M125">
            <v>1170</v>
          </cell>
        </row>
        <row r="126">
          <cell r="A126">
            <v>40</v>
          </cell>
          <cell r="F126" t="str">
            <v>SET DE BUJES</v>
          </cell>
          <cell r="H126" t="str">
            <v>AVEO|2023|VINO|R22BMR</v>
          </cell>
          <cell r="M126">
            <v>150</v>
          </cell>
        </row>
        <row r="127">
          <cell r="A127">
            <v>40</v>
          </cell>
          <cell r="F127" t="str">
            <v>ACEITE PARA TRANSMISION</v>
          </cell>
          <cell r="H127" t="str">
            <v>AVEO|2023|VINO|R22BMR</v>
          </cell>
          <cell r="M127">
            <v>95</v>
          </cell>
        </row>
        <row r="128">
          <cell r="A128">
            <v>40</v>
          </cell>
          <cell r="F128" t="str">
            <v>COLLARIN</v>
          </cell>
          <cell r="H128" t="str">
            <v>BEAT|2019|OCRE|MAY730C</v>
          </cell>
          <cell r="M128">
            <v>180</v>
          </cell>
        </row>
        <row r="129">
          <cell r="A129">
            <v>40</v>
          </cell>
          <cell r="F129" t="str">
            <v>BATERIA</v>
          </cell>
          <cell r="H129" t="str">
            <v>KIA|2017|ROJO|MYE912A</v>
          </cell>
          <cell r="M129">
            <v>2010</v>
          </cell>
        </row>
        <row r="130">
          <cell r="A130">
            <v>40</v>
          </cell>
          <cell r="F130" t="str">
            <v>COLA LOKA</v>
          </cell>
          <cell r="H130" t="str">
            <v>TALLER</v>
          </cell>
          <cell r="M130">
            <v>30</v>
          </cell>
        </row>
        <row r="131">
          <cell r="A131">
            <v>40</v>
          </cell>
          <cell r="F131" t="str">
            <v>LIMONES</v>
          </cell>
          <cell r="H131" t="str">
            <v>TALLER</v>
          </cell>
          <cell r="M131">
            <v>10</v>
          </cell>
        </row>
        <row r="132">
          <cell r="A132">
            <v>40</v>
          </cell>
          <cell r="F132" t="str">
            <v>FOCOS PARA FARO</v>
          </cell>
          <cell r="H132" t="str">
            <v>VENTO|2019|BLANCO|MGC410C</v>
          </cell>
          <cell r="M132">
            <v>90</v>
          </cell>
        </row>
        <row r="133">
          <cell r="A133">
            <v>40</v>
          </cell>
          <cell r="F133" t="str">
            <v>BATERIA</v>
          </cell>
          <cell r="H133" t="str">
            <v>VERSA|2020|ROJO|NLP172B</v>
          </cell>
          <cell r="M133">
            <v>1710</v>
          </cell>
        </row>
        <row r="134">
          <cell r="A134">
            <v>40</v>
          </cell>
          <cell r="F134" t="str">
            <v>ALTERNADOR</v>
          </cell>
          <cell r="H134" t="str">
            <v>MARCH|2020|TURQ|NI5BKD</v>
          </cell>
          <cell r="M134">
            <v>1750</v>
          </cell>
        </row>
        <row r="135">
          <cell r="A135">
            <v>40</v>
          </cell>
          <cell r="F135" t="str">
            <v>HORQUILLAS (2)</v>
          </cell>
          <cell r="H135" t="str">
            <v>VENTO|2019|BLANCO|LUE965C</v>
          </cell>
          <cell r="M135">
            <v>720</v>
          </cell>
        </row>
        <row r="136">
          <cell r="A136">
            <v>40</v>
          </cell>
          <cell r="F136" t="str">
            <v>AUTOLAVADO</v>
          </cell>
          <cell r="H136" t="str">
            <v>AVEO|2022|VINO|P62BHW</v>
          </cell>
          <cell r="M136">
            <v>110</v>
          </cell>
        </row>
        <row r="137">
          <cell r="A137">
            <v>40</v>
          </cell>
          <cell r="F137" t="str">
            <v>AUTOLAVADO</v>
          </cell>
          <cell r="H137" t="str">
            <v>MARCH|2020|TURQ|MAY737C</v>
          </cell>
          <cell r="M137">
            <v>110</v>
          </cell>
        </row>
        <row r="138">
          <cell r="A138">
            <v>40</v>
          </cell>
          <cell r="F138" t="str">
            <v>FACTURAS SEP JAIME</v>
          </cell>
          <cell r="H138" t="str">
            <v>ADMINISTRACIÓN</v>
          </cell>
          <cell r="M138">
            <v>2442</v>
          </cell>
        </row>
        <row r="139">
          <cell r="A139">
            <v>40</v>
          </cell>
          <cell r="F139" t="str">
            <v>FACTURAS ASHC-BYER</v>
          </cell>
          <cell r="H139" t="str">
            <v>ADMINISTRACIÓN</v>
          </cell>
          <cell r="M139">
            <v>1500</v>
          </cell>
        </row>
        <row r="140">
          <cell r="A140">
            <v>40</v>
          </cell>
          <cell r="F140" t="str">
            <v>CUERPO DE ACELERACIÓN</v>
          </cell>
          <cell r="H140" t="str">
            <v>VENTO|2019|BLANCO|MGC410C</v>
          </cell>
          <cell r="M140">
            <v>1492</v>
          </cell>
        </row>
        <row r="141">
          <cell r="A141">
            <v>40</v>
          </cell>
          <cell r="F141" t="str">
            <v>PERMISO PARA MOTO VENTO</v>
          </cell>
          <cell r="H141" t="str">
            <v>OPERACIÓN</v>
          </cell>
          <cell r="M141">
            <v>100</v>
          </cell>
        </row>
        <row r="142">
          <cell r="A142">
            <v>40</v>
          </cell>
          <cell r="F142" t="str">
            <v>PAGO DE DERECHOS TARJETA DE CIRCULACION</v>
          </cell>
          <cell r="H142" t="str">
            <v>VENTO|2020|GRIS|R66BER</v>
          </cell>
          <cell r="M142">
            <v>417</v>
          </cell>
        </row>
        <row r="143">
          <cell r="A143">
            <v>40</v>
          </cell>
          <cell r="F143" t="str">
            <v>RECARGA OPERACIÓN</v>
          </cell>
          <cell r="H143" t="str">
            <v>OPERACIÓN</v>
          </cell>
          <cell r="M143">
            <v>100</v>
          </cell>
        </row>
        <row r="144">
          <cell r="A144">
            <v>40</v>
          </cell>
          <cell r="F144" t="str">
            <v>GASOLINA OPERACIÓN</v>
          </cell>
          <cell r="H144" t="str">
            <v>BEAT|2019|OCRE|MAY730C</v>
          </cell>
          <cell r="M144">
            <v>200</v>
          </cell>
        </row>
        <row r="145">
          <cell r="A145">
            <v>40</v>
          </cell>
          <cell r="F145" t="str">
            <v>PLAZA VIAJE</v>
          </cell>
          <cell r="H145" t="str">
            <v>OPERACIÓN</v>
          </cell>
          <cell r="M145">
            <v>30</v>
          </cell>
        </row>
        <row r="146">
          <cell r="A146">
            <v>40</v>
          </cell>
          <cell r="F146" t="str">
            <v>FILTRO DE ACEITE (2)</v>
          </cell>
          <cell r="H146" t="str">
            <v>JAC CAMIONETA</v>
          </cell>
          <cell r="M146">
            <v>720</v>
          </cell>
        </row>
        <row r="147">
          <cell r="A147">
            <v>40</v>
          </cell>
          <cell r="F147" t="str">
            <v>FILTO DE AIRE (2)</v>
          </cell>
          <cell r="H147" t="str">
            <v>JAC CAMIONETA</v>
          </cell>
          <cell r="M147">
            <v>1263</v>
          </cell>
        </row>
        <row r="148">
          <cell r="A148">
            <v>40</v>
          </cell>
          <cell r="F148" t="str">
            <v>FILTRO (2)</v>
          </cell>
          <cell r="H148" t="str">
            <v>JAC CAMIONETA</v>
          </cell>
          <cell r="M148">
            <v>2338</v>
          </cell>
        </row>
        <row r="149">
          <cell r="A149">
            <v>40</v>
          </cell>
          <cell r="F149" t="str">
            <v>ANTICIPO REFACCIONES</v>
          </cell>
          <cell r="H149" t="str">
            <v>JAC CAMIONETA</v>
          </cell>
          <cell r="M149">
            <v>3931</v>
          </cell>
        </row>
        <row r="150">
          <cell r="A150">
            <v>40</v>
          </cell>
          <cell r="F150" t="str">
            <v>HOJALATERIA</v>
          </cell>
          <cell r="H150" t="str">
            <v>AVEO|2022|VINO|P62BHW</v>
          </cell>
          <cell r="M150">
            <v>5500</v>
          </cell>
        </row>
        <row r="151">
          <cell r="A151">
            <v>40</v>
          </cell>
          <cell r="F151" t="str">
            <v>CLOUCH COMPLETO</v>
          </cell>
          <cell r="H151" t="str">
            <v>BEAT|2020|GRIS|NFN014B</v>
          </cell>
          <cell r="M151">
            <v>1478</v>
          </cell>
        </row>
        <row r="152">
          <cell r="A152">
            <v>40</v>
          </cell>
          <cell r="F152" t="str">
            <v>GASOLINA MOTO OP.</v>
          </cell>
          <cell r="H152" t="str">
            <v>OPERACIÓN</v>
          </cell>
          <cell r="M152">
            <v>200</v>
          </cell>
        </row>
        <row r="153">
          <cell r="A153">
            <v>40</v>
          </cell>
          <cell r="F153" t="str">
            <v>BANDA DE ACCESORIOS</v>
          </cell>
          <cell r="H153" t="str">
            <v>JAC CAMIONETA</v>
          </cell>
          <cell r="M153">
            <v>3931</v>
          </cell>
        </row>
        <row r="154">
          <cell r="A154">
            <v>41</v>
          </cell>
          <cell r="F154" t="str">
            <v>8 LITROS DE ACEITE 15W40</v>
          </cell>
          <cell r="H154" t="str">
            <v>JAC CAMIONETA</v>
          </cell>
          <cell r="M154">
            <v>760</v>
          </cell>
        </row>
        <row r="155">
          <cell r="A155">
            <v>41</v>
          </cell>
          <cell r="F155" t="str">
            <v>RECTIFICACION DE DISCOS</v>
          </cell>
          <cell r="H155" t="str">
            <v>BEAT|2020|GRIS|NFN014B</v>
          </cell>
          <cell r="M155">
            <v>250</v>
          </cell>
        </row>
        <row r="156">
          <cell r="A156">
            <v>41</v>
          </cell>
          <cell r="F156" t="str">
            <v>CAMBIO DE BALERO (PRENSA)</v>
          </cell>
          <cell r="H156" t="str">
            <v>BEAT|2020|GRIS|NFN014B</v>
          </cell>
          <cell r="M156">
            <v>100</v>
          </cell>
        </row>
        <row r="157">
          <cell r="A157">
            <v>41</v>
          </cell>
          <cell r="F157" t="str">
            <v>GASOLINA PARA APOYO</v>
          </cell>
          <cell r="H157" t="str">
            <v>MARCH|2020|TURQ|MAY737C</v>
          </cell>
          <cell r="M157">
            <v>729</v>
          </cell>
        </row>
        <row r="158">
          <cell r="A158">
            <v>41</v>
          </cell>
          <cell r="F158" t="str">
            <v>PROPINA GAS</v>
          </cell>
          <cell r="H158" t="str">
            <v>MARCH|2020|TURQ|MAY737C</v>
          </cell>
          <cell r="M158">
            <v>10</v>
          </cell>
        </row>
        <row r="159">
          <cell r="A159">
            <v>41</v>
          </cell>
          <cell r="F159" t="str">
            <v>HORQUILLA IZQUIERDA DELANTERA</v>
          </cell>
          <cell r="H159" t="str">
            <v>AVEO|2018|ROJO|R51BKD</v>
          </cell>
          <cell r="M159">
            <v>550</v>
          </cell>
        </row>
        <row r="160">
          <cell r="A160">
            <v>41</v>
          </cell>
          <cell r="F160" t="str">
            <v>ABRAZADERAS DE MANGERA ANTICONGELANTE</v>
          </cell>
          <cell r="H160" t="str">
            <v>AVEO|2018|ROJO|R51BKD</v>
          </cell>
          <cell r="M160">
            <v>40</v>
          </cell>
        </row>
        <row r="161">
          <cell r="A161">
            <v>41</v>
          </cell>
          <cell r="F161" t="str">
            <v>SENSOR DE CIGÜEÑAL</v>
          </cell>
          <cell r="H161" t="str">
            <v>BEAT|2020|GRIS|NFN014B</v>
          </cell>
          <cell r="M161">
            <v>586</v>
          </cell>
        </row>
        <row r="162">
          <cell r="A162">
            <v>41</v>
          </cell>
          <cell r="F162" t="str">
            <v>FILTRO DE ACEITE</v>
          </cell>
          <cell r="H162" t="str">
            <v>AVEO|2018|ROJO|R51BKD</v>
          </cell>
          <cell r="M162">
            <v>49</v>
          </cell>
        </row>
        <row r="163">
          <cell r="A163">
            <v>41</v>
          </cell>
          <cell r="F163" t="str">
            <v>GALON DE ACEITE</v>
          </cell>
          <cell r="H163" t="str">
            <v>AVEO|2018|ROJO|R51BKD</v>
          </cell>
          <cell r="M163">
            <v>314</v>
          </cell>
        </row>
        <row r="164">
          <cell r="A164">
            <v>41</v>
          </cell>
          <cell r="F164" t="str">
            <v>10 FOCOS DE PELLIZCO</v>
          </cell>
          <cell r="H164" t="str">
            <v>TALLER</v>
          </cell>
          <cell r="M164">
            <v>40</v>
          </cell>
        </row>
        <row r="165">
          <cell r="A165">
            <v>41</v>
          </cell>
          <cell r="F165" t="str">
            <v>10 FOCOS DE 1 POLO AMBAR</v>
          </cell>
          <cell r="H165" t="str">
            <v>TALLER</v>
          </cell>
          <cell r="M165">
            <v>60</v>
          </cell>
        </row>
        <row r="166">
          <cell r="A166">
            <v>41</v>
          </cell>
          <cell r="F166" t="str">
            <v>4 LITROS DE ACEITE PARA CAJA</v>
          </cell>
          <cell r="H166" t="str">
            <v>BEAT|2020|GRIS|NFN014B</v>
          </cell>
          <cell r="M166">
            <v>380</v>
          </cell>
        </row>
        <row r="167">
          <cell r="A167">
            <v>41</v>
          </cell>
          <cell r="F167" t="str">
            <v>LLANTA 185/65 R15 TORNEL</v>
          </cell>
          <cell r="H167" t="str">
            <v>KIA RIO|2020|GRIS|NCK475B</v>
          </cell>
          <cell r="M167">
            <v>1100</v>
          </cell>
        </row>
        <row r="168">
          <cell r="A168">
            <v>41</v>
          </cell>
          <cell r="F168" t="str">
            <v>LLANTA 185/65 R15 TORNEL</v>
          </cell>
          <cell r="H168" t="str">
            <v>BEAT|2020|GRIS|NFN014B</v>
          </cell>
          <cell r="M168">
            <v>1100</v>
          </cell>
        </row>
        <row r="169">
          <cell r="A169">
            <v>41</v>
          </cell>
          <cell r="F169" t="str">
            <v>LLANTA 175/70 R14 LAUFREN</v>
          </cell>
          <cell r="H169" t="str">
            <v>MARCH|2019|TURQ|MAY737C</v>
          </cell>
          <cell r="M169">
            <v>1000</v>
          </cell>
        </row>
        <row r="170">
          <cell r="A170">
            <v>41</v>
          </cell>
          <cell r="F170" t="str">
            <v>REVISION Y DIAGNOSTICO DE BATERIA</v>
          </cell>
          <cell r="H170" t="str">
            <v>HYUNDAI|2022|PLATA|D40BKD</v>
          </cell>
          <cell r="M170">
            <v>130</v>
          </cell>
        </row>
        <row r="171">
          <cell r="A171">
            <v>41</v>
          </cell>
          <cell r="F171" t="str">
            <v>LLAVE DE CRUZ</v>
          </cell>
          <cell r="H171" t="str">
            <v>MARCH|2021|BLANCO|MGC417C</v>
          </cell>
          <cell r="M171">
            <v>240</v>
          </cell>
        </row>
        <row r="172">
          <cell r="A172">
            <v>41</v>
          </cell>
          <cell r="F172" t="str">
            <v>ANTICONGELANTE</v>
          </cell>
          <cell r="H172" t="str">
            <v>JAC CAMIONETA</v>
          </cell>
          <cell r="M172">
            <v>210</v>
          </cell>
        </row>
        <row r="173">
          <cell r="A173">
            <v>41</v>
          </cell>
          <cell r="F173" t="str">
            <v>GASOLINA DISEL</v>
          </cell>
          <cell r="H173" t="str">
            <v>JAC CAMIONETA</v>
          </cell>
          <cell r="M173">
            <v>200</v>
          </cell>
        </row>
        <row r="174">
          <cell r="A174">
            <v>41</v>
          </cell>
          <cell r="F174" t="str">
            <v>GAS ROSA</v>
          </cell>
          <cell r="H174" t="str">
            <v>OPERACIÓN</v>
          </cell>
          <cell r="M174">
            <v>50</v>
          </cell>
        </row>
        <row r="175">
          <cell r="A175">
            <v>41</v>
          </cell>
          <cell r="F175" t="str">
            <v>DEPOSITO DE ANTICONGELANTE</v>
          </cell>
          <cell r="H175" t="str">
            <v>AVEO|2018|ROJO|R51BKD</v>
          </cell>
          <cell r="M175">
            <v>360</v>
          </cell>
        </row>
        <row r="176">
          <cell r="A176">
            <v>41</v>
          </cell>
          <cell r="F176" t="str">
            <v>FACTURAS DE GASOLINA</v>
          </cell>
          <cell r="H176" t="str">
            <v>ADMINISTRACIÓN</v>
          </cell>
          <cell r="M176">
            <v>1500</v>
          </cell>
        </row>
        <row r="177">
          <cell r="A177">
            <v>41</v>
          </cell>
          <cell r="F177" t="str">
            <v>GASOLINA DE ASISTENCIA</v>
          </cell>
          <cell r="H177" t="str">
            <v>VENTO|2017|GRIS|MMA672C</v>
          </cell>
          <cell r="M177">
            <v>100</v>
          </cell>
        </row>
        <row r="178">
          <cell r="A178">
            <v>41</v>
          </cell>
          <cell r="F178" t="str">
            <v>AMORTIGUADORES DELANTEROS</v>
          </cell>
          <cell r="H178" t="str">
            <v>VENTO|2017|GRIS|MMA672C</v>
          </cell>
          <cell r="M178">
            <v>817</v>
          </cell>
        </row>
        <row r="179">
          <cell r="A179">
            <v>41</v>
          </cell>
          <cell r="F179" t="str">
            <v>BASES DE AMORTIGUADORES DELANTEROS</v>
          </cell>
          <cell r="H179" t="str">
            <v>VENTO|2017|GRIS|MMA672C</v>
          </cell>
          <cell r="M179">
            <v>394</v>
          </cell>
        </row>
        <row r="180">
          <cell r="A180">
            <v>41</v>
          </cell>
          <cell r="F180" t="str">
            <v>HOJALATERIA</v>
          </cell>
          <cell r="H180" t="str">
            <v>VENTO|2017|GRIS|MMA672C</v>
          </cell>
          <cell r="M180">
            <v>17300</v>
          </cell>
        </row>
        <row r="181">
          <cell r="A181">
            <v>41</v>
          </cell>
          <cell r="F181" t="str">
            <v>ABRAZADERAS MINI</v>
          </cell>
          <cell r="H181" t="str">
            <v>VENTO|2017|GRIS|MMA672C</v>
          </cell>
          <cell r="M181">
            <v>30</v>
          </cell>
        </row>
        <row r="182">
          <cell r="A182">
            <v>42</v>
          </cell>
          <cell r="F182" t="str">
            <v>CILINDRO CLOUCH</v>
          </cell>
          <cell r="H182" t="str">
            <v>VENTO|2017|GRIS|MMA672C</v>
          </cell>
          <cell r="M182">
            <v>464</v>
          </cell>
        </row>
        <row r="183">
          <cell r="A183">
            <v>42</v>
          </cell>
          <cell r="F183" t="str">
            <v>GOMAS  ESTABILIZADORA</v>
          </cell>
          <cell r="H183" t="str">
            <v>VENTO|2017|GRIS|MMA672C</v>
          </cell>
          <cell r="M183">
            <v>335</v>
          </cell>
        </row>
        <row r="184">
          <cell r="A184">
            <v>42</v>
          </cell>
          <cell r="F184" t="str">
            <v>GASOLINA</v>
          </cell>
          <cell r="H184" t="str">
            <v>MOTO OPERATIVA</v>
          </cell>
          <cell r="M184">
            <v>150</v>
          </cell>
        </row>
        <row r="185">
          <cell r="A185">
            <v>42</v>
          </cell>
          <cell r="F185" t="str">
            <v>TALACHAS (2)</v>
          </cell>
          <cell r="H185" t="str">
            <v>KIA|2017|ROJO|MYE912A</v>
          </cell>
          <cell r="M185">
            <v>150</v>
          </cell>
        </row>
        <row r="186">
          <cell r="A186">
            <v>42</v>
          </cell>
          <cell r="F186" t="str">
            <v>TALACHAS (2)</v>
          </cell>
          <cell r="H186" t="str">
            <v>KIA RIO|2021|ROJO|MFP751C</v>
          </cell>
          <cell r="M186">
            <v>150</v>
          </cell>
        </row>
        <row r="187">
          <cell r="A187">
            <v>42</v>
          </cell>
          <cell r="F187" t="str">
            <v>ANTICONGELANTE</v>
          </cell>
          <cell r="H187" t="str">
            <v>AVEO|2018|ROJO|R51BKD</v>
          </cell>
          <cell r="M187">
            <v>100</v>
          </cell>
        </row>
        <row r="188">
          <cell r="A188">
            <v>42</v>
          </cell>
          <cell r="F188" t="str">
            <v>GASOLINA PRUEBAS OP</v>
          </cell>
          <cell r="H188" t="str">
            <v>AVEO|2023|VINO|R22BMR</v>
          </cell>
          <cell r="M188">
            <v>500</v>
          </cell>
        </row>
        <row r="189">
          <cell r="A189">
            <v>42</v>
          </cell>
          <cell r="F189" t="str">
            <v>GASOLINA APOYO</v>
          </cell>
          <cell r="H189" t="str">
            <v>AVEO|2023|VINO|R22BMR</v>
          </cell>
          <cell r="M189">
            <v>282</v>
          </cell>
        </row>
        <row r="190">
          <cell r="A190">
            <v>42</v>
          </cell>
          <cell r="F190" t="str">
            <v>ALINEACIÓN Y BALANCEO</v>
          </cell>
          <cell r="H190" t="str">
            <v>KIA RIO|2021|ROJO|MFP751C</v>
          </cell>
          <cell r="M190">
            <v>500</v>
          </cell>
        </row>
        <row r="191">
          <cell r="A191">
            <v>42</v>
          </cell>
          <cell r="F191" t="str">
            <v>CACAHUATES (2)</v>
          </cell>
          <cell r="H191" t="str">
            <v>VENTO|2017|GRIS|MMA672C</v>
          </cell>
          <cell r="M191">
            <v>240</v>
          </cell>
        </row>
        <row r="192">
          <cell r="A192">
            <v>42</v>
          </cell>
          <cell r="F192" t="str">
            <v>ROTULAS (2)</v>
          </cell>
          <cell r="H192" t="str">
            <v>VENTO|2017|GRIS|MMA672C</v>
          </cell>
          <cell r="M192">
            <v>240</v>
          </cell>
        </row>
        <row r="193">
          <cell r="A193">
            <v>42</v>
          </cell>
          <cell r="F193" t="str">
            <v>GASOLINA PRUEBAS OP</v>
          </cell>
          <cell r="H193" t="str">
            <v>VENTO|2017|GRIS|MMA672C</v>
          </cell>
          <cell r="M193">
            <v>200</v>
          </cell>
        </row>
        <row r="194">
          <cell r="A194">
            <v>42</v>
          </cell>
          <cell r="F194" t="str">
            <v>ELECTRICO</v>
          </cell>
          <cell r="H194" t="str">
            <v>VENTO|2017|GRIS|MMA672C</v>
          </cell>
          <cell r="M194">
            <v>200</v>
          </cell>
        </row>
        <row r="195">
          <cell r="A195">
            <v>42</v>
          </cell>
          <cell r="F195" t="str">
            <v>CAMBIO DE LLAVE</v>
          </cell>
          <cell r="H195" t="str">
            <v>VENTO|2017|GRIS|MMA672C</v>
          </cell>
          <cell r="M195">
            <v>450</v>
          </cell>
        </row>
        <row r="196">
          <cell r="A196">
            <v>42</v>
          </cell>
          <cell r="F196" t="str">
            <v>CILINDRO CLOUCH</v>
          </cell>
          <cell r="H196" t="str">
            <v>JAC CAMIONETA</v>
          </cell>
          <cell r="M196">
            <v>1050</v>
          </cell>
        </row>
        <row r="197">
          <cell r="A197">
            <v>42</v>
          </cell>
          <cell r="F197" t="str">
            <v>BUJE</v>
          </cell>
          <cell r="H197" t="str">
            <v>JAC CAMIONETA</v>
          </cell>
          <cell r="M197">
            <v>159</v>
          </cell>
        </row>
        <row r="198">
          <cell r="A198">
            <v>42</v>
          </cell>
          <cell r="F198" t="str">
            <v>BOMBA DE LIQUIDO</v>
          </cell>
          <cell r="H198" t="str">
            <v>JAC CAMIONETA</v>
          </cell>
          <cell r="M198">
            <v>800</v>
          </cell>
        </row>
        <row r="199">
          <cell r="A199">
            <v>42</v>
          </cell>
          <cell r="F199" t="str">
            <v>BATERIAS (4)</v>
          </cell>
          <cell r="H199" t="str">
            <v>JAC CAMIONETA</v>
          </cell>
          <cell r="M199">
            <v>4000</v>
          </cell>
        </row>
        <row r="200">
          <cell r="A200">
            <v>42</v>
          </cell>
          <cell r="F200" t="str">
            <v>3 M DE CINTA NEGRA</v>
          </cell>
          <cell r="H200" t="str">
            <v>VENTO|2017|GRIS|MMA672C</v>
          </cell>
          <cell r="M200">
            <v>60</v>
          </cell>
        </row>
        <row r="201">
          <cell r="A201">
            <v>42</v>
          </cell>
          <cell r="F201" t="str">
            <v>GASOLINA MOTO OP.</v>
          </cell>
          <cell r="H201" t="str">
            <v>OPERACIÓN</v>
          </cell>
          <cell r="M201">
            <v>200</v>
          </cell>
        </row>
        <row r="202">
          <cell r="A202">
            <v>42</v>
          </cell>
          <cell r="F202" t="str">
            <v>FILTRO DE AIRE</v>
          </cell>
          <cell r="H202" t="str">
            <v>KIA RIO|2021|ROJO|MFP751C</v>
          </cell>
          <cell r="M202">
            <v>120</v>
          </cell>
        </row>
        <row r="203">
          <cell r="A203">
            <v>42</v>
          </cell>
          <cell r="F203" t="str">
            <v>PENDIENTES AGOSTO</v>
          </cell>
          <cell r="H203" t="str">
            <v>NICO</v>
          </cell>
          <cell r="M203">
            <v>4515</v>
          </cell>
        </row>
        <row r="204">
          <cell r="A204">
            <v>42</v>
          </cell>
          <cell r="F204" t="str">
            <v>PENDIENTES AGOSTO</v>
          </cell>
          <cell r="H204" t="str">
            <v>NAYE</v>
          </cell>
          <cell r="M204">
            <v>1610</v>
          </cell>
        </row>
        <row r="205">
          <cell r="A205">
            <v>42</v>
          </cell>
          <cell r="F205" t="str">
            <v>PENDIENTES AGOSTO</v>
          </cell>
          <cell r="H205" t="str">
            <v>GABRIEL</v>
          </cell>
          <cell r="M205">
            <v>100</v>
          </cell>
        </row>
        <row r="206">
          <cell r="A206">
            <v>42</v>
          </cell>
          <cell r="F206" t="str">
            <v>PENDIENTES AGOSTO</v>
          </cell>
          <cell r="H206" t="str">
            <v>ANGEL</v>
          </cell>
          <cell r="M206">
            <v>310</v>
          </cell>
        </row>
        <row r="207">
          <cell r="A207">
            <v>42</v>
          </cell>
          <cell r="F207" t="str">
            <v>PENDIENTES AGOSTO</v>
          </cell>
          <cell r="H207" t="str">
            <v>ROUS</v>
          </cell>
          <cell r="M207">
            <v>1300</v>
          </cell>
        </row>
        <row r="208">
          <cell r="A208">
            <v>42</v>
          </cell>
          <cell r="F208" t="str">
            <v>PENDIENTES AGOSTO</v>
          </cell>
          <cell r="H208" t="str">
            <v>YUL</v>
          </cell>
          <cell r="M208">
            <v>4579</v>
          </cell>
        </row>
        <row r="209">
          <cell r="A209">
            <v>42</v>
          </cell>
          <cell r="F209" t="str">
            <v>(2) IMPERMEABLES</v>
          </cell>
          <cell r="H209" t="str">
            <v>OPERACIÓN</v>
          </cell>
          <cell r="M209">
            <v>333</v>
          </cell>
        </row>
        <row r="210">
          <cell r="A210">
            <v>42</v>
          </cell>
          <cell r="F210" t="str">
            <v>ESCANER</v>
          </cell>
          <cell r="H210" t="str">
            <v>TALLER</v>
          </cell>
          <cell r="M210">
            <v>2443</v>
          </cell>
        </row>
        <row r="211">
          <cell r="A211">
            <v>42</v>
          </cell>
          <cell r="F211" t="str">
            <v>GATO HIDRAULICO</v>
          </cell>
          <cell r="H211" t="str">
            <v>KIA RIO|2021|ROJO|MFP751C</v>
          </cell>
          <cell r="M211">
            <v>216</v>
          </cell>
        </row>
        <row r="212">
          <cell r="A212">
            <v>42</v>
          </cell>
          <cell r="F212" t="str">
            <v>GATO HIDRAULICO</v>
          </cell>
          <cell r="H212" t="str">
            <v>AVEO|2018|GRIS|X59AWG</v>
          </cell>
          <cell r="M212">
            <v>216</v>
          </cell>
        </row>
        <row r="213">
          <cell r="A213">
            <v>42</v>
          </cell>
          <cell r="F213" t="str">
            <v>GATO HIDRAULICO</v>
          </cell>
          <cell r="H213" t="str">
            <v>MARCH|2020|TURQ|N15BKD</v>
          </cell>
          <cell r="M213">
            <v>216</v>
          </cell>
        </row>
        <row r="214">
          <cell r="A214">
            <v>42</v>
          </cell>
          <cell r="F214" t="str">
            <v>GATO HIDRAULICO</v>
          </cell>
          <cell r="H214" t="str">
            <v>AVEO|2022|AZUL|NZY685B</v>
          </cell>
          <cell r="M214">
            <v>216</v>
          </cell>
        </row>
        <row r="215">
          <cell r="A215">
            <v>42</v>
          </cell>
          <cell r="F215" t="str">
            <v>PIZARRON</v>
          </cell>
          <cell r="H215" t="str">
            <v>TALLER</v>
          </cell>
          <cell r="M215">
            <v>298</v>
          </cell>
        </row>
        <row r="216">
          <cell r="A216">
            <v>42</v>
          </cell>
          <cell r="F216" t="str">
            <v>CASETA</v>
          </cell>
          <cell r="H216" t="str">
            <v>OPERACIÓN</v>
          </cell>
          <cell r="M216">
            <v>34</v>
          </cell>
        </row>
        <row r="217">
          <cell r="A217">
            <v>42</v>
          </cell>
          <cell r="F217" t="str">
            <v>TALACHA</v>
          </cell>
          <cell r="H217" t="str">
            <v>BEAT|2020|GRIS|NFN014B</v>
          </cell>
          <cell r="M217">
            <v>50</v>
          </cell>
        </row>
        <row r="218">
          <cell r="A218">
            <v>42</v>
          </cell>
          <cell r="F218" t="str">
            <v>TALACHA</v>
          </cell>
          <cell r="H218" t="str">
            <v>VENTO|2017|GRIS|MMA672C</v>
          </cell>
          <cell r="M218">
            <v>50</v>
          </cell>
        </row>
        <row r="219">
          <cell r="A219">
            <v>42</v>
          </cell>
          <cell r="F219" t="str">
            <v>LLANTA DE REFACCIÓN</v>
          </cell>
          <cell r="H219" t="str">
            <v>KIA RIO|2021|ROJO|MFP751C</v>
          </cell>
          <cell r="M219">
            <v>250</v>
          </cell>
        </row>
        <row r="220">
          <cell r="A220">
            <v>42</v>
          </cell>
          <cell r="F220" t="str">
            <v>FUNDA DE VOLANTE</v>
          </cell>
          <cell r="H220" t="str">
            <v>VENTO|2017|GRIS|MMA672C</v>
          </cell>
          <cell r="M220">
            <v>250</v>
          </cell>
        </row>
        <row r="221">
          <cell r="A221">
            <v>42</v>
          </cell>
          <cell r="F221" t="str">
            <v xml:space="preserve">MULTA  </v>
          </cell>
          <cell r="H221" t="str">
            <v>AVEO|2018|GRIS|X59AWG</v>
          </cell>
          <cell r="M221">
            <v>566</v>
          </cell>
        </row>
        <row r="222">
          <cell r="A222">
            <v>42</v>
          </cell>
          <cell r="F222" t="str">
            <v>TUERCAS</v>
          </cell>
          <cell r="H222" t="str">
            <v>CAMIONETAS JAC</v>
          </cell>
          <cell r="M222">
            <v>45</v>
          </cell>
        </row>
        <row r="223">
          <cell r="A223">
            <v>42</v>
          </cell>
          <cell r="F223" t="str">
            <v>FILTRO DE AIRE</v>
          </cell>
          <cell r="H223" t="str">
            <v>KIA RIO|2023|ROJO|H99BLC</v>
          </cell>
          <cell r="M223">
            <v>111</v>
          </cell>
        </row>
        <row r="224">
          <cell r="A224">
            <v>42</v>
          </cell>
          <cell r="F224" t="str">
            <v>FILTRO DE AIRE</v>
          </cell>
          <cell r="H224" t="str">
            <v>VERSA|2023|PLATA|NCT814A</v>
          </cell>
          <cell r="M224">
            <v>43</v>
          </cell>
        </row>
        <row r="225">
          <cell r="A225">
            <v>42</v>
          </cell>
          <cell r="F225" t="str">
            <v>FILTRO DE ACEITE</v>
          </cell>
          <cell r="H225" t="str">
            <v>KIA RIO|2023|ROJO|H99BLC</v>
          </cell>
          <cell r="M225">
            <v>98</v>
          </cell>
        </row>
        <row r="226">
          <cell r="A226">
            <v>42</v>
          </cell>
          <cell r="F226" t="str">
            <v>GALON DE ACEITE</v>
          </cell>
          <cell r="H226" t="str">
            <v>KIA RIO|2023|ROJO|H99BLC</v>
          </cell>
          <cell r="M226">
            <v>550</v>
          </cell>
        </row>
        <row r="227">
          <cell r="A227">
            <v>42</v>
          </cell>
          <cell r="F227" t="str">
            <v>GALON DE ACEITE</v>
          </cell>
          <cell r="H227" t="str">
            <v>VERSA|2020|BLANCO|A35BHD</v>
          </cell>
          <cell r="M227">
            <v>550</v>
          </cell>
        </row>
        <row r="228">
          <cell r="A228">
            <v>42</v>
          </cell>
          <cell r="F228" t="str">
            <v>GALON DE ACEITE</v>
          </cell>
          <cell r="H228" t="str">
            <v>VERSA|2023|PLATA|NCT814A</v>
          </cell>
          <cell r="M228">
            <v>550</v>
          </cell>
        </row>
        <row r="229">
          <cell r="A229">
            <v>42</v>
          </cell>
          <cell r="F229" t="str">
            <v>GALON DE ACEITE</v>
          </cell>
          <cell r="H229" t="str">
            <v>BEAT|2020|GRIS|NFN014B</v>
          </cell>
          <cell r="M229">
            <v>550</v>
          </cell>
        </row>
        <row r="230">
          <cell r="A230">
            <v>42</v>
          </cell>
          <cell r="F230" t="str">
            <v>BALATAS DELANTERAS</v>
          </cell>
          <cell r="H230" t="str">
            <v>KIA RIO|2023|ROJO|H99BLC</v>
          </cell>
          <cell r="M230">
            <v>450</v>
          </cell>
        </row>
        <row r="231">
          <cell r="A231">
            <v>42</v>
          </cell>
          <cell r="F231" t="str">
            <v>BALATAS TRASERAS</v>
          </cell>
          <cell r="H231" t="str">
            <v>KIA RIO|2023|ROJO|H99BLC</v>
          </cell>
          <cell r="M231">
            <v>280</v>
          </cell>
        </row>
        <row r="232">
          <cell r="A232">
            <v>42</v>
          </cell>
          <cell r="F232" t="str">
            <v>BALATAS DELANTERAS</v>
          </cell>
          <cell r="H232" t="str">
            <v>VERSA|2023|PLATA|NCT814A</v>
          </cell>
          <cell r="M232">
            <v>358</v>
          </cell>
        </row>
        <row r="233">
          <cell r="A233">
            <v>42</v>
          </cell>
          <cell r="F233" t="str">
            <v>FOCOS PARA DIRECCIONAL AMBAR</v>
          </cell>
          <cell r="H233" t="str">
            <v>MARCH|2020|TURQ|NI5BKD</v>
          </cell>
          <cell r="M233">
            <v>150</v>
          </cell>
        </row>
        <row r="234">
          <cell r="A234">
            <v>42</v>
          </cell>
          <cell r="F234" t="str">
            <v>FOCOS PARA DIRECCIONAL AMBAR MINI</v>
          </cell>
          <cell r="H234" t="str">
            <v>VENTO|2017|GRIS|MMA672C</v>
          </cell>
          <cell r="M234">
            <v>132</v>
          </cell>
        </row>
        <row r="235">
          <cell r="A235">
            <v>42</v>
          </cell>
          <cell r="F235" t="str">
            <v>FOCO FRONTAL IZQUIERDO</v>
          </cell>
          <cell r="H235" t="str">
            <v>VENTO|2017|GRIS|MMA672C</v>
          </cell>
          <cell r="M235">
            <v>109</v>
          </cell>
        </row>
        <row r="236">
          <cell r="A236">
            <v>42</v>
          </cell>
          <cell r="F236" t="str">
            <v>FOCO FRONTAL IZQUIERDO MINI</v>
          </cell>
          <cell r="H236" t="str">
            <v>MARCH|2020|TURQ|NI5BKD</v>
          </cell>
          <cell r="M236">
            <v>184</v>
          </cell>
        </row>
        <row r="237">
          <cell r="A237">
            <v>42</v>
          </cell>
          <cell r="F237" t="str">
            <v>BUJIAS</v>
          </cell>
          <cell r="H237" t="str">
            <v>VERSA|2023|PLATA|NCT814A</v>
          </cell>
          <cell r="M237">
            <v>180</v>
          </cell>
        </row>
        <row r="238">
          <cell r="A238">
            <v>42</v>
          </cell>
          <cell r="F238" t="str">
            <v>BUJIAS</v>
          </cell>
          <cell r="H238" t="str">
            <v>VERSA|2020|BLANCO|A35BHD</v>
          </cell>
          <cell r="M238">
            <v>180</v>
          </cell>
        </row>
        <row r="239">
          <cell r="A239">
            <v>42</v>
          </cell>
          <cell r="F239" t="str">
            <v>BUJIAS</v>
          </cell>
          <cell r="H239" t="str">
            <v>BEAT|2020|GRIS|NFN014B</v>
          </cell>
          <cell r="M239">
            <v>212</v>
          </cell>
        </row>
        <row r="240">
          <cell r="A240">
            <v>42</v>
          </cell>
          <cell r="F240" t="str">
            <v>BALERO DELANTERO IZQUIERDO DOBLE</v>
          </cell>
          <cell r="H240" t="str">
            <v>BEAT|2019|OCRE|MAY730C</v>
          </cell>
          <cell r="M240">
            <v>78</v>
          </cell>
        </row>
        <row r="241">
          <cell r="A241">
            <v>42</v>
          </cell>
          <cell r="F241" t="str">
            <v>PRENSA DE BALERO</v>
          </cell>
          <cell r="H241" t="str">
            <v>BEAT|2019|OCRE|MAY730C</v>
          </cell>
          <cell r="M241">
            <v>120</v>
          </cell>
        </row>
        <row r="242">
          <cell r="A242">
            <v>42</v>
          </cell>
          <cell r="F242" t="str">
            <v>BALLONETA</v>
          </cell>
          <cell r="H242" t="str">
            <v>BEAT|2019|OCRE|MAY730C</v>
          </cell>
          <cell r="M242">
            <v>57</v>
          </cell>
        </row>
        <row r="243">
          <cell r="A243">
            <v>42</v>
          </cell>
          <cell r="F243" t="str">
            <v>BIRLO</v>
          </cell>
          <cell r="H243" t="str">
            <v>BEAT|2019|OCRE|MAY730C</v>
          </cell>
          <cell r="M243">
            <v>25</v>
          </cell>
        </row>
        <row r="244">
          <cell r="A244">
            <v>42</v>
          </cell>
          <cell r="F244" t="str">
            <v>BOBINAS (2)</v>
          </cell>
          <cell r="H244" t="str">
            <v>VENTO|2017|GRIS|MMA672C</v>
          </cell>
          <cell r="M244">
            <v>1100</v>
          </cell>
        </row>
        <row r="245">
          <cell r="A245">
            <v>42</v>
          </cell>
          <cell r="F245" t="str">
            <v>LLAVE DE CRUZ</v>
          </cell>
          <cell r="H245" t="str">
            <v>KIA RIO|2021|ROJO|MFP751C</v>
          </cell>
          <cell r="M245">
            <v>240</v>
          </cell>
        </row>
        <row r="246">
          <cell r="A246">
            <v>42</v>
          </cell>
          <cell r="F246" t="str">
            <v>TUERCAS (5)</v>
          </cell>
          <cell r="H246" t="str">
            <v>BEAT|2019|OCRE|MAY730C</v>
          </cell>
          <cell r="M246">
            <v>120</v>
          </cell>
        </row>
        <row r="247">
          <cell r="A247">
            <v>42</v>
          </cell>
          <cell r="F247" t="str">
            <v xml:space="preserve">CINTA DE AISLAR NEGRA </v>
          </cell>
          <cell r="H247" t="str">
            <v>TALLER</v>
          </cell>
          <cell r="M247">
            <v>25</v>
          </cell>
        </row>
        <row r="248">
          <cell r="A248">
            <v>42</v>
          </cell>
          <cell r="F248" t="str">
            <v>SINCHOS NEGROS CHICOS</v>
          </cell>
          <cell r="H248" t="str">
            <v>TALLER</v>
          </cell>
          <cell r="M248">
            <v>120</v>
          </cell>
        </row>
        <row r="249">
          <cell r="A249">
            <v>42</v>
          </cell>
          <cell r="F249" t="str">
            <v>SINCHOS NEGROS GRANDES</v>
          </cell>
          <cell r="H249" t="str">
            <v>TALLER</v>
          </cell>
          <cell r="M249">
            <v>152</v>
          </cell>
        </row>
        <row r="250">
          <cell r="A250">
            <v>42</v>
          </cell>
          <cell r="F250" t="str">
            <v>FILTRO DE AIRE</v>
          </cell>
          <cell r="H250" t="str">
            <v>VERSA|2020|BLANCO|A35BHD</v>
          </cell>
          <cell r="M250">
            <v>0</v>
          </cell>
        </row>
        <row r="251">
          <cell r="A251">
            <v>42</v>
          </cell>
          <cell r="F251" t="str">
            <v>FILTRO DE ACEITE</v>
          </cell>
          <cell r="H251" t="str">
            <v>VERSA|2023|PLATA|NCT814A</v>
          </cell>
          <cell r="M251">
            <v>0</v>
          </cell>
        </row>
        <row r="252">
          <cell r="A252">
            <v>42</v>
          </cell>
          <cell r="F252" t="str">
            <v>PENDIENTE JG FRANCISCO GOMEZ</v>
          </cell>
          <cell r="H252" t="str">
            <v>KIA RIO|2020|AZUL|LUE960C</v>
          </cell>
          <cell r="M252">
            <v>1600</v>
          </cell>
        </row>
        <row r="253">
          <cell r="A253">
            <v>42</v>
          </cell>
          <cell r="F253" t="str">
            <v>GASOLINA IR A RONDA</v>
          </cell>
          <cell r="H253" t="str">
            <v>MARCH|2020|TURQ|N15BKD</v>
          </cell>
          <cell r="M253">
            <v>200</v>
          </cell>
        </row>
        <row r="254">
          <cell r="A254">
            <v>42</v>
          </cell>
          <cell r="F254" t="str">
            <v>CHISGUETERO</v>
          </cell>
          <cell r="H254" t="str">
            <v>KIA RIO|2020|GRIS|NCK475B</v>
          </cell>
          <cell r="M254">
            <v>1724</v>
          </cell>
        </row>
        <row r="255">
          <cell r="A255">
            <v>42</v>
          </cell>
          <cell r="F255" t="str">
            <v>DEFENSA DELANTERA</v>
          </cell>
          <cell r="H255" t="str">
            <v>KIA RIO|2020|GRIS|NCK475B</v>
          </cell>
          <cell r="M255">
            <v>1176</v>
          </cell>
        </row>
        <row r="256">
          <cell r="A256">
            <v>42</v>
          </cell>
          <cell r="F256" t="str">
            <v>COFRE</v>
          </cell>
          <cell r="H256" t="str">
            <v>VENTO|2019|BLANCO|LUE965C</v>
          </cell>
          <cell r="M256">
            <v>1504</v>
          </cell>
        </row>
        <row r="257">
          <cell r="A257">
            <v>42</v>
          </cell>
          <cell r="F257" t="str">
            <v>PARRILLA CENTRAL</v>
          </cell>
          <cell r="H257" t="str">
            <v>VENTO|2019|BLANCO|LUE965C</v>
          </cell>
          <cell r="M257">
            <v>706</v>
          </cell>
        </row>
        <row r="258">
          <cell r="A258">
            <v>42</v>
          </cell>
          <cell r="F258" t="str">
            <v>SALPICADERA DERECHA</v>
          </cell>
          <cell r="H258" t="str">
            <v>VENTO|2019|BLANCO|LUE965C</v>
          </cell>
          <cell r="M258">
            <v>725</v>
          </cell>
        </row>
        <row r="259">
          <cell r="A259">
            <v>42</v>
          </cell>
          <cell r="F259" t="str">
            <v>REJILLA CENTRAL</v>
          </cell>
          <cell r="H259" t="str">
            <v>VENTO|2019|BLANCO|LUE965C</v>
          </cell>
          <cell r="M259">
            <v>470</v>
          </cell>
        </row>
        <row r="260">
          <cell r="A260">
            <v>42</v>
          </cell>
          <cell r="F260" t="str">
            <v>DEFENSA DELANTERA</v>
          </cell>
          <cell r="H260" t="str">
            <v>VENTO|2019|BLANCO|LUE965C</v>
          </cell>
          <cell r="M260">
            <v>823</v>
          </cell>
        </row>
        <row r="261">
          <cell r="A261">
            <v>42</v>
          </cell>
          <cell r="F261" t="str">
            <v>BISAGRA DE COFRE</v>
          </cell>
          <cell r="H261" t="str">
            <v>VENTO|2019|BLANCO|LUE965C</v>
          </cell>
          <cell r="M261">
            <v>274</v>
          </cell>
        </row>
        <row r="262">
          <cell r="A262">
            <v>42</v>
          </cell>
          <cell r="F262" t="str">
            <v>FARO DERECHO</v>
          </cell>
          <cell r="H262" t="str">
            <v>VENTO|2019|BLANCO|LUE965C</v>
          </cell>
          <cell r="M262">
            <v>1411</v>
          </cell>
        </row>
        <row r="263">
          <cell r="A263">
            <v>42</v>
          </cell>
          <cell r="F263" t="str">
            <v>MARCO RADIADOR</v>
          </cell>
          <cell r="H263" t="str">
            <v>VENTO|2019|BLANCO|LUE965C</v>
          </cell>
          <cell r="M263">
            <v>709</v>
          </cell>
        </row>
        <row r="264">
          <cell r="A264">
            <v>43</v>
          </cell>
          <cell r="F264" t="str">
            <v>SALPICADERA DERECHA</v>
          </cell>
          <cell r="H264" t="str">
            <v>KIA RIO|2020|GRIS|NCK475B</v>
          </cell>
          <cell r="M264">
            <v>235</v>
          </cell>
        </row>
        <row r="265">
          <cell r="A265">
            <v>43</v>
          </cell>
          <cell r="F265" t="str">
            <v>GRAPA (2) GUIA DE SOPORTE DE FARO</v>
          </cell>
          <cell r="H265" t="str">
            <v>VENTO|2019|BLANCO|LUE965C</v>
          </cell>
          <cell r="M265">
            <v>116</v>
          </cell>
        </row>
        <row r="266">
          <cell r="A266">
            <v>43</v>
          </cell>
          <cell r="F266" t="str">
            <v>GUIA DE DEFENSA</v>
          </cell>
          <cell r="H266" t="str">
            <v>VENTO|2019|BLANCO|LUE965C</v>
          </cell>
          <cell r="M266">
            <v>294</v>
          </cell>
        </row>
        <row r="267">
          <cell r="A267">
            <v>42</v>
          </cell>
          <cell r="F267" t="str">
            <v>ANTICONGELANTE</v>
          </cell>
          <cell r="H267" t="str">
            <v>AVEO|2023|VINO|R22BMR</v>
          </cell>
          <cell r="M267">
            <v>170</v>
          </cell>
        </row>
        <row r="268">
          <cell r="A268">
            <v>43</v>
          </cell>
          <cell r="F268" t="str">
            <v xml:space="preserve">CACAHUATE  </v>
          </cell>
          <cell r="H268" t="str">
            <v>BEAT|2020|GRIS|NFN014B</v>
          </cell>
          <cell r="M268">
            <v>150</v>
          </cell>
        </row>
        <row r="269">
          <cell r="A269">
            <v>43</v>
          </cell>
          <cell r="F269" t="str">
            <v>LIGA DE GASOLINA</v>
          </cell>
          <cell r="H269" t="str">
            <v>BEAT|2020|GRIS|NFN014B</v>
          </cell>
          <cell r="M269">
            <v>150</v>
          </cell>
        </row>
        <row r="270">
          <cell r="A270">
            <v>43</v>
          </cell>
          <cell r="F270" t="str">
            <v>TALACHA</v>
          </cell>
          <cell r="H270" t="str">
            <v>BEAT|2020|GRIS|NFN014B</v>
          </cell>
          <cell r="M270">
            <v>50</v>
          </cell>
        </row>
        <row r="271">
          <cell r="A271">
            <v>43</v>
          </cell>
          <cell r="F271" t="str">
            <v>TUERCAS</v>
          </cell>
          <cell r="H271" t="str">
            <v>BEAT|2020|GRIS|NFN014B</v>
          </cell>
          <cell r="M271">
            <v>3</v>
          </cell>
        </row>
        <row r="272">
          <cell r="A272">
            <v>43</v>
          </cell>
          <cell r="F272" t="str">
            <v>PAGO A GUSTAVO</v>
          </cell>
          <cell r="H272" t="str">
            <v>BEAT|2020|GRIS|NFN014B</v>
          </cell>
          <cell r="M272">
            <v>2300</v>
          </cell>
        </row>
        <row r="273">
          <cell r="A273">
            <v>43</v>
          </cell>
          <cell r="F273" t="str">
            <v>GASOLINA</v>
          </cell>
          <cell r="H273" t="str">
            <v>MARCH|2020|TURQ|N15BKD</v>
          </cell>
          <cell r="M273">
            <v>200</v>
          </cell>
        </row>
        <row r="274">
          <cell r="A274">
            <v>43</v>
          </cell>
          <cell r="F274" t="str">
            <v>SOPORTE TRASERO</v>
          </cell>
          <cell r="H274" t="str">
            <v>VERSA|2023|PLATA|NCT814A</v>
          </cell>
          <cell r="M274">
            <v>750</v>
          </cell>
        </row>
        <row r="275">
          <cell r="A275">
            <v>43</v>
          </cell>
          <cell r="F275" t="str">
            <v xml:space="preserve">VERIFICACIÓN </v>
          </cell>
          <cell r="H275" t="str">
            <v>VERSA|2023|PLATA|NCT814A</v>
          </cell>
          <cell r="M275">
            <v>720</v>
          </cell>
        </row>
        <row r="276">
          <cell r="A276">
            <v>43</v>
          </cell>
          <cell r="F276" t="str">
            <v>RESTANTE DE BALATAS</v>
          </cell>
          <cell r="H276" t="str">
            <v>VERSA|2023|PLATA|NCT814A</v>
          </cell>
          <cell r="M276">
            <v>25</v>
          </cell>
        </row>
        <row r="277">
          <cell r="A277">
            <v>43</v>
          </cell>
          <cell r="F277" t="str">
            <v>REJILLA INFERIOR DERECHA</v>
          </cell>
          <cell r="H277" t="str">
            <v>VENTO|2019|BLANCO|LUE965C</v>
          </cell>
          <cell r="M277">
            <v>216</v>
          </cell>
        </row>
        <row r="278">
          <cell r="A278">
            <v>43</v>
          </cell>
          <cell r="F278" t="str">
            <v>MOTOVENTILADOR</v>
          </cell>
          <cell r="H278" t="str">
            <v>KIA RIO|2020|GRIS|NCK475B</v>
          </cell>
          <cell r="M278">
            <v>1500</v>
          </cell>
        </row>
        <row r="279">
          <cell r="A279">
            <v>43</v>
          </cell>
          <cell r="F279" t="str">
            <v>BALERO</v>
          </cell>
          <cell r="H279" t="str">
            <v>VERSA|2023|PLATA|NCT814A</v>
          </cell>
          <cell r="M279">
            <v>550</v>
          </cell>
        </row>
        <row r="280">
          <cell r="A280">
            <v>43</v>
          </cell>
          <cell r="F280" t="str">
            <v>CAMBIO DE BALERO (PRENSA)</v>
          </cell>
          <cell r="H280" t="str">
            <v>VERSA|2023|PLATA|NCT814A</v>
          </cell>
          <cell r="M280">
            <v>100</v>
          </cell>
        </row>
        <row r="281">
          <cell r="A281">
            <v>43</v>
          </cell>
          <cell r="F281" t="str">
            <v>GASOLINA TAXI ISAMEL RONDA</v>
          </cell>
          <cell r="H281" t="str">
            <v>OPERACIÓN</v>
          </cell>
          <cell r="M281">
            <v>250</v>
          </cell>
        </row>
        <row r="282">
          <cell r="A282">
            <v>43</v>
          </cell>
          <cell r="F282" t="str">
            <v>COPIAS MP</v>
          </cell>
          <cell r="H282" t="str">
            <v>OPERACIÓN</v>
          </cell>
          <cell r="M282">
            <v>400</v>
          </cell>
        </row>
        <row r="283">
          <cell r="A283">
            <v>43</v>
          </cell>
          <cell r="F283" t="str">
            <v>ESTACIONAMIENTO MP</v>
          </cell>
          <cell r="H283" t="str">
            <v>OPERACIÓN</v>
          </cell>
          <cell r="M283">
            <v>35</v>
          </cell>
        </row>
        <row r="284">
          <cell r="A284">
            <v>43</v>
          </cell>
          <cell r="F284" t="str">
            <v>PERMISO PARA CIRCULAR</v>
          </cell>
          <cell r="H284" t="str">
            <v>AVEO|2025|PERSU|</v>
          </cell>
          <cell r="M284">
            <v>80</v>
          </cell>
        </row>
        <row r="285">
          <cell r="A285">
            <v>43</v>
          </cell>
          <cell r="F285" t="str">
            <v>PERMISO PARA CIRCULAR</v>
          </cell>
          <cell r="H285" t="str">
            <v>AVEO|2025|PERSU|</v>
          </cell>
          <cell r="M285">
            <v>80</v>
          </cell>
        </row>
        <row r="286">
          <cell r="A286">
            <v>43</v>
          </cell>
          <cell r="F286" t="str">
            <v>PERMISO PARA CIRCULAR</v>
          </cell>
          <cell r="H286" t="str">
            <v>AVEO|2025|PERSU|</v>
          </cell>
          <cell r="M286">
            <v>80</v>
          </cell>
        </row>
        <row r="287">
          <cell r="A287">
            <v>43</v>
          </cell>
          <cell r="F287" t="str">
            <v>RECTIFICACION DE DISCOS</v>
          </cell>
          <cell r="H287" t="str">
            <v>KIA|2017|ROJO|MYE912A</v>
          </cell>
          <cell r="M287">
            <v>208</v>
          </cell>
        </row>
        <row r="288">
          <cell r="A288">
            <v>43</v>
          </cell>
          <cell r="F288" t="str">
            <v>GASOLINA</v>
          </cell>
          <cell r="H288" t="str">
            <v>MARCH|2020|TURQ|N15BKD</v>
          </cell>
          <cell r="M288">
            <v>200</v>
          </cell>
        </row>
        <row r="289">
          <cell r="A289">
            <v>43</v>
          </cell>
          <cell r="F289" t="str">
            <v>GABO PENDIENTES DE RONDA</v>
          </cell>
          <cell r="H289" t="str">
            <v>OPERACIÓN</v>
          </cell>
          <cell r="M289">
            <v>616</v>
          </cell>
        </row>
        <row r="290">
          <cell r="A290">
            <v>43</v>
          </cell>
          <cell r="F290" t="str">
            <v>GASOLINA OPERACIÓN</v>
          </cell>
          <cell r="H290" t="str">
            <v>KIA|2017|ROJO|MYE912A</v>
          </cell>
          <cell r="M290">
            <v>105</v>
          </cell>
        </row>
        <row r="291">
          <cell r="A291">
            <v>43</v>
          </cell>
          <cell r="F291" t="str">
            <v>ESTEREO</v>
          </cell>
          <cell r="H291" t="str">
            <v>KIA|2017|ROJO|MYE912A</v>
          </cell>
          <cell r="M291">
            <v>3000</v>
          </cell>
        </row>
        <row r="292">
          <cell r="A292">
            <v>43</v>
          </cell>
          <cell r="F292" t="str">
            <v>DEPOSITO LIMPIADOR</v>
          </cell>
          <cell r="H292" t="str">
            <v>VENTO|2019|BLANCO|LUE965C</v>
          </cell>
          <cell r="M292">
            <v>812</v>
          </cell>
        </row>
        <row r="293">
          <cell r="A293">
            <v>43</v>
          </cell>
          <cell r="F293" t="str">
            <v>POLISH BLANCO</v>
          </cell>
          <cell r="H293" t="str">
            <v>TALLER</v>
          </cell>
          <cell r="M293">
            <v>50</v>
          </cell>
        </row>
        <row r="294">
          <cell r="A294">
            <v>43</v>
          </cell>
          <cell r="F294" t="str">
            <v>CERA LIQUIDA</v>
          </cell>
          <cell r="H294" t="str">
            <v>TALLER</v>
          </cell>
          <cell r="M294">
            <v>100</v>
          </cell>
        </row>
        <row r="295">
          <cell r="A295">
            <v>43</v>
          </cell>
          <cell r="F295" t="str">
            <v>REJILLA CENTRAL</v>
          </cell>
          <cell r="H295" t="str">
            <v>KIA RIO|2020|GRIS|NCK475B</v>
          </cell>
          <cell r="M295">
            <v>950</v>
          </cell>
        </row>
        <row r="296">
          <cell r="A296">
            <v>43</v>
          </cell>
          <cell r="F296" t="str">
            <v>FARO DE NIEBLA</v>
          </cell>
          <cell r="H296" t="str">
            <v>KIA RIO|2020|GRIS|NCK475B</v>
          </cell>
          <cell r="M296">
            <v>600</v>
          </cell>
        </row>
        <row r="297">
          <cell r="A297">
            <v>43</v>
          </cell>
          <cell r="F297" t="str">
            <v>2 GARRAFAS DE ANTICONGELANTE</v>
          </cell>
          <cell r="H297" t="str">
            <v>TALLER</v>
          </cell>
          <cell r="M297">
            <v>300</v>
          </cell>
        </row>
        <row r="298">
          <cell r="A298">
            <v>43</v>
          </cell>
          <cell r="F298" t="str">
            <v xml:space="preserve">CALAVERA </v>
          </cell>
          <cell r="H298" t="str">
            <v>AVEO|2018|GRIS|X59AWG</v>
          </cell>
          <cell r="M298">
            <v>700</v>
          </cell>
        </row>
        <row r="299">
          <cell r="A299">
            <v>43</v>
          </cell>
          <cell r="F299" t="str">
            <v xml:space="preserve">CABLE </v>
          </cell>
          <cell r="H299" t="str">
            <v>VERSA|2020|BLANCO|A35BHD</v>
          </cell>
          <cell r="M299">
            <v>60</v>
          </cell>
        </row>
        <row r="300">
          <cell r="A300">
            <v>43</v>
          </cell>
          <cell r="F300" t="str">
            <v>GASOLINA RONDA</v>
          </cell>
          <cell r="H300" t="str">
            <v>MOTO OPERATIVA</v>
          </cell>
          <cell r="M300">
            <v>195</v>
          </cell>
        </row>
        <row r="301">
          <cell r="A301">
            <v>43</v>
          </cell>
          <cell r="F301" t="str">
            <v>GAS OPERACIÓN</v>
          </cell>
          <cell r="H301" t="str">
            <v>OPERACIÓN</v>
          </cell>
          <cell r="M301">
            <v>250</v>
          </cell>
        </row>
        <row r="302">
          <cell r="A302">
            <v>43</v>
          </cell>
          <cell r="F302" t="str">
            <v>FACTURAS DE GASOLINA</v>
          </cell>
          <cell r="H302" t="str">
            <v>ADMINISTRACION</v>
          </cell>
          <cell r="M302">
            <v>1500</v>
          </cell>
        </row>
        <row r="303">
          <cell r="A303">
            <v>43</v>
          </cell>
          <cell r="F303" t="str">
            <v>PERMISO PARA CIRCULAR</v>
          </cell>
          <cell r="H303" t="str">
            <v>MOTO HONDA OP</v>
          </cell>
          <cell r="M303">
            <v>80</v>
          </cell>
        </row>
        <row r="304">
          <cell r="A304">
            <v>43</v>
          </cell>
          <cell r="F304" t="str">
            <v>UBER HOJALATERO</v>
          </cell>
          <cell r="H304" t="str">
            <v>OPERACIÓN</v>
          </cell>
          <cell r="M304">
            <v>215</v>
          </cell>
        </row>
        <row r="305">
          <cell r="A305">
            <v>43</v>
          </cell>
          <cell r="F305" t="str">
            <v>MODULO DE MOTOVENTILADOR</v>
          </cell>
          <cell r="H305" t="str">
            <v>VERSA|2020|BLANCO|A35BHD</v>
          </cell>
          <cell r="M305">
            <v>790</v>
          </cell>
        </row>
        <row r="306">
          <cell r="A306">
            <v>43</v>
          </cell>
          <cell r="F306" t="str">
            <v>GASOLINA</v>
          </cell>
          <cell r="H306" t="str">
            <v>KIA RIO|2020|GRIS|NCK475B</v>
          </cell>
          <cell r="M306">
            <v>200</v>
          </cell>
        </row>
        <row r="307">
          <cell r="A307">
            <v>43</v>
          </cell>
          <cell r="F307" t="str">
            <v>TOMA DE AIRE DE REGILLA</v>
          </cell>
          <cell r="H307" t="str">
            <v>KIA RIO|2020|GRIS|NCK475B</v>
          </cell>
          <cell r="M307">
            <v>500</v>
          </cell>
        </row>
        <row r="308">
          <cell r="A308">
            <v>43</v>
          </cell>
          <cell r="F308" t="str">
            <v>TERMINAL EXTERIOR</v>
          </cell>
          <cell r="H308" t="str">
            <v>KIA RIO|2020|GRIS|NCK475B</v>
          </cell>
          <cell r="M308">
            <v>361.92</v>
          </cell>
        </row>
        <row r="309">
          <cell r="A309">
            <v>43</v>
          </cell>
          <cell r="F309" t="str">
            <v>TERMINAL INTERIOR</v>
          </cell>
          <cell r="H309" t="str">
            <v>KIA RIO|2020|GRIS|NCK475B</v>
          </cell>
          <cell r="M309">
            <v>455.88</v>
          </cell>
        </row>
        <row r="310">
          <cell r="A310">
            <v>43</v>
          </cell>
          <cell r="F310" t="str">
            <v>HORQUILLA</v>
          </cell>
          <cell r="H310" t="str">
            <v>KIA RIO|2020|GRIS|NCK475B</v>
          </cell>
          <cell r="M310">
            <v>1345.6</v>
          </cell>
        </row>
        <row r="311">
          <cell r="A311">
            <v>43</v>
          </cell>
          <cell r="F311" t="str">
            <v>BALATAS</v>
          </cell>
          <cell r="H311" t="str">
            <v>VENTO|2018|AMARILLO|PED1652</v>
          </cell>
          <cell r="M311">
            <v>500</v>
          </cell>
        </row>
        <row r="312">
          <cell r="A312">
            <v>43</v>
          </cell>
          <cell r="F312" t="str">
            <v xml:space="preserve">ELECTRICO </v>
          </cell>
          <cell r="H312" t="str">
            <v>VERSA|2020|BLANCO|A35BHD</v>
          </cell>
          <cell r="M312">
            <v>500</v>
          </cell>
        </row>
        <row r="313">
          <cell r="A313">
            <v>43</v>
          </cell>
          <cell r="F313" t="str">
            <v>GAS PRUEBA</v>
          </cell>
          <cell r="H313" t="str">
            <v>VENTO|2019|BLANCO|LUE965C</v>
          </cell>
          <cell r="M313">
            <v>100</v>
          </cell>
        </row>
        <row r="314">
          <cell r="A314">
            <v>43</v>
          </cell>
          <cell r="F314" t="str">
            <v>CLUTCH</v>
          </cell>
          <cell r="H314" t="str">
            <v>AVEO|2021|GRIS|D51BHV</v>
          </cell>
          <cell r="M314">
            <v>2150.86</v>
          </cell>
        </row>
        <row r="315">
          <cell r="A315">
            <v>43</v>
          </cell>
          <cell r="F315" t="str">
            <v xml:space="preserve">GAS </v>
          </cell>
          <cell r="H315" t="str">
            <v>OPERACIÓN</v>
          </cell>
          <cell r="M315">
            <v>200</v>
          </cell>
        </row>
        <row r="316">
          <cell r="A316">
            <v>43</v>
          </cell>
          <cell r="F316" t="str">
            <v>LAVADO</v>
          </cell>
          <cell r="H316" t="str">
            <v>VENTO|2019|BLANCO|LUE965C</v>
          </cell>
          <cell r="M316">
            <v>125</v>
          </cell>
        </row>
        <row r="317">
          <cell r="A317">
            <v>43</v>
          </cell>
          <cell r="F317" t="str">
            <v>LAVADO</v>
          </cell>
          <cell r="H317" t="str">
            <v>MARCH|2021|ROJO|NZU5163</v>
          </cell>
          <cell r="M317">
            <v>125</v>
          </cell>
        </row>
        <row r="318">
          <cell r="A318">
            <v>43</v>
          </cell>
          <cell r="F318" t="str">
            <v>LAVADO</v>
          </cell>
          <cell r="H318" t="str">
            <v>VERSA|2020|BLANCO|A35BHD</v>
          </cell>
          <cell r="M318">
            <v>125</v>
          </cell>
        </row>
        <row r="319">
          <cell r="A319">
            <v>43</v>
          </cell>
          <cell r="F319" t="str">
            <v>(2) FOCOS</v>
          </cell>
          <cell r="H319" t="str">
            <v>VENTO|2019|BLANCO|LUE965C</v>
          </cell>
          <cell r="M319">
            <v>180</v>
          </cell>
        </row>
        <row r="320">
          <cell r="A320">
            <v>43</v>
          </cell>
          <cell r="F320" t="str">
            <v>HOJALATERIA</v>
          </cell>
          <cell r="H320" t="str">
            <v>VENTO|2019|BLANCO|LUE965C</v>
          </cell>
          <cell r="M320">
            <v>6500</v>
          </cell>
        </row>
        <row r="321">
          <cell r="A321">
            <v>43</v>
          </cell>
          <cell r="F321" t="str">
            <v>HOJALATERIA</v>
          </cell>
          <cell r="H321" t="str">
            <v>KIA RIO|2020|GRIS|NCK475B</v>
          </cell>
          <cell r="M321">
            <v>3000</v>
          </cell>
        </row>
        <row r="322">
          <cell r="A322">
            <v>43</v>
          </cell>
          <cell r="F322" t="str">
            <v>TALACHA</v>
          </cell>
          <cell r="H322" t="str">
            <v>KIA RIO|2020|GRIS|NCK475B</v>
          </cell>
          <cell r="M322">
            <v>50</v>
          </cell>
        </row>
        <row r="323">
          <cell r="A323">
            <v>44</v>
          </cell>
          <cell r="F323" t="str">
            <v>BALATAS TRASERAS</v>
          </cell>
          <cell r="H323" t="str">
            <v>MARCH|2020|TURQ|NI5BKD</v>
          </cell>
          <cell r="M323">
            <v>450</v>
          </cell>
        </row>
        <row r="324">
          <cell r="A324">
            <v>44</v>
          </cell>
          <cell r="F324" t="str">
            <v>PRUEBA</v>
          </cell>
          <cell r="H324" t="str">
            <v>KIA RIO|2020|GRIS|NCK475B</v>
          </cell>
          <cell r="M324">
            <v>150</v>
          </cell>
        </row>
        <row r="325">
          <cell r="A325">
            <v>44</v>
          </cell>
          <cell r="F325" t="str">
            <v>BOBINA</v>
          </cell>
          <cell r="H325" t="str">
            <v>VENTO|2019|BLANCO|LUE965C</v>
          </cell>
          <cell r="M325">
            <v>580</v>
          </cell>
        </row>
        <row r="326">
          <cell r="A326">
            <v>44</v>
          </cell>
          <cell r="F326" t="str">
            <v>REPARACION DE MANGUERAS</v>
          </cell>
          <cell r="H326" t="str">
            <v>KIA RIO|2020|GRIS|NCK475B</v>
          </cell>
          <cell r="M326">
            <v>1100</v>
          </cell>
        </row>
        <row r="327">
          <cell r="A327">
            <v>44</v>
          </cell>
          <cell r="F327" t="str">
            <v>PERMISOS (2)</v>
          </cell>
          <cell r="H327" t="str">
            <v>AVEO|2025|PERSUACION|SP</v>
          </cell>
          <cell r="M327">
            <v>160</v>
          </cell>
        </row>
        <row r="328">
          <cell r="A328">
            <v>44</v>
          </cell>
          <cell r="F328" t="str">
            <v>FILTRO DE GASOLINA</v>
          </cell>
          <cell r="H328" t="str">
            <v>AVEO|2023|VINO|R22BMR</v>
          </cell>
          <cell r="M328">
            <v>50</v>
          </cell>
        </row>
        <row r="329">
          <cell r="A329">
            <v>44</v>
          </cell>
          <cell r="F329" t="str">
            <v xml:space="preserve">ROTULA </v>
          </cell>
          <cell r="H329" t="str">
            <v>AVEO|2019|BLANCO|NBS225A</v>
          </cell>
          <cell r="M329">
            <v>140</v>
          </cell>
        </row>
        <row r="330">
          <cell r="A330">
            <v>44</v>
          </cell>
          <cell r="F330" t="str">
            <v xml:space="preserve">VERIFICACIÓN </v>
          </cell>
          <cell r="H330" t="str">
            <v>BEAT|2020|GRIS|NFN014B</v>
          </cell>
          <cell r="M330">
            <v>720</v>
          </cell>
        </row>
        <row r="331">
          <cell r="A331">
            <v>44</v>
          </cell>
          <cell r="F331" t="str">
            <v>GAS DE MANGUERAS</v>
          </cell>
          <cell r="H331" t="str">
            <v>KIA RIO|2020|GRIS|NCK475B</v>
          </cell>
          <cell r="M331">
            <v>500</v>
          </cell>
        </row>
        <row r="332">
          <cell r="A332">
            <v>44</v>
          </cell>
          <cell r="F332" t="str">
            <v xml:space="preserve">ALINEACION </v>
          </cell>
          <cell r="H332" t="str">
            <v>AVEO|2019|BLANCO|NBS225A</v>
          </cell>
          <cell r="M332">
            <v>200</v>
          </cell>
        </row>
        <row r="333">
          <cell r="A333">
            <v>44</v>
          </cell>
          <cell r="F333" t="str">
            <v>PAGO DE CHIP</v>
          </cell>
          <cell r="H333" t="str">
            <v>VENTO|2019|BLANCO|MGC410C</v>
          </cell>
          <cell r="M333">
            <v>100</v>
          </cell>
        </row>
        <row r="334">
          <cell r="A334">
            <v>44</v>
          </cell>
          <cell r="F334" t="str">
            <v xml:space="preserve">PLACAS </v>
          </cell>
          <cell r="H334" t="str">
            <v>CAMIONETAS JAC</v>
          </cell>
          <cell r="M334">
            <v>2372</v>
          </cell>
        </row>
        <row r="335">
          <cell r="A335">
            <v>44</v>
          </cell>
          <cell r="F335" t="str">
            <v xml:space="preserve">PLACAS </v>
          </cell>
          <cell r="H335" t="str">
            <v>CAMIONETAS JAC</v>
          </cell>
          <cell r="M335">
            <v>2372</v>
          </cell>
        </row>
        <row r="336">
          <cell r="A336">
            <v>44</v>
          </cell>
          <cell r="F336" t="str">
            <v>FOCOS HELLA (2)</v>
          </cell>
          <cell r="H336" t="str">
            <v>KIA RIO|2020|GRIS|NCK475B</v>
          </cell>
          <cell r="M336">
            <v>100</v>
          </cell>
        </row>
        <row r="337">
          <cell r="A337">
            <v>44</v>
          </cell>
          <cell r="F337" t="str">
            <v>MONTAJE DE LLANTAS(2)</v>
          </cell>
          <cell r="H337" t="str">
            <v>KIA RIO|2017|ROJO|MYE912A</v>
          </cell>
          <cell r="M337">
            <v>100</v>
          </cell>
        </row>
        <row r="338">
          <cell r="A338">
            <v>44</v>
          </cell>
          <cell r="F338" t="str">
            <v>GASOLINA</v>
          </cell>
          <cell r="H338" t="str">
            <v>AVEO|2025|PERSUASION|MXM503C</v>
          </cell>
          <cell r="M338">
            <v>200</v>
          </cell>
        </row>
        <row r="339">
          <cell r="A339">
            <v>44</v>
          </cell>
          <cell r="F339" t="str">
            <v>GASOLINA</v>
          </cell>
          <cell r="H339" t="str">
            <v>AVEO|2025|PERSUASION|MXM510C</v>
          </cell>
          <cell r="M339">
            <v>200</v>
          </cell>
        </row>
        <row r="340">
          <cell r="A340">
            <v>44</v>
          </cell>
          <cell r="F340" t="str">
            <v>GASOLINA</v>
          </cell>
          <cell r="H340" t="str">
            <v>AVEO|2025|PERSUASION|MXM502C</v>
          </cell>
          <cell r="M340">
            <v>200</v>
          </cell>
        </row>
        <row r="341">
          <cell r="A341">
            <v>44</v>
          </cell>
          <cell r="F341" t="str">
            <v>PROPINA DE GASERA</v>
          </cell>
          <cell r="H341" t="str">
            <v>AVEOS</v>
          </cell>
          <cell r="M341">
            <v>20</v>
          </cell>
        </row>
        <row r="342">
          <cell r="A342">
            <v>44</v>
          </cell>
          <cell r="F342" t="str">
            <v>TAXI DE UNIDAD A MIXCOAC</v>
          </cell>
          <cell r="H342" t="str">
            <v>OPERACIÓN</v>
          </cell>
          <cell r="M342">
            <v>80</v>
          </cell>
        </row>
        <row r="343">
          <cell r="A343">
            <v>44</v>
          </cell>
          <cell r="F343" t="str">
            <v>ELECTRICO</v>
          </cell>
          <cell r="H343" t="str">
            <v>HYUNDAI|2022|PLATA|D40BKD</v>
          </cell>
          <cell r="M343">
            <v>500</v>
          </cell>
        </row>
        <row r="344">
          <cell r="A344">
            <v>44</v>
          </cell>
          <cell r="F344" t="str">
            <v>ELECTRICO</v>
          </cell>
          <cell r="H344" t="str">
            <v>MARCH|2020|TURQ|N15BKD</v>
          </cell>
          <cell r="M344">
            <v>200</v>
          </cell>
        </row>
        <row r="345">
          <cell r="A345">
            <v>44</v>
          </cell>
          <cell r="F345" t="str">
            <v>FACTURAS DE GASOLINA</v>
          </cell>
          <cell r="H345" t="str">
            <v>ADMINISTRACION</v>
          </cell>
          <cell r="M345">
            <v>1500</v>
          </cell>
        </row>
        <row r="346">
          <cell r="A346">
            <v>44</v>
          </cell>
          <cell r="F346" t="str">
            <v>CINTAS CANELA (4)</v>
          </cell>
          <cell r="H346" t="str">
            <v>ADMINISTRACION</v>
          </cell>
          <cell r="M346">
            <v>100</v>
          </cell>
        </row>
        <row r="347">
          <cell r="A347">
            <v>45</v>
          </cell>
          <cell r="F347" t="str">
            <v>BUJIAS</v>
          </cell>
          <cell r="H347" t="str">
            <v>SWIFT|2017|ROJO|X89ALV</v>
          </cell>
          <cell r="M347">
            <v>328</v>
          </cell>
        </row>
        <row r="348">
          <cell r="A348">
            <v>45</v>
          </cell>
          <cell r="F348" t="str">
            <v>BALATAS DELANTERAS</v>
          </cell>
          <cell r="H348" t="str">
            <v>SWIFT|2017|ROJO|X89ALV</v>
          </cell>
          <cell r="M348">
            <v>420</v>
          </cell>
        </row>
        <row r="349">
          <cell r="A349">
            <v>45</v>
          </cell>
          <cell r="F349" t="str">
            <v>FILTRO DE ACEITE</v>
          </cell>
          <cell r="H349" t="str">
            <v>SWIFT|2017|ROJO|X89ALV</v>
          </cell>
          <cell r="M349">
            <v>46</v>
          </cell>
        </row>
        <row r="350">
          <cell r="A350">
            <v>45</v>
          </cell>
          <cell r="F350" t="str">
            <v>GALON DE ACEITE</v>
          </cell>
          <cell r="H350" t="str">
            <v>SWIFT|2017|ROJO|X89ALV</v>
          </cell>
          <cell r="M350">
            <v>550</v>
          </cell>
        </row>
        <row r="351">
          <cell r="A351">
            <v>45</v>
          </cell>
          <cell r="F351" t="str">
            <v>GASOLINA PARA GPS</v>
          </cell>
          <cell r="H351" t="str">
            <v>VENTO|2019|BLANCO|MGC410C</v>
          </cell>
          <cell r="M351">
            <v>250</v>
          </cell>
        </row>
        <row r="352">
          <cell r="A352">
            <v>45</v>
          </cell>
          <cell r="F352" t="str">
            <v>BALATAS TRASERAS</v>
          </cell>
          <cell r="H352" t="str">
            <v>SWIFT|2017|ROJO|X89ALV</v>
          </cell>
          <cell r="M352">
            <v>450</v>
          </cell>
        </row>
        <row r="353">
          <cell r="A353">
            <v>45</v>
          </cell>
          <cell r="F353" t="str">
            <v>BALERO DELANTERO DERECHO DOBLE</v>
          </cell>
          <cell r="H353" t="str">
            <v>BEAT|2020|GRIS|NFN014B</v>
          </cell>
          <cell r="M353">
            <v>430</v>
          </cell>
        </row>
        <row r="354">
          <cell r="A354">
            <v>45</v>
          </cell>
          <cell r="F354" t="str">
            <v>PRENSA DE BALERO</v>
          </cell>
          <cell r="H354" t="str">
            <v>BEAT|2020|GRIS|NFN014B</v>
          </cell>
          <cell r="M354">
            <v>100</v>
          </cell>
        </row>
        <row r="355">
          <cell r="A355">
            <v>45</v>
          </cell>
          <cell r="F355" t="str">
            <v>CILINDRO</v>
          </cell>
          <cell r="H355" t="str">
            <v>VENTO|2017|GRIS|MMA672C</v>
          </cell>
          <cell r="M355">
            <v>375</v>
          </cell>
        </row>
        <row r="356">
          <cell r="A356">
            <v>45</v>
          </cell>
          <cell r="F356" t="str">
            <v>SILICÓN NEGRO</v>
          </cell>
          <cell r="H356" t="str">
            <v>VENTO|2017|GRIS|MMA672C</v>
          </cell>
          <cell r="M356">
            <v>68</v>
          </cell>
        </row>
        <row r="357">
          <cell r="A357">
            <v>45</v>
          </cell>
          <cell r="F357" t="str">
            <v>TOMA DE AGUA</v>
          </cell>
          <cell r="H357" t="str">
            <v>BEAT|2020|GRIS|NFN014B</v>
          </cell>
          <cell r="M357">
            <v>875</v>
          </cell>
        </row>
        <row r="358">
          <cell r="A358">
            <v>45</v>
          </cell>
          <cell r="F358" t="str">
            <v>FOCO (1)</v>
          </cell>
          <cell r="H358" t="str">
            <v>AVEO|2022|VINO|P62BHW</v>
          </cell>
          <cell r="M358">
            <v>45</v>
          </cell>
        </row>
        <row r="359">
          <cell r="A359">
            <v>45</v>
          </cell>
          <cell r="F359" t="str">
            <v>GASOLINA</v>
          </cell>
          <cell r="H359" t="str">
            <v>BEAT|2019|OCRE|MAY730C</v>
          </cell>
          <cell r="M359">
            <v>100</v>
          </cell>
        </row>
        <row r="360">
          <cell r="A360">
            <v>45</v>
          </cell>
          <cell r="F360" t="str">
            <v>GASOLINA</v>
          </cell>
          <cell r="H360" t="str">
            <v>KIA RIO|2020|GRIS|NCK475B</v>
          </cell>
          <cell r="M360">
            <v>200</v>
          </cell>
        </row>
        <row r="361">
          <cell r="A361">
            <v>45</v>
          </cell>
          <cell r="F361" t="str">
            <v>GASOLINA</v>
          </cell>
          <cell r="H361" t="str">
            <v>AVEO|2020|AZUL|D28BET</v>
          </cell>
          <cell r="M361">
            <v>100</v>
          </cell>
        </row>
        <row r="362">
          <cell r="A362">
            <v>45</v>
          </cell>
          <cell r="F362" t="str">
            <v>PARABRISAS</v>
          </cell>
          <cell r="H362" t="str">
            <v>KIA RIO|2020|GRIS|NCK475B</v>
          </cell>
          <cell r="M362">
            <v>1130</v>
          </cell>
        </row>
        <row r="363">
          <cell r="A363">
            <v>45</v>
          </cell>
          <cell r="F363" t="str">
            <v>CALCOMANIAS</v>
          </cell>
          <cell r="H363" t="str">
            <v>KIA RIO|2020|GRIS|NCK475B</v>
          </cell>
          <cell r="M363">
            <v>60</v>
          </cell>
        </row>
        <row r="364">
          <cell r="A364">
            <v>45</v>
          </cell>
          <cell r="F364" t="str">
            <v>GALON DE ACEITE</v>
          </cell>
          <cell r="H364" t="str">
            <v>SWIFT|2017|ROJO|X89ALV</v>
          </cell>
          <cell r="M364">
            <v>300</v>
          </cell>
        </row>
        <row r="365">
          <cell r="A365">
            <v>45</v>
          </cell>
          <cell r="F365" t="str">
            <v>DEPOSITO DE ANTICONGELANTE</v>
          </cell>
          <cell r="H365" t="str">
            <v>VENTO|2017|GRIS|MMA672C</v>
          </cell>
          <cell r="M365">
            <v>330</v>
          </cell>
        </row>
        <row r="366">
          <cell r="A366">
            <v>45</v>
          </cell>
          <cell r="F366" t="str">
            <v>LONAS</v>
          </cell>
          <cell r="H366" t="str">
            <v>ROSA MARIA</v>
          </cell>
          <cell r="M366">
            <v>457</v>
          </cell>
        </row>
        <row r="367">
          <cell r="A367">
            <v>45</v>
          </cell>
          <cell r="F367" t="str">
            <v>LIQUIDO DE FRENOS</v>
          </cell>
          <cell r="H367" t="str">
            <v>TALLER</v>
          </cell>
          <cell r="M367">
            <v>100</v>
          </cell>
        </row>
        <row r="368">
          <cell r="A368">
            <v>45</v>
          </cell>
          <cell r="F368" t="str">
            <v>TORNILLO</v>
          </cell>
          <cell r="H368" t="str">
            <v>BEAT|2020|GRIS|NFN014B</v>
          </cell>
          <cell r="M368">
            <v>70</v>
          </cell>
        </row>
        <row r="369">
          <cell r="A369">
            <v>45</v>
          </cell>
          <cell r="F369" t="str">
            <v>CILINDRO DE CLUTCH</v>
          </cell>
          <cell r="H369" t="str">
            <v>BEAT|2020|GRIS|NFN014B</v>
          </cell>
          <cell r="M369">
            <v>375</v>
          </cell>
        </row>
        <row r="370">
          <cell r="A370">
            <v>45</v>
          </cell>
          <cell r="F370" t="str">
            <v>TINTAS PARA IMPRESORA (3)</v>
          </cell>
          <cell r="H370" t="str">
            <v>ROSA MARIA</v>
          </cell>
          <cell r="M370">
            <v>418</v>
          </cell>
        </row>
        <row r="371">
          <cell r="A371">
            <v>45</v>
          </cell>
          <cell r="F371" t="str">
            <v>CABLE PARA IMPRESORA USB</v>
          </cell>
          <cell r="H371" t="str">
            <v>ROSA MARIA</v>
          </cell>
          <cell r="M371">
            <v>109</v>
          </cell>
        </row>
        <row r="372">
          <cell r="A372">
            <v>45</v>
          </cell>
          <cell r="F372" t="str">
            <v>BOBINA</v>
          </cell>
          <cell r="H372" t="str">
            <v>VERSA|2021|BLANCO|MEE228C</v>
          </cell>
          <cell r="M372">
            <v>620</v>
          </cell>
        </row>
        <row r="373">
          <cell r="A373">
            <v>45</v>
          </cell>
          <cell r="F373" t="str">
            <v>GASOLINA</v>
          </cell>
          <cell r="H373" t="str">
            <v>KIA RIO|2020|GRIS|NCK475B</v>
          </cell>
          <cell r="M373">
            <v>150</v>
          </cell>
        </row>
        <row r="374">
          <cell r="A374">
            <v>45</v>
          </cell>
          <cell r="F374" t="str">
            <v>FOCO PELLISCO</v>
          </cell>
          <cell r="H374" t="str">
            <v>AVEO|2019|PLATA|NEL860A</v>
          </cell>
          <cell r="M374">
            <v>5</v>
          </cell>
        </row>
        <row r="375">
          <cell r="A375">
            <v>45</v>
          </cell>
          <cell r="F375" t="str">
            <v>FOCO</v>
          </cell>
          <cell r="H375" t="str">
            <v>AVEO|2019|PLATA|NEL860A</v>
          </cell>
          <cell r="M375">
            <v>8</v>
          </cell>
        </row>
        <row r="376">
          <cell r="A376">
            <v>46</v>
          </cell>
          <cell r="F376" t="str">
            <v>BOBINA (2)</v>
          </cell>
          <cell r="H376" t="str">
            <v>VERSA|2021|BLANCO|MEE228C</v>
          </cell>
          <cell r="M376">
            <v>1240</v>
          </cell>
        </row>
        <row r="377">
          <cell r="A377">
            <v>46</v>
          </cell>
          <cell r="F377" t="str">
            <v>LLANTAS (2)</v>
          </cell>
          <cell r="H377" t="str">
            <v>VENTO|2019|BLANCO|MGC410C</v>
          </cell>
          <cell r="M377">
            <v>1900</v>
          </cell>
        </row>
        <row r="378">
          <cell r="A378">
            <v>46</v>
          </cell>
          <cell r="F378" t="str">
            <v>FILTRO DE AIRE</v>
          </cell>
          <cell r="H378" t="str">
            <v>VERSA|2021|BLANCO|MEE228C</v>
          </cell>
          <cell r="M378">
            <v>130</v>
          </cell>
        </row>
        <row r="379">
          <cell r="A379">
            <v>46</v>
          </cell>
          <cell r="F379" t="str">
            <v>LIMPIADOR DE CUERPO</v>
          </cell>
          <cell r="H379" t="str">
            <v>BEAT|2020|GRIS|NFN014B</v>
          </cell>
          <cell r="M379">
            <v>100</v>
          </cell>
        </row>
        <row r="380">
          <cell r="A380">
            <v>46</v>
          </cell>
          <cell r="F380" t="str">
            <v>BALERO DELANTERO</v>
          </cell>
          <cell r="H380" t="str">
            <v>BEAT|2020|GRIS|NFN014B</v>
          </cell>
          <cell r="M380">
            <v>430</v>
          </cell>
        </row>
        <row r="381">
          <cell r="A381">
            <v>46</v>
          </cell>
          <cell r="F381" t="str">
            <v>MAZA DE RUEDA DELANTERO</v>
          </cell>
          <cell r="H381" t="str">
            <v>BEAT|2020|GRIS|NFN014B</v>
          </cell>
          <cell r="M381">
            <v>370</v>
          </cell>
        </row>
        <row r="382">
          <cell r="A382">
            <v>46</v>
          </cell>
          <cell r="F382" t="str">
            <v>GASOLINA</v>
          </cell>
          <cell r="H382" t="str">
            <v>KIA RIO|2021|ROJO|MFP751C</v>
          </cell>
          <cell r="M382">
            <v>550</v>
          </cell>
        </row>
        <row r="383">
          <cell r="A383">
            <v>46</v>
          </cell>
          <cell r="F383" t="str">
            <v>GASOLINA</v>
          </cell>
          <cell r="H383" t="str">
            <v>KIA RIO|2021|ROJO|MFP751C</v>
          </cell>
          <cell r="M383">
            <v>563.52</v>
          </cell>
        </row>
        <row r="384">
          <cell r="A384">
            <v>46</v>
          </cell>
          <cell r="F384" t="str">
            <v>GASOLINA</v>
          </cell>
          <cell r="H384" t="str">
            <v>KIA RIO|2021|ROJO|MFP751C</v>
          </cell>
          <cell r="M384">
            <v>150</v>
          </cell>
        </row>
        <row r="385">
          <cell r="A385">
            <v>46</v>
          </cell>
          <cell r="F385" t="str">
            <v>CHIPS</v>
          </cell>
          <cell r="H385" t="str">
            <v>VENTO|2019|BLANCO|MGC410C</v>
          </cell>
          <cell r="M385">
            <v>79</v>
          </cell>
        </row>
        <row r="386">
          <cell r="A386">
            <v>46</v>
          </cell>
          <cell r="F386" t="str">
            <v>GASOLINA</v>
          </cell>
          <cell r="H386" t="str">
            <v>KIA RIO|2020|GRIS|NCK475B</v>
          </cell>
          <cell r="M386">
            <v>200</v>
          </cell>
        </row>
        <row r="387">
          <cell r="A387">
            <v>46</v>
          </cell>
          <cell r="F387" t="str">
            <v>BALATAS DELANTERAS</v>
          </cell>
          <cell r="H387" t="str">
            <v>AVEO|2022|AZUL|MUF515A</v>
          </cell>
          <cell r="M387">
            <v>540</v>
          </cell>
        </row>
        <row r="388">
          <cell r="A388">
            <v>46</v>
          </cell>
          <cell r="F388" t="str">
            <v>CASETA</v>
          </cell>
          <cell r="H388" t="str">
            <v>VERSA|2021|BLANCO|MEE228C</v>
          </cell>
          <cell r="M388">
            <v>80</v>
          </cell>
        </row>
        <row r="389">
          <cell r="A389">
            <v>46</v>
          </cell>
          <cell r="F389" t="str">
            <v>REVISIÓN DE FUGAS</v>
          </cell>
          <cell r="H389" t="str">
            <v>KIA RIO|2020|GRIS|NCK475B</v>
          </cell>
          <cell r="M389">
            <v>500</v>
          </cell>
        </row>
        <row r="390">
          <cell r="A390">
            <v>46</v>
          </cell>
          <cell r="F390" t="str">
            <v>ACEITE AL COMPRESOR</v>
          </cell>
          <cell r="H390" t="str">
            <v>KIA RIO|2020|GRIS|NCK475B</v>
          </cell>
        </row>
        <row r="391">
          <cell r="A391">
            <v>46</v>
          </cell>
          <cell r="F391" t="str">
            <v>CARGA DE GAS</v>
          </cell>
          <cell r="H391" t="str">
            <v>KIA RIO|2020|GRIS|NCK475B</v>
          </cell>
        </row>
        <row r="392">
          <cell r="A392">
            <v>46</v>
          </cell>
          <cell r="F392" t="str">
            <v>FACTURAS DE GASOLINA</v>
          </cell>
          <cell r="H392" t="str">
            <v>ADMINISTRACION</v>
          </cell>
          <cell r="M392">
            <v>1500</v>
          </cell>
        </row>
        <row r="393">
          <cell r="A393">
            <v>46</v>
          </cell>
          <cell r="F393" t="str">
            <v>GASOLINA</v>
          </cell>
          <cell r="H393" t="str">
            <v>KIA RIO|2020|GRIS|NCK475B</v>
          </cell>
          <cell r="M393">
            <v>150</v>
          </cell>
        </row>
        <row r="394">
          <cell r="A394">
            <v>46</v>
          </cell>
          <cell r="F394" t="str">
            <v>ROTACION Y MONTAJE DE LLANTAS</v>
          </cell>
          <cell r="H394" t="str">
            <v>KIA RIO|2020|GRIS|NCK475B</v>
          </cell>
          <cell r="M394">
            <v>200</v>
          </cell>
        </row>
        <row r="395">
          <cell r="A395">
            <v>46</v>
          </cell>
          <cell r="F395" t="str">
            <v>FOCO FELLISCO (2)</v>
          </cell>
          <cell r="H395" t="str">
            <v>VENTO|2019|BLANCO|MGC410C</v>
          </cell>
          <cell r="M395">
            <v>10</v>
          </cell>
        </row>
        <row r="396">
          <cell r="A396">
            <v>46</v>
          </cell>
          <cell r="F396" t="str">
            <v>FOCO UVA (2)</v>
          </cell>
          <cell r="H396" t="str">
            <v>VENTO|2019|BLANCO|MGC410C</v>
          </cell>
          <cell r="M396">
            <v>14</v>
          </cell>
        </row>
        <row r="397">
          <cell r="A397">
            <v>46</v>
          </cell>
          <cell r="F397" t="str">
            <v>FOCOS (2)</v>
          </cell>
          <cell r="H397" t="str">
            <v>VENTO|2019|BLANCO|MGC410C</v>
          </cell>
          <cell r="M397">
            <v>16</v>
          </cell>
        </row>
        <row r="398">
          <cell r="A398">
            <v>46</v>
          </cell>
          <cell r="F398" t="str">
            <v>BALATAS TRASERAS</v>
          </cell>
          <cell r="H398" t="str">
            <v>VENTO|2019|BLANCO|MGC410C</v>
          </cell>
          <cell r="M398">
            <v>590</v>
          </cell>
        </row>
        <row r="399">
          <cell r="A399">
            <v>46</v>
          </cell>
          <cell r="F399" t="str">
            <v>BULB. ACEITE</v>
          </cell>
          <cell r="H399" t="str">
            <v>VENTO|2019|BLANCO|MGC410C</v>
          </cell>
          <cell r="M399">
            <v>130</v>
          </cell>
        </row>
        <row r="400">
          <cell r="A400">
            <v>46</v>
          </cell>
          <cell r="F400" t="str">
            <v>HOJALATERIA</v>
          </cell>
          <cell r="H400" t="str">
            <v>VENTO|2019|BLANCO|MGC410C</v>
          </cell>
          <cell r="M400">
            <v>1500</v>
          </cell>
        </row>
        <row r="401">
          <cell r="A401">
            <v>47</v>
          </cell>
          <cell r="F401" t="str">
            <v>BOBINA</v>
          </cell>
          <cell r="H401" t="str">
            <v>BEAT|2019|OCRE|MAY730C</v>
          </cell>
          <cell r="M401">
            <v>580</v>
          </cell>
        </row>
        <row r="402">
          <cell r="A402">
            <v>47</v>
          </cell>
          <cell r="F402" t="str">
            <v>CABLES DE BUJIAS</v>
          </cell>
          <cell r="H402" t="str">
            <v>BEAT|2019|OCRE|MAY730C</v>
          </cell>
          <cell r="M402">
            <v>490</v>
          </cell>
        </row>
        <row r="403">
          <cell r="A403">
            <v>47</v>
          </cell>
          <cell r="F403" t="str">
            <v>CACAHUATE ESTABILIZADOR</v>
          </cell>
          <cell r="H403" t="str">
            <v>AVEO|2018|ROJO|R51BKD</v>
          </cell>
          <cell r="M403">
            <v>140</v>
          </cell>
        </row>
        <row r="404">
          <cell r="A404">
            <v>47</v>
          </cell>
          <cell r="F404" t="str">
            <v>AUTOLAVADO</v>
          </cell>
          <cell r="H404" t="str">
            <v>BEAT|2020|GRIS|NFN014B</v>
          </cell>
          <cell r="M404">
            <v>100</v>
          </cell>
        </row>
        <row r="405">
          <cell r="A405">
            <v>47</v>
          </cell>
          <cell r="F405" t="str">
            <v>LLANTA</v>
          </cell>
          <cell r="M405">
            <v>1000</v>
          </cell>
        </row>
        <row r="406">
          <cell r="A406">
            <v>47</v>
          </cell>
          <cell r="F406" t="str">
            <v>GALON DE ACEITE</v>
          </cell>
          <cell r="H406" t="str">
            <v>VENTO|2020|GRIS|R66BER</v>
          </cell>
          <cell r="M406">
            <v>430</v>
          </cell>
        </row>
        <row r="407">
          <cell r="A407">
            <v>47</v>
          </cell>
          <cell r="F407" t="str">
            <v>FILTRO DE ACEITE</v>
          </cell>
          <cell r="H407" t="str">
            <v>VENTO|2020|GRIS|R66BER</v>
          </cell>
          <cell r="M407">
            <v>140</v>
          </cell>
        </row>
        <row r="408">
          <cell r="A408">
            <v>47</v>
          </cell>
          <cell r="F408" t="str">
            <v>SOPORTE TRASERO</v>
          </cell>
          <cell r="H408" t="str">
            <v>VENTO|2020|GRIS|R66BER</v>
          </cell>
          <cell r="M408">
            <v>820</v>
          </cell>
        </row>
        <row r="409">
          <cell r="A409">
            <v>47</v>
          </cell>
          <cell r="F409" t="str">
            <v xml:space="preserve">ALINEACION </v>
          </cell>
          <cell r="H409" t="str">
            <v>KIA RIO|2020|GRIS|NCK475B</v>
          </cell>
          <cell r="M409">
            <v>200</v>
          </cell>
        </row>
        <row r="410">
          <cell r="A410">
            <v>46</v>
          </cell>
          <cell r="F410" t="str">
            <v>AFINACION DE SWIFT</v>
          </cell>
          <cell r="H410" t="str">
            <v>AGUSTIN</v>
          </cell>
          <cell r="M410">
            <v>563</v>
          </cell>
        </row>
        <row r="411">
          <cell r="A411">
            <v>46</v>
          </cell>
          <cell r="F411" t="str">
            <v>MANTENIMIENTO Y TRASLADO</v>
          </cell>
          <cell r="H411" t="str">
            <v>FERNANDO</v>
          </cell>
          <cell r="M411">
            <v>1628</v>
          </cell>
        </row>
        <row r="412">
          <cell r="A412">
            <v>46</v>
          </cell>
          <cell r="F412" t="str">
            <v>ISMAEL</v>
          </cell>
          <cell r="H412" t="str">
            <v>ISMAEL</v>
          </cell>
          <cell r="M412">
            <v>9331</v>
          </cell>
        </row>
        <row r="413">
          <cell r="A413">
            <v>46</v>
          </cell>
          <cell r="F413" t="str">
            <v>NAYE</v>
          </cell>
          <cell r="H413" t="str">
            <v>NAYE</v>
          </cell>
          <cell r="M413">
            <v>1565</v>
          </cell>
        </row>
        <row r="414">
          <cell r="A414">
            <v>46</v>
          </cell>
          <cell r="F414" t="str">
            <v>GABRIEL</v>
          </cell>
          <cell r="H414" t="str">
            <v>GABRIEL</v>
          </cell>
          <cell r="M414">
            <v>840</v>
          </cell>
        </row>
        <row r="415">
          <cell r="A415">
            <v>46</v>
          </cell>
          <cell r="F415" t="str">
            <v>TAXI</v>
          </cell>
          <cell r="H415" t="str">
            <v>ROUS</v>
          </cell>
          <cell r="M415">
            <v>180</v>
          </cell>
        </row>
        <row r="416">
          <cell r="A416">
            <v>46</v>
          </cell>
          <cell r="F416" t="str">
            <v>COMPLEMENTO DE SWIFT</v>
          </cell>
          <cell r="H416" t="str">
            <v>PAOLA</v>
          </cell>
          <cell r="M416">
            <v>171</v>
          </cell>
        </row>
        <row r="417">
          <cell r="A417">
            <v>46</v>
          </cell>
          <cell r="F417" t="str">
            <v>PERMISOS</v>
          </cell>
          <cell r="H417" t="str">
            <v>PAOLA</v>
          </cell>
          <cell r="M417">
            <v>160</v>
          </cell>
        </row>
        <row r="418">
          <cell r="F418" t="str">
            <v>BUJIAS</v>
          </cell>
          <cell r="H418" t="str">
            <v>AVEO|2019|PLATA|NEL860A</v>
          </cell>
        </row>
        <row r="419">
          <cell r="F419" t="str">
            <v>GALON DE ACEITE</v>
          </cell>
          <cell r="H419" t="str">
            <v>AVEO|2019|PLATA|NEL860A</v>
          </cell>
        </row>
        <row r="420">
          <cell r="F420" t="str">
            <v>FILTRO DE ACEITE</v>
          </cell>
          <cell r="H420" t="str">
            <v>AVEO|2019|PLATA|NEL860A</v>
          </cell>
        </row>
        <row r="421">
          <cell r="F421" t="str">
            <v>BALATAS DELANTERAS</v>
          </cell>
          <cell r="H421" t="str">
            <v>AVEO|2019|PLATA|NEL860A</v>
          </cell>
        </row>
        <row r="422">
          <cell r="F422" t="str">
            <v>BALATAS TRASERAS</v>
          </cell>
          <cell r="H422" t="str">
            <v>AVEO|2019|PLATA|NEL860A</v>
          </cell>
        </row>
        <row r="423">
          <cell r="A423">
            <v>47</v>
          </cell>
          <cell r="F423" t="str">
            <v>GALON DE ACEITE</v>
          </cell>
          <cell r="H423" t="str">
            <v>KIA RIO|2021|ROJO|MFP751C</v>
          </cell>
          <cell r="M423" t="str">
            <v>?</v>
          </cell>
        </row>
        <row r="424">
          <cell r="A424">
            <v>47</v>
          </cell>
          <cell r="F424" t="str">
            <v>FILTRO DE ACEITE</v>
          </cell>
          <cell r="H424" t="str">
            <v>KIA RIO|2021|ROJO|MFP751C</v>
          </cell>
          <cell r="M424" t="str">
            <v>?</v>
          </cell>
        </row>
        <row r="425">
          <cell r="A425">
            <v>45</v>
          </cell>
          <cell r="F425" t="str">
            <v>BALATAS DELANTERAS</v>
          </cell>
          <cell r="H425" t="str">
            <v>AVEO|2019|PLATA|NEL860A</v>
          </cell>
          <cell r="M425">
            <v>550</v>
          </cell>
        </row>
        <row r="426">
          <cell r="F426" t="str">
            <v>BALATAS TRASERAS</v>
          </cell>
          <cell r="H426" t="str">
            <v>KIA RIO|2021|ROJO|MFP751C</v>
          </cell>
        </row>
        <row r="427">
          <cell r="F427" t="str">
            <v xml:space="preserve">CRISTAKAR </v>
          </cell>
          <cell r="H427" t="str">
            <v>KIA RIO|2021|ROJO|MFP751C</v>
          </cell>
        </row>
        <row r="428">
          <cell r="F428" t="str">
            <v>FACTURAS DE GASOLINA</v>
          </cell>
          <cell r="H428" t="str">
            <v>ADMINISTRACION</v>
          </cell>
        </row>
        <row r="429">
          <cell r="F429" t="str">
            <v>GESTORIA</v>
          </cell>
          <cell r="H429" t="str">
            <v>AVEO|2025|PERSUASION|MXM503C</v>
          </cell>
        </row>
        <row r="430">
          <cell r="F430" t="str">
            <v>GESTORIA</v>
          </cell>
          <cell r="H430" t="str">
            <v>AVEO|2025|PERSUASION|MXM510C</v>
          </cell>
        </row>
        <row r="431">
          <cell r="F431" t="str">
            <v>GESTORIA</v>
          </cell>
          <cell r="H431" t="str">
            <v>AVEO|2025|PERSUASION|MXM502C</v>
          </cell>
        </row>
        <row r="432">
          <cell r="F432" t="str">
            <v>GESTORIA</v>
          </cell>
          <cell r="H432" t="str">
            <v>AVEO|2025|PERSU|NUEVOS</v>
          </cell>
        </row>
        <row r="433">
          <cell r="F433" t="str">
            <v>GESTORIA</v>
          </cell>
          <cell r="H433" t="str">
            <v>AVEO|2025|PERSU|NUEVOS</v>
          </cell>
        </row>
        <row r="434">
          <cell r="A434">
            <v>46</v>
          </cell>
          <cell r="F434" t="str">
            <v>ALTA Y BAJA DE PLACAS</v>
          </cell>
          <cell r="H434" t="str">
            <v>FRONTIER</v>
          </cell>
          <cell r="M434">
            <v>1773</v>
          </cell>
        </row>
        <row r="435">
          <cell r="F435" t="str">
            <v>GESTORIA</v>
          </cell>
          <cell r="H435" t="str">
            <v>FRONTIER</v>
          </cell>
        </row>
        <row r="436">
          <cell r="F436" t="str">
            <v>ALTA Y BAJA</v>
          </cell>
          <cell r="H436" t="str">
            <v>JAC CAMIONETA</v>
          </cell>
        </row>
        <row r="437">
          <cell r="F437" t="str">
            <v>ALTA Y BAJA</v>
          </cell>
          <cell r="H437" t="str">
            <v>JAC CAMIONETA</v>
          </cell>
        </row>
        <row r="438">
          <cell r="F438" t="str">
            <v>GESTORIA</v>
          </cell>
          <cell r="H438" t="str">
            <v>JAC CAMIONETA</v>
          </cell>
        </row>
        <row r="439">
          <cell r="F439" t="str">
            <v>GESTORIA</v>
          </cell>
          <cell r="H439" t="str">
            <v>JAC CAMIONETA</v>
          </cell>
        </row>
        <row r="440">
          <cell r="F440" t="str">
            <v>AXA</v>
          </cell>
          <cell r="H440" t="str">
            <v>AVEO|2025|PERSUASION|MXM503C</v>
          </cell>
        </row>
        <row r="441">
          <cell r="F441" t="str">
            <v>AXA</v>
          </cell>
          <cell r="H441" t="str">
            <v>AVEO|2025|PERSUASION|MXM510C</v>
          </cell>
        </row>
        <row r="442">
          <cell r="F442" t="str">
            <v>AXA</v>
          </cell>
          <cell r="H442" t="str">
            <v>AVEO|2025|PERSUASION|MXM502C</v>
          </cell>
        </row>
        <row r="443">
          <cell r="F443" t="str">
            <v>AXA</v>
          </cell>
          <cell r="H443" t="str">
            <v>AVEO|2025|PERSUASION|NUEVOS</v>
          </cell>
        </row>
        <row r="444">
          <cell r="F444" t="str">
            <v>AXA</v>
          </cell>
          <cell r="H444" t="str">
            <v>AVEO|2025|PERSUASION|NUEVOS</v>
          </cell>
        </row>
        <row r="445">
          <cell r="F445" t="str">
            <v>AXA</v>
          </cell>
          <cell r="H445" t="str">
            <v>AVEO|2025|PERSUASION|NUEVOS</v>
          </cell>
        </row>
        <row r="446">
          <cell r="A446">
            <v>46</v>
          </cell>
          <cell r="F446" t="str">
            <v>PLACAS</v>
          </cell>
          <cell r="H446" t="str">
            <v>AVEO|2025|PERSUASION|NUEVOS</v>
          </cell>
          <cell r="M446">
            <v>1997</v>
          </cell>
        </row>
        <row r="447">
          <cell r="A447">
            <v>46</v>
          </cell>
          <cell r="F447" t="str">
            <v>PLACAS</v>
          </cell>
          <cell r="H447" t="str">
            <v>AVEO|2025|PERSUASION|NUEVOS</v>
          </cell>
          <cell r="M447">
            <v>1997</v>
          </cell>
        </row>
        <row r="448">
          <cell r="F448" t="str">
            <v>GESTORIA (10)</v>
          </cell>
          <cell r="H448" t="str">
            <v>NUEVA ADQUISICIÓN</v>
          </cell>
        </row>
        <row r="449">
          <cell r="F449" t="str">
            <v>SEGUROS (10)</v>
          </cell>
          <cell r="H449" t="str">
            <v>NUEVA ADQUISICIÓN</v>
          </cell>
        </row>
        <row r="450">
          <cell r="F450" t="str">
            <v>PERMISOS (10)</v>
          </cell>
          <cell r="H450" t="str">
            <v>NUEVA ADQUISICIÓN</v>
          </cell>
        </row>
        <row r="451">
          <cell r="F451" t="str">
            <v>GASOLINA (10)</v>
          </cell>
          <cell r="H451" t="str">
            <v>NUEVA ADQUISICIÓN</v>
          </cell>
        </row>
        <row r="452">
          <cell r="F452" t="str">
            <v>GPS NUEVO (10)</v>
          </cell>
          <cell r="H452" t="str">
            <v>NUEVA ADQUISICIÓN</v>
          </cell>
        </row>
        <row r="453">
          <cell r="A453">
            <v>47</v>
          </cell>
          <cell r="F453" t="str">
            <v>VERIFICACIÓN</v>
          </cell>
          <cell r="H453" t="str">
            <v>KIA RIO|2017|ROJO|MYE912A</v>
          </cell>
          <cell r="M453">
            <v>515</v>
          </cell>
        </row>
        <row r="454">
          <cell r="A454">
            <v>47</v>
          </cell>
          <cell r="F454" t="str">
            <v>VERIFICACIÓN</v>
          </cell>
          <cell r="H454" t="str">
            <v>KIA RIO|2017|ROJO|MYE912A</v>
          </cell>
          <cell r="M454">
            <v>225</v>
          </cell>
        </row>
        <row r="455">
          <cell r="A455">
            <v>47</v>
          </cell>
          <cell r="F455" t="str">
            <v>VERIFICACIÓN Y BRINCO</v>
          </cell>
          <cell r="H455" t="str">
            <v>AVEO|2018|ROJO|R51BKD</v>
          </cell>
          <cell r="M455">
            <v>1040</v>
          </cell>
        </row>
        <row r="456">
          <cell r="F456" t="str">
            <v>VERIFICACIÓN</v>
          </cell>
          <cell r="H456" t="str">
            <v>AVEO|2021|GRIS|D51BHV</v>
          </cell>
        </row>
        <row r="457">
          <cell r="A457">
            <v>46</v>
          </cell>
          <cell r="F457" t="str">
            <v xml:space="preserve">VERIFICACIÓN </v>
          </cell>
          <cell r="H457" t="str">
            <v>VERSA|2020|ROJO|NLP175B</v>
          </cell>
          <cell r="M457">
            <v>740</v>
          </cell>
        </row>
        <row r="458">
          <cell r="F458" t="str">
            <v>VERIFICACIÓN</v>
          </cell>
          <cell r="H458" t="str">
            <v>VENTO|2018|AMARILLO|PED1652</v>
          </cell>
        </row>
        <row r="459">
          <cell r="A459">
            <v>46</v>
          </cell>
          <cell r="F459" t="str">
            <v>FILTRO DE ACEITE</v>
          </cell>
          <cell r="H459" t="str">
            <v>VENTO|2018|AMARILLO|PED1652</v>
          </cell>
          <cell r="M459">
            <v>170</v>
          </cell>
        </row>
        <row r="460">
          <cell r="A460">
            <v>46</v>
          </cell>
          <cell r="F460" t="str">
            <v>GALON DE ACEITE</v>
          </cell>
          <cell r="H460" t="str">
            <v>VENTO|2018|AMARILLO|PED1652</v>
          </cell>
          <cell r="M460">
            <v>640</v>
          </cell>
        </row>
        <row r="461">
          <cell r="F461" t="str">
            <v>BUJIAS</v>
          </cell>
          <cell r="H461" t="str">
            <v>VENTO|2018|AMARILLO|PED1652</v>
          </cell>
        </row>
        <row r="462">
          <cell r="F462" t="str">
            <v>FILTRO DE AIRE</v>
          </cell>
          <cell r="H462" t="str">
            <v>VENTO|2018|AMARILLO|PED1652</v>
          </cell>
        </row>
        <row r="463">
          <cell r="F463" t="str">
            <v>VERIFICACIÓN</v>
          </cell>
          <cell r="H463" t="str">
            <v>AVEO|2025|PERSUASION|MXM503C</v>
          </cell>
        </row>
        <row r="464">
          <cell r="A464">
            <v>47</v>
          </cell>
          <cell r="F464" t="str">
            <v>VERIFICACIÓN</v>
          </cell>
          <cell r="H464" t="str">
            <v>AVEO|2025|PERSUASION|MXM510C</v>
          </cell>
          <cell r="M464">
            <v>1131</v>
          </cell>
        </row>
        <row r="465">
          <cell r="A465">
            <v>47</v>
          </cell>
          <cell r="F465" t="str">
            <v>VERIFICACION</v>
          </cell>
          <cell r="H465" t="str">
            <v>AVEO|2025|PERSUASION|MXM502C</v>
          </cell>
          <cell r="M465">
            <v>1131</v>
          </cell>
        </row>
        <row r="466">
          <cell r="F466" t="str">
            <v>GASOLINA PARA GPS</v>
          </cell>
          <cell r="H466" t="str">
            <v>AVEO|2025|PERSUASION|</v>
          </cell>
        </row>
        <row r="467">
          <cell r="F467" t="str">
            <v>GASOLINA PARA GPS</v>
          </cell>
          <cell r="H467" t="str">
            <v>AVEO|2025|PERSUASION|</v>
          </cell>
        </row>
        <row r="468">
          <cell r="F468" t="str">
            <v>PROPINA PARA GASERA</v>
          </cell>
          <cell r="H468" t="str">
            <v>OPERACIÓN</v>
          </cell>
        </row>
        <row r="469">
          <cell r="F469" t="str">
            <v>CLUTCH</v>
          </cell>
          <cell r="H469" t="str">
            <v>KIA RIO|2021|ROJO|MFP751C</v>
          </cell>
        </row>
        <row r="470">
          <cell r="F470" t="str">
            <v>CLUTCH</v>
          </cell>
          <cell r="H470" t="str">
            <v>AVEO|2019|PLATA|NEL860A</v>
          </cell>
        </row>
        <row r="471">
          <cell r="F471" t="str">
            <v>CLUTCH</v>
          </cell>
          <cell r="H471" t="str">
            <v>MARCH|2021|ROJO|NZU5163</v>
          </cell>
        </row>
        <row r="472">
          <cell r="F472" t="str">
            <v>LLAVE DE CRUZ</v>
          </cell>
          <cell r="H472" t="str">
            <v>MARCH|2020|TURQ|N15BKD</v>
          </cell>
        </row>
        <row r="473">
          <cell r="F473" t="str">
            <v>LLAVE DE CRUZ</v>
          </cell>
          <cell r="H473" t="str">
            <v>VENTO|2020|GRIS|MGC414C</v>
          </cell>
        </row>
        <row r="474">
          <cell r="F474" t="str">
            <v>GATO HIDRAULICO</v>
          </cell>
          <cell r="H474" t="str">
            <v>VENTO|2020|GRIS|MGC414C</v>
          </cell>
        </row>
        <row r="475">
          <cell r="F475" t="str">
            <v>GATO HIDRAULICO</v>
          </cell>
          <cell r="H475" t="str">
            <v>MARCH|2021|BLANCO|MGC417C</v>
          </cell>
        </row>
        <row r="476">
          <cell r="F476" t="str">
            <v>LLAVE DE CRUZ</v>
          </cell>
          <cell r="H476" t="str">
            <v>MARCH|2021|BLANCO|MGC417C</v>
          </cell>
        </row>
        <row r="477">
          <cell r="F477" t="str">
            <v>LLAVE DE CRUZ</v>
          </cell>
          <cell r="H477" t="str">
            <v>AVEO|2018|GRIS|X59AWG</v>
          </cell>
        </row>
        <row r="478">
          <cell r="F478" t="str">
            <v>FILTRO DE AIRE</v>
          </cell>
          <cell r="H478" t="str">
            <v>SWIFT|2017|ROJO|X89ALV</v>
          </cell>
        </row>
        <row r="479">
          <cell r="F479" t="str">
            <v>FILTRO DE GASOLINA</v>
          </cell>
          <cell r="H479" t="str">
            <v>SWIFT|2017|ROJO|X89ALV</v>
          </cell>
        </row>
        <row r="480">
          <cell r="F480" t="str">
            <v>DEPOSITO DE ANTICONGELANTE</v>
          </cell>
          <cell r="H480" t="str">
            <v>SWIFT|2017|ROJO|X89ALV</v>
          </cell>
        </row>
        <row r="481">
          <cell r="F481" t="str">
            <v>BUJIAS</v>
          </cell>
          <cell r="H481" t="str">
            <v>AVEO|2018|ROJO|R51BKD</v>
          </cell>
        </row>
        <row r="482">
          <cell r="F482" t="str">
            <v>GALON DE ACEITE</v>
          </cell>
          <cell r="H482" t="str">
            <v>AVEO|2018|ROJO|R51BKD</v>
          </cell>
        </row>
        <row r="483">
          <cell r="F483" t="str">
            <v>FILTRO DE ACEITE</v>
          </cell>
          <cell r="H483" t="str">
            <v>AVEO|2018|ROJO|R51BKD</v>
          </cell>
        </row>
        <row r="484">
          <cell r="F484" t="str">
            <v>FILTRO DE AIRE</v>
          </cell>
          <cell r="H484" t="str">
            <v>AVEO|2018|ROJO|R51BKD</v>
          </cell>
        </row>
        <row r="485">
          <cell r="F485" t="str">
            <v>BALATAS DELANTERAS</v>
          </cell>
          <cell r="H485" t="str">
            <v>AVEO|2018|ROJO|R51BKD</v>
          </cell>
        </row>
        <row r="486">
          <cell r="F486" t="str">
            <v>BALATAS TRASERAS</v>
          </cell>
          <cell r="H486" t="str">
            <v>AVEO|2018|ROJO|R51BKD</v>
          </cell>
        </row>
        <row r="487">
          <cell r="A487">
            <v>46</v>
          </cell>
          <cell r="F487" t="str">
            <v>FILTRO DE AIRE</v>
          </cell>
          <cell r="H487" t="str">
            <v>VERSA|2020|ROJO|NLP175B</v>
          </cell>
          <cell r="M487">
            <v>130</v>
          </cell>
        </row>
        <row r="488">
          <cell r="A488">
            <v>46</v>
          </cell>
          <cell r="F488" t="str">
            <v>FILTRO DE ACEITE</v>
          </cell>
          <cell r="H488" t="str">
            <v>VERSA|2020|ROJO|NLP175B</v>
          </cell>
          <cell r="M488">
            <v>105</v>
          </cell>
        </row>
        <row r="489">
          <cell r="F489" t="str">
            <v>BUJIAS</v>
          </cell>
          <cell r="H489" t="str">
            <v>VERSA|2020|ROJO|NLP172B</v>
          </cell>
        </row>
        <row r="490">
          <cell r="F490" t="str">
            <v>GALON DE ACEITE</v>
          </cell>
          <cell r="H490" t="str">
            <v>VERSA|2020|ROJO|NLP172B</v>
          </cell>
        </row>
        <row r="491">
          <cell r="F491" t="str">
            <v>BALATAS DELANTERAS</v>
          </cell>
          <cell r="H491" t="str">
            <v>VERSA|2020|ROJO|NLP172B</v>
          </cell>
        </row>
        <row r="492">
          <cell r="F492" t="str">
            <v>BALATAS TRASERAS</v>
          </cell>
          <cell r="H492" t="str">
            <v>VERSA|2020|ROJO|NLP172B</v>
          </cell>
        </row>
        <row r="493">
          <cell r="F493" t="str">
            <v>TAPONES</v>
          </cell>
          <cell r="H493" t="str">
            <v>MARCH|2021|BLANCO|MGC417C</v>
          </cell>
        </row>
        <row r="494">
          <cell r="F494" t="str">
            <v>TAPONES</v>
          </cell>
          <cell r="H494" t="str">
            <v>VENTO|2019|BLANCO|MGC410C</v>
          </cell>
        </row>
        <row r="495">
          <cell r="F495" t="str">
            <v>MULTAS</v>
          </cell>
          <cell r="H495" t="str">
            <v>AVEO|2021|GRIS|MLC126A</v>
          </cell>
        </row>
        <row r="496">
          <cell r="F496" t="str">
            <v>MATAPERROS</v>
          </cell>
          <cell r="H496" t="str">
            <v>KIA RIO|2020|GRIS|NCK475B</v>
          </cell>
        </row>
        <row r="497">
          <cell r="F497" t="str">
            <v>LODERA IZQUIERDA</v>
          </cell>
          <cell r="H497" t="str">
            <v>KIA RIO|2020|GRIS|NCK475B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2055-B8DC-4C01-A4A7-12B015FB63D1}">
  <sheetPr filterMode="1"/>
  <dimension ref="A1:Y2890"/>
  <sheetViews>
    <sheetView showGridLines="0" tabSelected="1" topLeftCell="G1" workbookViewId="0">
      <pane ySplit="1" topLeftCell="A2796" activePane="bottomLeft" state="frozen"/>
      <selection pane="bottomLeft" activeCell="L2797" sqref="L2797"/>
    </sheetView>
  </sheetViews>
  <sheetFormatPr baseColWidth="10" defaultRowHeight="13.8" x14ac:dyDescent="0.3"/>
  <cols>
    <col min="1" max="1" width="4.33203125" bestFit="1" customWidth="1"/>
    <col min="2" max="2" width="10.33203125" bestFit="1" customWidth="1"/>
    <col min="3" max="4" width="10.33203125" style="1" customWidth="1"/>
    <col min="5" max="5" width="31" customWidth="1"/>
    <col min="6" max="6" width="7.6640625" bestFit="1" customWidth="1"/>
    <col min="7" max="7" width="17.88671875" bestFit="1" customWidth="1"/>
    <col min="8" max="8" width="55.88671875" customWidth="1"/>
    <col min="9" max="9" width="31" customWidth="1"/>
    <col min="10" max="10" width="21.88671875" bestFit="1" customWidth="1"/>
    <col min="11" max="11" width="8" bestFit="1" customWidth="1"/>
    <col min="12" max="12" width="8" customWidth="1"/>
    <col min="14" max="25" width="11.44140625" style="3"/>
  </cols>
  <sheetData>
    <row r="1" spans="1:17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idden="1" x14ac:dyDescent="0.3">
      <c r="A2">
        <v>2</v>
      </c>
      <c r="B2" t="str">
        <f>VLOOKUP($A2,[1]LISTA!$B:$C,2,0)</f>
        <v>ENERO</v>
      </c>
      <c r="C2" s="1">
        <v>2025</v>
      </c>
      <c r="D2" s="1" t="str">
        <f>IF($A2&lt;=[1]RESULTADOS!$D$6,"YTD","YTG")</f>
        <v>YTD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tr">
        <f>IFERROR(VLOOKUP(I2,[1]AUTOS!$C:$G,2,0),"")</f>
        <v/>
      </c>
      <c r="K2" t="str">
        <f>IFERROR(VLOOKUP(I2,[1]AUTOS!$C:$G,3,0),"")</f>
        <v/>
      </c>
      <c r="L2" t="str">
        <f>IFERROR(VLOOKUP(I2,[1]AUTOS!$C:$G,4,0),"")</f>
        <v/>
      </c>
      <c r="M2" t="s">
        <v>22</v>
      </c>
      <c r="P2" s="3">
        <v>-8589</v>
      </c>
    </row>
    <row r="3" spans="1:17" hidden="1" x14ac:dyDescent="0.3">
      <c r="A3">
        <v>2</v>
      </c>
      <c r="B3" t="str">
        <f>VLOOKUP($A3,[1]LISTA!$B:$C,2,0)</f>
        <v>ENERO</v>
      </c>
      <c r="C3" s="1">
        <v>2025</v>
      </c>
      <c r="D3" s="1" t="str">
        <f>IF($A3&lt;=[1]RESULTADOS!$D$6,"YTD","YTG")</f>
        <v>YTD</v>
      </c>
      <c r="E3" t="s">
        <v>17</v>
      </c>
      <c r="F3" t="s">
        <v>18</v>
      </c>
      <c r="G3" t="s">
        <v>23</v>
      </c>
      <c r="H3" t="s">
        <v>24</v>
      </c>
      <c r="I3" t="s">
        <v>21</v>
      </c>
      <c r="J3" t="str">
        <f>IFERROR(VLOOKUP(I3,[1]AUTOS!$C:$G,2,0),"")</f>
        <v/>
      </c>
      <c r="K3" t="str">
        <f>IFERROR(VLOOKUP(I3,[1]AUTOS!$C:$G,3,0),"")</f>
        <v/>
      </c>
      <c r="L3" t="str">
        <f>IFERROR(VLOOKUP(I3,[1]AUTOS!$C:$G,4,0),"")</f>
        <v/>
      </c>
      <c r="M3" t="s">
        <v>22</v>
      </c>
      <c r="P3" s="3">
        <v>-40</v>
      </c>
    </row>
    <row r="4" spans="1:17" hidden="1" x14ac:dyDescent="0.3">
      <c r="A4">
        <v>2</v>
      </c>
      <c r="B4" t="str">
        <f>VLOOKUP($A4,[1]LISTA!$B:$C,2,0)</f>
        <v>ENERO</v>
      </c>
      <c r="C4" s="1">
        <v>2025</v>
      </c>
      <c r="D4" s="1" t="str">
        <f>IF($A4&lt;=[1]RESULTADOS!$D$6,"YTD","YTG")</f>
        <v>YTD</v>
      </c>
      <c r="E4" t="s">
        <v>17</v>
      </c>
      <c r="F4" t="s">
        <v>18</v>
      </c>
      <c r="G4" t="s">
        <v>25</v>
      </c>
      <c r="H4" t="s">
        <v>26</v>
      </c>
      <c r="I4" t="s">
        <v>21</v>
      </c>
      <c r="J4" t="str">
        <f>IFERROR(VLOOKUP(I4,[1]AUTOS!$C:$G,2,0),"")</f>
        <v/>
      </c>
      <c r="K4" t="str">
        <f>IFERROR(VLOOKUP(I4,[1]AUTOS!$C:$G,3,0),"")</f>
        <v/>
      </c>
      <c r="L4" t="str">
        <f>IFERROR(VLOOKUP(I4,[1]AUTOS!$C:$G,4,0),"")</f>
        <v/>
      </c>
      <c r="M4" t="s">
        <v>22</v>
      </c>
      <c r="P4" s="3">
        <v>-100</v>
      </c>
    </row>
    <row r="5" spans="1:17" hidden="1" x14ac:dyDescent="0.3">
      <c r="A5">
        <v>3</v>
      </c>
      <c r="B5" t="str">
        <f>VLOOKUP($A5,[1]LISTA!$B:$C,2,0)</f>
        <v>ENERO</v>
      </c>
      <c r="C5" s="1">
        <v>2025</v>
      </c>
      <c r="D5" s="1" t="str">
        <f>IF($A5&lt;=[1]RESULTADOS!$D$6,"YTD","YTG")</f>
        <v>YTD</v>
      </c>
      <c r="E5" t="s">
        <v>17</v>
      </c>
      <c r="F5" t="s">
        <v>18</v>
      </c>
      <c r="G5" t="s">
        <v>27</v>
      </c>
      <c r="H5" t="s">
        <v>28</v>
      </c>
      <c r="I5" t="s">
        <v>21</v>
      </c>
      <c r="J5" t="str">
        <f>IFERROR(VLOOKUP(I5,[1]AUTOS!$C:$G,2,0),"")</f>
        <v/>
      </c>
      <c r="K5" t="str">
        <f>IFERROR(VLOOKUP(I5,[1]AUTOS!$C:$G,3,0),"")</f>
        <v/>
      </c>
      <c r="L5" t="str">
        <f>IFERROR(VLOOKUP(I5,[1]AUTOS!$C:$G,4,0),"")</f>
        <v/>
      </c>
      <c r="M5" t="s">
        <v>22</v>
      </c>
      <c r="P5" s="3">
        <v>-490</v>
      </c>
    </row>
    <row r="6" spans="1:17" hidden="1" x14ac:dyDescent="0.3">
      <c r="A6">
        <v>2</v>
      </c>
      <c r="B6" t="str">
        <f>VLOOKUP($A6,[1]LISTA!$B:$C,2,0)</f>
        <v>ENERO</v>
      </c>
      <c r="C6" s="1">
        <v>2025</v>
      </c>
      <c r="D6" s="1" t="str">
        <f>IF($A6&lt;=[1]RESULTADOS!$D$6,"YTD","YTG")</f>
        <v>YTD</v>
      </c>
      <c r="E6" t="s">
        <v>17</v>
      </c>
      <c r="F6" t="s">
        <v>18</v>
      </c>
      <c r="G6" t="s">
        <v>29</v>
      </c>
      <c r="H6" t="s">
        <v>30</v>
      </c>
      <c r="I6" t="s">
        <v>21</v>
      </c>
      <c r="J6" t="str">
        <f>IFERROR(VLOOKUP(I6,[1]AUTOS!$C:$G,2,0),"")</f>
        <v/>
      </c>
      <c r="K6" t="str">
        <f>IFERROR(VLOOKUP(I6,[1]AUTOS!$C:$G,3,0),"")</f>
        <v/>
      </c>
      <c r="L6" t="str">
        <f>IFERROR(VLOOKUP(I6,[1]AUTOS!$C:$G,4,0),"")</f>
        <v/>
      </c>
      <c r="M6" t="s">
        <v>22</v>
      </c>
      <c r="P6" s="3">
        <v>-500</v>
      </c>
    </row>
    <row r="7" spans="1:17" hidden="1" x14ac:dyDescent="0.3">
      <c r="A7">
        <v>2</v>
      </c>
      <c r="B7" t="str">
        <f>VLOOKUP($A7,[1]LISTA!$B:$C,2,0)</f>
        <v>ENERO</v>
      </c>
      <c r="C7" s="1">
        <v>2025</v>
      </c>
      <c r="D7" s="1" t="str">
        <f>IF($A7&lt;=[1]RESULTADOS!$D$6,"YTD","YTG")</f>
        <v>YTD</v>
      </c>
      <c r="E7" t="s">
        <v>31</v>
      </c>
      <c r="F7" t="s">
        <v>18</v>
      </c>
      <c r="G7" t="s">
        <v>32</v>
      </c>
      <c r="H7" t="s">
        <v>33</v>
      </c>
      <c r="I7" t="s">
        <v>34</v>
      </c>
      <c r="J7" t="str">
        <f>IFERROR(VLOOKUP(I7,[1]AUTOS!$C:$G,2,0),"")</f>
        <v>AVEO</v>
      </c>
      <c r="K7">
        <f>IFERROR(VLOOKUP(I7,[1]AUTOS!$C:$G,3,0),"")</f>
        <v>2018</v>
      </c>
      <c r="L7" t="str">
        <f>IFERROR(VLOOKUP(I7,[1]AUTOS!$C:$G,4,0),"")</f>
        <v>ROJO</v>
      </c>
      <c r="M7" t="s">
        <v>35</v>
      </c>
      <c r="P7" s="3">
        <v>-3100</v>
      </c>
    </row>
    <row r="8" spans="1:17" hidden="1" x14ac:dyDescent="0.3">
      <c r="A8">
        <v>2</v>
      </c>
      <c r="B8" t="str">
        <f>VLOOKUP($A8,[1]LISTA!$B:$C,2,0)</f>
        <v>ENERO</v>
      </c>
      <c r="C8" s="1">
        <v>2025</v>
      </c>
      <c r="D8" s="1" t="str">
        <f>IF($A8&lt;=[1]RESULTADOS!$D$6,"YTD","YTG")</f>
        <v>YTD</v>
      </c>
      <c r="E8" t="s">
        <v>31</v>
      </c>
      <c r="F8" t="s">
        <v>18</v>
      </c>
      <c r="G8" t="s">
        <v>32</v>
      </c>
      <c r="H8" t="s">
        <v>36</v>
      </c>
      <c r="I8" t="s">
        <v>37</v>
      </c>
      <c r="J8" t="str">
        <f>IFERROR(VLOOKUP(I8,[1]AUTOS!$C:$G,2,0),"")</f>
        <v>BEAT</v>
      </c>
      <c r="K8">
        <f>IFERROR(VLOOKUP(I8,[1]AUTOS!$C:$G,3,0),"")</f>
        <v>2020</v>
      </c>
      <c r="L8" t="str">
        <f>IFERROR(VLOOKUP(I8,[1]AUTOS!$C:$G,4,0),"")</f>
        <v>GRIS</v>
      </c>
      <c r="M8" t="s">
        <v>35</v>
      </c>
      <c r="P8" s="3">
        <v>-2000</v>
      </c>
    </row>
    <row r="9" spans="1:17" hidden="1" x14ac:dyDescent="0.3">
      <c r="A9">
        <v>3</v>
      </c>
      <c r="B9" t="str">
        <f>VLOOKUP($A9,[1]LISTA!$B:$C,2,0)</f>
        <v>ENERO</v>
      </c>
      <c r="C9" s="1">
        <v>2025</v>
      </c>
      <c r="D9" s="1" t="str">
        <f>IF($A9&lt;=[1]RESULTADOS!$D$6,"YTD","YTG")</f>
        <v>YTD</v>
      </c>
      <c r="E9" t="s">
        <v>31</v>
      </c>
      <c r="F9" t="s">
        <v>18</v>
      </c>
      <c r="G9" t="s">
        <v>38</v>
      </c>
      <c r="H9" t="s">
        <v>39</v>
      </c>
      <c r="I9" t="s">
        <v>40</v>
      </c>
      <c r="J9" t="str">
        <f>IFERROR(VLOOKUP(I9,[1]AUTOS!$C:$G,2,0),"")</f>
        <v>VERSA</v>
      </c>
      <c r="K9">
        <f>IFERROR(VLOOKUP(I9,[1]AUTOS!$C:$G,3,0),"")</f>
        <v>2017</v>
      </c>
      <c r="L9" t="str">
        <f>IFERROR(VLOOKUP(I9,[1]AUTOS!$C:$G,4,0),"")</f>
        <v>ACERO</v>
      </c>
      <c r="M9" t="s">
        <v>35</v>
      </c>
      <c r="P9" s="3">
        <v>-150</v>
      </c>
    </row>
    <row r="10" spans="1:17" hidden="1" x14ac:dyDescent="0.3">
      <c r="A10">
        <v>3</v>
      </c>
      <c r="B10" t="str">
        <f>VLOOKUP($A10,[1]LISTA!$B:$C,2,0)</f>
        <v>ENERO</v>
      </c>
      <c r="C10" s="1">
        <v>2025</v>
      </c>
      <c r="D10" s="1" t="str">
        <f>IF($A10&lt;=[1]RESULTADOS!$D$6,"YTD","YTG")</f>
        <v>YTD</v>
      </c>
      <c r="E10" t="s">
        <v>31</v>
      </c>
      <c r="F10" t="s">
        <v>18</v>
      </c>
      <c r="G10" t="s">
        <v>41</v>
      </c>
      <c r="H10" t="s">
        <v>41</v>
      </c>
      <c r="I10" t="s">
        <v>42</v>
      </c>
      <c r="J10" t="str">
        <f>IFERROR(VLOOKUP(I10,[1]AUTOS!$C:$G,2,0),"")</f>
        <v>VENTO</v>
      </c>
      <c r="K10">
        <f>IFERROR(VLOOKUP(I10,[1]AUTOS!$C:$G,3,0),"")</f>
        <v>2018</v>
      </c>
      <c r="L10" t="str">
        <f>IFERROR(VLOOKUP(I10,[1]AUTOS!$C:$G,4,0),"")</f>
        <v>AMARILLO</v>
      </c>
      <c r="M10" t="s">
        <v>43</v>
      </c>
      <c r="P10" s="3">
        <v>-1650</v>
      </c>
    </row>
    <row r="11" spans="1:17" hidden="1" x14ac:dyDescent="0.3">
      <c r="A11">
        <v>3</v>
      </c>
      <c r="B11" t="str">
        <f>VLOOKUP($A11,[1]LISTA!$B:$C,2,0)</f>
        <v>ENERO</v>
      </c>
      <c r="C11" s="1">
        <v>2025</v>
      </c>
      <c r="D11" s="1" t="str">
        <f>IF($A11&lt;=[1]RESULTADOS!$D$6,"YTD","YTG")</f>
        <v>YTD</v>
      </c>
      <c r="E11" t="s">
        <v>17</v>
      </c>
      <c r="F11" t="s">
        <v>18</v>
      </c>
      <c r="G11" t="s">
        <v>23</v>
      </c>
      <c r="H11" t="s">
        <v>44</v>
      </c>
      <c r="I11" t="s">
        <v>21</v>
      </c>
      <c r="J11" t="str">
        <f>IFERROR(VLOOKUP(I11,[1]AUTOS!$C:$G,2,0),"")</f>
        <v/>
      </c>
      <c r="K11" t="str">
        <f>IFERROR(VLOOKUP(I11,[1]AUTOS!$C:$G,3,0),"")</f>
        <v/>
      </c>
      <c r="L11" t="str">
        <f>IFERROR(VLOOKUP(I11,[1]AUTOS!$C:$G,4,0),"")</f>
        <v/>
      </c>
      <c r="M11" t="s">
        <v>22</v>
      </c>
      <c r="P11" s="3">
        <v>-32</v>
      </c>
    </row>
    <row r="12" spans="1:17" hidden="1" x14ac:dyDescent="0.3">
      <c r="A12">
        <v>3</v>
      </c>
      <c r="B12" t="str">
        <f>VLOOKUP($A12,[1]LISTA!$B:$C,2,0)</f>
        <v>ENERO</v>
      </c>
      <c r="C12" s="1">
        <v>2025</v>
      </c>
      <c r="D12" s="1" t="str">
        <f>IF($A12&lt;=[1]RESULTADOS!$D$6,"YTD","YTG")</f>
        <v>YTD</v>
      </c>
      <c r="E12" t="s">
        <v>31</v>
      </c>
      <c r="F12" t="s">
        <v>18</v>
      </c>
      <c r="G12" t="s">
        <v>38</v>
      </c>
      <c r="H12" t="s">
        <v>45</v>
      </c>
      <c r="I12" t="s">
        <v>46</v>
      </c>
      <c r="J12" t="str">
        <f>IFERROR(VLOOKUP(I12,[1]AUTOS!$C:$G,2,0),"")</f>
        <v>MARCH</v>
      </c>
      <c r="K12">
        <f>IFERROR(VLOOKUP(I12,[1]AUTOS!$C:$G,3,0),"")</f>
        <v>2020</v>
      </c>
      <c r="L12" t="str">
        <f>IFERROR(VLOOKUP(I12,[1]AUTOS!$C:$G,4,0),"")</f>
        <v>TURQ</v>
      </c>
      <c r="M12" t="s">
        <v>43</v>
      </c>
      <c r="P12" s="3">
        <v>-100</v>
      </c>
    </row>
    <row r="13" spans="1:17" hidden="1" x14ac:dyDescent="0.3">
      <c r="A13">
        <v>3</v>
      </c>
      <c r="B13" t="str">
        <f>VLOOKUP($A13,[1]LISTA!$B:$C,2,0)</f>
        <v>ENERO</v>
      </c>
      <c r="C13" s="1">
        <v>2025</v>
      </c>
      <c r="D13" s="1" t="str">
        <f>IF($A13&lt;=[1]RESULTADOS!$D$6,"YTD","YTG")</f>
        <v>YTD</v>
      </c>
      <c r="E13" t="s">
        <v>31</v>
      </c>
      <c r="F13" t="s">
        <v>18</v>
      </c>
      <c r="G13" t="s">
        <v>38</v>
      </c>
      <c r="H13" t="s">
        <v>47</v>
      </c>
      <c r="I13" t="s">
        <v>46</v>
      </c>
      <c r="J13" t="str">
        <f>IFERROR(VLOOKUP(I13,[1]AUTOS!$C:$G,2,0),"")</f>
        <v>MARCH</v>
      </c>
      <c r="K13">
        <f>IFERROR(VLOOKUP(I13,[1]AUTOS!$C:$G,3,0),"")</f>
        <v>2020</v>
      </c>
      <c r="L13" t="str">
        <f>IFERROR(VLOOKUP(I13,[1]AUTOS!$C:$G,4,0),"")</f>
        <v>TURQ</v>
      </c>
      <c r="M13" t="s">
        <v>43</v>
      </c>
      <c r="P13" s="3">
        <v>-110</v>
      </c>
    </row>
    <row r="14" spans="1:17" hidden="1" x14ac:dyDescent="0.3">
      <c r="A14">
        <v>2</v>
      </c>
      <c r="B14" t="str">
        <f>VLOOKUP($A14,[1]LISTA!$B:$C,2,0)</f>
        <v>ENERO</v>
      </c>
      <c r="C14" s="1">
        <v>2025</v>
      </c>
      <c r="D14" s="1" t="str">
        <f>IF($A14&lt;=[1]RESULTADOS!$D$6,"YTD","YTG")</f>
        <v>YTD</v>
      </c>
      <c r="E14" t="s">
        <v>31</v>
      </c>
      <c r="F14" t="s">
        <v>18</v>
      </c>
      <c r="G14" t="s">
        <v>48</v>
      </c>
      <c r="H14" t="s">
        <v>49</v>
      </c>
      <c r="I14" t="s">
        <v>46</v>
      </c>
      <c r="J14" t="str">
        <f>IFERROR(VLOOKUP(I14,[1]AUTOS!$C:$G,2,0),"")</f>
        <v>MARCH</v>
      </c>
      <c r="K14">
        <f>IFERROR(VLOOKUP(I14,[1]AUTOS!$C:$G,3,0),"")</f>
        <v>2020</v>
      </c>
      <c r="L14" t="str">
        <f>IFERROR(VLOOKUP(I14,[1]AUTOS!$C:$G,4,0),"")</f>
        <v>TURQ</v>
      </c>
      <c r="M14" t="s">
        <v>43</v>
      </c>
      <c r="P14" s="3">
        <v>-2800</v>
      </c>
    </row>
    <row r="15" spans="1:17" hidden="1" x14ac:dyDescent="0.3">
      <c r="A15">
        <v>3</v>
      </c>
      <c r="B15" t="str">
        <f>VLOOKUP($A15,[1]LISTA!$B:$C,2,0)</f>
        <v>ENERO</v>
      </c>
      <c r="C15" s="1">
        <v>2025</v>
      </c>
      <c r="D15" s="1" t="str">
        <f>IF($A15&lt;=[1]RESULTADOS!$D$6,"YTD","YTG")</f>
        <v>YTD</v>
      </c>
      <c r="E15" t="s">
        <v>31</v>
      </c>
      <c r="F15" t="s">
        <v>18</v>
      </c>
      <c r="G15" t="s">
        <v>38</v>
      </c>
      <c r="H15" t="s">
        <v>50</v>
      </c>
      <c r="I15" t="s">
        <v>46</v>
      </c>
      <c r="J15" t="str">
        <f>IFERROR(VLOOKUP(I15,[1]AUTOS!$C:$G,2,0),"")</f>
        <v>MARCH</v>
      </c>
      <c r="K15">
        <f>IFERROR(VLOOKUP(I15,[1]AUTOS!$C:$G,3,0),"")</f>
        <v>2020</v>
      </c>
      <c r="L15" t="str">
        <f>IFERROR(VLOOKUP(I15,[1]AUTOS!$C:$G,4,0),"")</f>
        <v>TURQ</v>
      </c>
      <c r="M15" t="s">
        <v>43</v>
      </c>
      <c r="P15" s="3">
        <v>-580</v>
      </c>
    </row>
    <row r="16" spans="1:17" hidden="1" x14ac:dyDescent="0.3">
      <c r="A16">
        <v>3</v>
      </c>
      <c r="B16" t="str">
        <f>VLOOKUP($A16,[1]LISTA!$B:$C,2,0)</f>
        <v>ENERO</v>
      </c>
      <c r="C16" s="1">
        <v>2025</v>
      </c>
      <c r="D16" s="1" t="str">
        <f>IF($A16&lt;=[1]RESULTADOS!$D$6,"YTD","YTG")</f>
        <v>YTD</v>
      </c>
      <c r="E16" t="s">
        <v>31</v>
      </c>
      <c r="F16" t="s">
        <v>18</v>
      </c>
      <c r="G16" t="s">
        <v>38</v>
      </c>
      <c r="H16" t="s">
        <v>45</v>
      </c>
      <c r="I16" t="s">
        <v>40</v>
      </c>
      <c r="J16" t="str">
        <f>IFERROR(VLOOKUP(I16,[1]AUTOS!$C:$G,2,0),"")</f>
        <v>VERSA</v>
      </c>
      <c r="K16">
        <f>IFERROR(VLOOKUP(I16,[1]AUTOS!$C:$G,3,0),"")</f>
        <v>2017</v>
      </c>
      <c r="L16" t="str">
        <f>IFERROR(VLOOKUP(I16,[1]AUTOS!$C:$G,4,0),"")</f>
        <v>ACERO</v>
      </c>
      <c r="M16" t="s">
        <v>35</v>
      </c>
      <c r="P16" s="3">
        <v>-80</v>
      </c>
    </row>
    <row r="17" spans="1:16" hidden="1" x14ac:dyDescent="0.3">
      <c r="A17">
        <v>3</v>
      </c>
      <c r="B17" t="str">
        <f>VLOOKUP($A17,[1]LISTA!$B:$C,2,0)</f>
        <v>ENERO</v>
      </c>
      <c r="C17" s="1">
        <v>2025</v>
      </c>
      <c r="D17" s="1" t="str">
        <f>IF($A17&lt;=[1]RESULTADOS!$D$6,"YTD","YTG")</f>
        <v>YTD</v>
      </c>
      <c r="E17" t="s">
        <v>31</v>
      </c>
      <c r="F17" t="s">
        <v>18</v>
      </c>
      <c r="G17" t="s">
        <v>38</v>
      </c>
      <c r="H17" t="s">
        <v>47</v>
      </c>
      <c r="I17" t="s">
        <v>40</v>
      </c>
      <c r="J17" t="str">
        <f>IFERROR(VLOOKUP(I17,[1]AUTOS!$C:$G,2,0),"")</f>
        <v>VERSA</v>
      </c>
      <c r="K17">
        <f>IFERROR(VLOOKUP(I17,[1]AUTOS!$C:$G,3,0),"")</f>
        <v>2017</v>
      </c>
      <c r="L17" t="str">
        <f>IFERROR(VLOOKUP(I17,[1]AUTOS!$C:$G,4,0),"")</f>
        <v>ACERO</v>
      </c>
      <c r="M17" t="s">
        <v>35</v>
      </c>
      <c r="P17" s="3">
        <v>-70</v>
      </c>
    </row>
    <row r="18" spans="1:16" hidden="1" x14ac:dyDescent="0.3">
      <c r="A18">
        <v>3</v>
      </c>
      <c r="B18" t="str">
        <f>VLOOKUP($A18,[1]LISTA!$B:$C,2,0)</f>
        <v>ENERO</v>
      </c>
      <c r="C18" s="1">
        <v>2025</v>
      </c>
      <c r="D18" s="1" t="str">
        <f>IF($A18&lt;=[1]RESULTADOS!$D$6,"YTD","YTG")</f>
        <v>YTD</v>
      </c>
      <c r="E18" t="s">
        <v>31</v>
      </c>
      <c r="F18" t="s">
        <v>18</v>
      </c>
      <c r="G18" t="s">
        <v>38</v>
      </c>
      <c r="H18" t="s">
        <v>50</v>
      </c>
      <c r="I18" t="s">
        <v>40</v>
      </c>
      <c r="J18" t="str">
        <f>IFERROR(VLOOKUP(I18,[1]AUTOS!$C:$G,2,0),"")</f>
        <v>VERSA</v>
      </c>
      <c r="K18">
        <f>IFERROR(VLOOKUP(I18,[1]AUTOS!$C:$G,3,0),"")</f>
        <v>2017</v>
      </c>
      <c r="L18" t="str">
        <f>IFERROR(VLOOKUP(I18,[1]AUTOS!$C:$G,4,0),"")</f>
        <v>ACERO</v>
      </c>
      <c r="M18" t="s">
        <v>35</v>
      </c>
      <c r="P18" s="3">
        <v>-580</v>
      </c>
    </row>
    <row r="19" spans="1:16" hidden="1" x14ac:dyDescent="0.3">
      <c r="A19">
        <v>3</v>
      </c>
      <c r="B19" t="str">
        <f>VLOOKUP($A19,[1]LISTA!$B:$C,2,0)</f>
        <v>ENERO</v>
      </c>
      <c r="C19" s="1">
        <v>2025</v>
      </c>
      <c r="D19" s="1" t="str">
        <f>IF($A19&lt;=[1]RESULTADOS!$D$6,"YTD","YTG")</f>
        <v>YTD</v>
      </c>
      <c r="E19" t="s">
        <v>31</v>
      </c>
      <c r="F19" t="s">
        <v>18</v>
      </c>
      <c r="G19" t="s">
        <v>38</v>
      </c>
      <c r="H19" t="s">
        <v>50</v>
      </c>
      <c r="I19" t="s">
        <v>51</v>
      </c>
      <c r="J19" t="str">
        <f>IFERROR(VLOOKUP(I19,[1]AUTOS!$C:$G,2,0),"")</f>
        <v>VENTO</v>
      </c>
      <c r="K19">
        <f>IFERROR(VLOOKUP(I19,[1]AUTOS!$C:$G,3,0),"")</f>
        <v>2017</v>
      </c>
      <c r="L19" t="str">
        <f>IFERROR(VLOOKUP(I19,[1]AUTOS!$C:$G,4,0),"")</f>
        <v>GRIS</v>
      </c>
      <c r="M19" t="s">
        <v>22</v>
      </c>
      <c r="P19" s="3">
        <v>-580</v>
      </c>
    </row>
    <row r="20" spans="1:16" hidden="1" x14ac:dyDescent="0.3">
      <c r="A20">
        <v>3</v>
      </c>
      <c r="B20" t="str">
        <f>VLOOKUP($A20,[1]LISTA!$B:$C,2,0)</f>
        <v>ENERO</v>
      </c>
      <c r="C20" s="1">
        <v>2025</v>
      </c>
      <c r="D20" s="1" t="str">
        <f>IF($A20&lt;=[1]RESULTADOS!$D$6,"YTD","YTG")</f>
        <v>YTD</v>
      </c>
      <c r="E20" t="s">
        <v>31</v>
      </c>
      <c r="F20" t="s">
        <v>18</v>
      </c>
      <c r="G20" t="s">
        <v>29</v>
      </c>
      <c r="H20" t="s">
        <v>52</v>
      </c>
      <c r="I20" t="s">
        <v>42</v>
      </c>
      <c r="J20" t="str">
        <f>IFERROR(VLOOKUP(I20,[1]AUTOS!$C:$G,2,0),"")</f>
        <v>VENTO</v>
      </c>
      <c r="K20">
        <f>IFERROR(VLOOKUP(I20,[1]AUTOS!$C:$G,3,0),"")</f>
        <v>2018</v>
      </c>
      <c r="L20" t="str">
        <f>IFERROR(VLOOKUP(I20,[1]AUTOS!$C:$G,4,0),"")</f>
        <v>AMARILLO</v>
      </c>
      <c r="M20" t="s">
        <v>43</v>
      </c>
      <c r="P20" s="3">
        <v>-200</v>
      </c>
    </row>
    <row r="21" spans="1:16" hidden="1" x14ac:dyDescent="0.3">
      <c r="A21">
        <v>3</v>
      </c>
      <c r="B21" t="str">
        <f>VLOOKUP($A21,[1]LISTA!$B:$C,2,0)</f>
        <v>ENERO</v>
      </c>
      <c r="C21" s="1">
        <v>2025</v>
      </c>
      <c r="D21" s="1" t="str">
        <f>IF($A21&lt;=[1]RESULTADOS!$D$6,"YTD","YTG")</f>
        <v>YTD</v>
      </c>
      <c r="E21" t="s">
        <v>31</v>
      </c>
      <c r="F21" t="s">
        <v>18</v>
      </c>
      <c r="G21" t="s">
        <v>53</v>
      </c>
      <c r="H21" t="s">
        <v>54</v>
      </c>
      <c r="I21" t="s">
        <v>42</v>
      </c>
      <c r="J21" t="str">
        <f>IFERROR(VLOOKUP(I21,[1]AUTOS!$C:$G,2,0),"")</f>
        <v>VENTO</v>
      </c>
      <c r="K21">
        <f>IFERROR(VLOOKUP(I21,[1]AUTOS!$C:$G,3,0),"")</f>
        <v>2018</v>
      </c>
      <c r="L21" t="str">
        <f>IFERROR(VLOOKUP(I21,[1]AUTOS!$C:$G,4,0),"")</f>
        <v>AMARILLO</v>
      </c>
      <c r="M21" t="s">
        <v>43</v>
      </c>
      <c r="P21" s="3">
        <v>-100</v>
      </c>
    </row>
    <row r="22" spans="1:16" hidden="1" x14ac:dyDescent="0.3">
      <c r="A22">
        <v>2</v>
      </c>
      <c r="B22" t="str">
        <f>VLOOKUP($A22,[1]LISTA!$B:$C,2,0)</f>
        <v>ENERO</v>
      </c>
      <c r="C22" s="1">
        <v>2025</v>
      </c>
      <c r="D22" s="1" t="str">
        <f>IF($A22&lt;=[1]RESULTADOS!$D$6,"YTD","YTG")</f>
        <v>YTD</v>
      </c>
      <c r="E22" t="s">
        <v>31</v>
      </c>
      <c r="F22" t="s">
        <v>18</v>
      </c>
      <c r="G22" t="s">
        <v>32</v>
      </c>
      <c r="H22" t="s">
        <v>55</v>
      </c>
      <c r="I22" t="s">
        <v>51</v>
      </c>
      <c r="J22" t="str">
        <f>IFERROR(VLOOKUP(I22,[1]AUTOS!$C:$G,2,0),"")</f>
        <v>VENTO</v>
      </c>
      <c r="K22">
        <f>IFERROR(VLOOKUP(I22,[1]AUTOS!$C:$G,3,0),"")</f>
        <v>2017</v>
      </c>
      <c r="L22" t="str">
        <f>IFERROR(VLOOKUP(I22,[1]AUTOS!$C:$G,4,0),"")</f>
        <v>GRIS</v>
      </c>
      <c r="M22" t="s">
        <v>22</v>
      </c>
      <c r="P22" s="3">
        <v>-5750</v>
      </c>
    </row>
    <row r="23" spans="1:16" hidden="1" x14ac:dyDescent="0.3">
      <c r="A23">
        <v>3</v>
      </c>
      <c r="B23" t="str">
        <f>VLOOKUP($A23,[1]LISTA!$B:$C,2,0)</f>
        <v>ENERO</v>
      </c>
      <c r="C23" s="1">
        <v>2025</v>
      </c>
      <c r="D23" s="1" t="str">
        <f>IF($A23&lt;=[1]RESULTADOS!$D$6,"YTD","YTG")</f>
        <v>YTD</v>
      </c>
      <c r="E23" t="s">
        <v>31</v>
      </c>
      <c r="F23" t="s">
        <v>18</v>
      </c>
      <c r="G23" t="s">
        <v>32</v>
      </c>
      <c r="H23" t="s">
        <v>56</v>
      </c>
      <c r="I23" t="s">
        <v>37</v>
      </c>
      <c r="J23" t="str">
        <f>IFERROR(VLOOKUP(I23,[1]AUTOS!$C:$G,2,0),"")</f>
        <v>BEAT</v>
      </c>
      <c r="K23">
        <f>IFERROR(VLOOKUP(I23,[1]AUTOS!$C:$G,3,0),"")</f>
        <v>2020</v>
      </c>
      <c r="L23" t="str">
        <f>IFERROR(VLOOKUP(I23,[1]AUTOS!$C:$G,4,0),"")</f>
        <v>GRIS</v>
      </c>
      <c r="M23" t="s">
        <v>35</v>
      </c>
      <c r="P23" s="3">
        <v>-1650</v>
      </c>
    </row>
    <row r="24" spans="1:16" hidden="1" x14ac:dyDescent="0.3">
      <c r="A24">
        <v>3</v>
      </c>
      <c r="B24" t="str">
        <f>VLOOKUP($A24,[1]LISTA!$B:$C,2,0)</f>
        <v>ENERO</v>
      </c>
      <c r="C24" s="1">
        <v>2025</v>
      </c>
      <c r="D24" s="1" t="str">
        <f>IF($A24&lt;=[1]RESULTADOS!$D$6,"YTD","YTG")</f>
        <v>YTD</v>
      </c>
      <c r="E24" t="s">
        <v>31</v>
      </c>
      <c r="F24" t="s">
        <v>18</v>
      </c>
      <c r="G24" t="s">
        <v>57</v>
      </c>
      <c r="H24" t="s">
        <v>58</v>
      </c>
      <c r="I24" t="s">
        <v>59</v>
      </c>
      <c r="J24" t="str">
        <f>IFERROR(VLOOKUP(I24,[1]AUTOS!$C:$G,2,0),"")</f>
        <v>AVEO</v>
      </c>
      <c r="K24">
        <f>IFERROR(VLOOKUP(I24,[1]AUTOS!$C:$G,3,0),"")</f>
        <v>2019</v>
      </c>
      <c r="L24" t="str">
        <f>IFERROR(VLOOKUP(I24,[1]AUTOS!$C:$G,4,0),"")</f>
        <v>BLANCO</v>
      </c>
      <c r="M24" t="s">
        <v>43</v>
      </c>
      <c r="P24" s="3">
        <v>-1150</v>
      </c>
    </row>
    <row r="25" spans="1:16" hidden="1" x14ac:dyDescent="0.3">
      <c r="A25">
        <v>3</v>
      </c>
      <c r="B25" t="str">
        <f>VLOOKUP($A25,[1]LISTA!$B:$C,2,0)</f>
        <v>ENERO</v>
      </c>
      <c r="C25" s="1">
        <v>2025</v>
      </c>
      <c r="D25" s="1" t="str">
        <f>IF($A25&lt;=[1]RESULTADOS!$D$6,"YTD","YTG")</f>
        <v>YTD</v>
      </c>
      <c r="E25" t="s">
        <v>31</v>
      </c>
      <c r="F25" t="s">
        <v>18</v>
      </c>
      <c r="G25" t="s">
        <v>38</v>
      </c>
      <c r="H25" t="s">
        <v>60</v>
      </c>
      <c r="I25" t="s">
        <v>61</v>
      </c>
      <c r="J25" t="str">
        <f>IFERROR(VLOOKUP(I25,[1]AUTOS!$C:$G,2,0),"")</f>
        <v>KIA RIO</v>
      </c>
      <c r="K25">
        <f>IFERROR(VLOOKUP(I25,[1]AUTOS!$C:$G,3,0),"")</f>
        <v>2017</v>
      </c>
      <c r="L25" t="str">
        <f>IFERROR(VLOOKUP(I25,[1]AUTOS!$C:$G,4,0),"")</f>
        <v>ROJO</v>
      </c>
      <c r="M25" t="s">
        <v>35</v>
      </c>
      <c r="P25" s="3">
        <v>-999</v>
      </c>
    </row>
    <row r="26" spans="1:16" hidden="1" x14ac:dyDescent="0.3">
      <c r="A26">
        <v>3</v>
      </c>
      <c r="B26" t="str">
        <f>VLOOKUP($A26,[1]LISTA!$B:$C,2,0)</f>
        <v>ENERO</v>
      </c>
      <c r="C26" s="1">
        <v>2025</v>
      </c>
      <c r="D26" s="1" t="str">
        <f>IF($A26&lt;=[1]RESULTADOS!$D$6,"YTD","YTG")</f>
        <v>YTD</v>
      </c>
      <c r="E26" t="s">
        <v>31</v>
      </c>
      <c r="F26" t="s">
        <v>18</v>
      </c>
      <c r="G26" t="s">
        <v>62</v>
      </c>
      <c r="H26" t="s">
        <v>63</v>
      </c>
      <c r="I26" t="s">
        <v>51</v>
      </c>
      <c r="J26" t="str">
        <f>IFERROR(VLOOKUP(I26,[1]AUTOS!$C:$G,2,0),"")</f>
        <v>VENTO</v>
      </c>
      <c r="K26">
        <f>IFERROR(VLOOKUP(I26,[1]AUTOS!$C:$G,3,0),"")</f>
        <v>2017</v>
      </c>
      <c r="L26" t="str">
        <f>IFERROR(VLOOKUP(I26,[1]AUTOS!$C:$G,4,0),"")</f>
        <v>GRIS</v>
      </c>
      <c r="M26" t="s">
        <v>22</v>
      </c>
      <c r="P26" s="3">
        <v>-600</v>
      </c>
    </row>
    <row r="27" spans="1:16" hidden="1" x14ac:dyDescent="0.3">
      <c r="A27">
        <v>3</v>
      </c>
      <c r="B27" t="str">
        <f>VLOOKUP($A27,[1]LISTA!$B:$C,2,0)</f>
        <v>ENERO</v>
      </c>
      <c r="C27" s="1">
        <v>2025</v>
      </c>
      <c r="D27" s="1" t="str">
        <f>IF($A27&lt;=[1]RESULTADOS!$D$6,"YTD","YTG")</f>
        <v>YTD</v>
      </c>
      <c r="E27" t="s">
        <v>31</v>
      </c>
      <c r="F27" t="s">
        <v>18</v>
      </c>
      <c r="G27" t="s">
        <v>64</v>
      </c>
      <c r="H27" t="s">
        <v>65</v>
      </c>
      <c r="I27" t="s">
        <v>51</v>
      </c>
      <c r="J27" t="str">
        <f>IFERROR(VLOOKUP(I27,[1]AUTOS!$C:$G,2,0),"")</f>
        <v>VENTO</v>
      </c>
      <c r="K27">
        <f>IFERROR(VLOOKUP(I27,[1]AUTOS!$C:$G,3,0),"")</f>
        <v>2017</v>
      </c>
      <c r="L27" t="str">
        <f>IFERROR(VLOOKUP(I27,[1]AUTOS!$C:$G,4,0),"")</f>
        <v>GRIS</v>
      </c>
      <c r="M27" t="s">
        <v>22</v>
      </c>
      <c r="P27" s="3">
        <v>-600</v>
      </c>
    </row>
    <row r="28" spans="1:16" hidden="1" x14ac:dyDescent="0.3">
      <c r="A28">
        <v>3</v>
      </c>
      <c r="B28" t="str">
        <f>VLOOKUP($A28,[1]LISTA!$B:$C,2,0)</f>
        <v>ENERO</v>
      </c>
      <c r="C28" s="1">
        <v>2025</v>
      </c>
      <c r="D28" s="1" t="str">
        <f>IF($A28&lt;=[1]RESULTADOS!$D$6,"YTD","YTG")</f>
        <v>YTD</v>
      </c>
      <c r="E28" t="s">
        <v>31</v>
      </c>
      <c r="F28" t="s">
        <v>18</v>
      </c>
      <c r="G28" t="s">
        <v>64</v>
      </c>
      <c r="H28" t="s">
        <v>65</v>
      </c>
      <c r="I28" t="s">
        <v>59</v>
      </c>
      <c r="J28" t="str">
        <f>IFERROR(VLOOKUP(I28,[1]AUTOS!$C:$G,2,0),"")</f>
        <v>AVEO</v>
      </c>
      <c r="K28">
        <f>IFERROR(VLOOKUP(I28,[1]AUTOS!$C:$G,3,0),"")</f>
        <v>2019</v>
      </c>
      <c r="L28" t="str">
        <f>IFERROR(VLOOKUP(I28,[1]AUTOS!$C:$G,4,0),"")</f>
        <v>BLANCO</v>
      </c>
      <c r="M28" t="s">
        <v>43</v>
      </c>
      <c r="P28" s="3">
        <v>-250</v>
      </c>
    </row>
    <row r="29" spans="1:16" hidden="1" x14ac:dyDescent="0.3">
      <c r="A29">
        <v>3</v>
      </c>
      <c r="B29" t="str">
        <f>VLOOKUP($A29,[1]LISTA!$B:$C,2,0)</f>
        <v>ENERO</v>
      </c>
      <c r="C29" s="1">
        <v>2025</v>
      </c>
      <c r="D29" s="1" t="str">
        <f>IF($A29&lt;=[1]RESULTADOS!$D$6,"YTD","YTG")</f>
        <v>YTD</v>
      </c>
      <c r="E29" t="s">
        <v>31</v>
      </c>
      <c r="F29" t="s">
        <v>18</v>
      </c>
      <c r="G29" t="s">
        <v>64</v>
      </c>
      <c r="H29" t="s">
        <v>65</v>
      </c>
      <c r="I29" t="s">
        <v>61</v>
      </c>
      <c r="J29" t="str">
        <f>IFERROR(VLOOKUP(I29,[1]AUTOS!$C:$G,2,0),"")</f>
        <v>KIA RIO</v>
      </c>
      <c r="K29">
        <f>IFERROR(VLOOKUP(I29,[1]AUTOS!$C:$G,3,0),"")</f>
        <v>2017</v>
      </c>
      <c r="L29" t="str">
        <f>IFERROR(VLOOKUP(I29,[1]AUTOS!$C:$G,4,0),"")</f>
        <v>ROJO</v>
      </c>
      <c r="M29" t="s">
        <v>35</v>
      </c>
      <c r="P29" s="3">
        <v>-250</v>
      </c>
    </row>
    <row r="30" spans="1:16" hidden="1" x14ac:dyDescent="0.3">
      <c r="A30">
        <v>3</v>
      </c>
      <c r="B30" t="str">
        <f>VLOOKUP($A30,[1]LISTA!$B:$C,2,0)</f>
        <v>ENERO</v>
      </c>
      <c r="C30" s="1">
        <v>2025</v>
      </c>
      <c r="D30" s="1" t="str">
        <f>IF($A30&lt;=[1]RESULTADOS!$D$6,"YTD","YTG")</f>
        <v>YTD</v>
      </c>
      <c r="E30" t="s">
        <v>17</v>
      </c>
      <c r="F30" t="s">
        <v>18</v>
      </c>
      <c r="G30" t="s">
        <v>29</v>
      </c>
      <c r="H30" t="s">
        <v>30</v>
      </c>
      <c r="I30" t="s">
        <v>21</v>
      </c>
      <c r="J30" t="str">
        <f>IFERROR(VLOOKUP(I30,[1]AUTOS!$C:$G,2,0),"")</f>
        <v/>
      </c>
      <c r="K30" t="str">
        <f>IFERROR(VLOOKUP(I30,[1]AUTOS!$C:$G,3,0),"")</f>
        <v/>
      </c>
      <c r="L30" t="str">
        <f>IFERROR(VLOOKUP(I30,[1]AUTOS!$C:$G,4,0),"")</f>
        <v/>
      </c>
      <c r="M30" t="s">
        <v>22</v>
      </c>
      <c r="P30" s="3">
        <v>-500</v>
      </c>
    </row>
    <row r="31" spans="1:16" hidden="1" x14ac:dyDescent="0.3">
      <c r="A31">
        <v>3</v>
      </c>
      <c r="B31" t="str">
        <f>VLOOKUP($A31,[1]LISTA!$B:$C,2,0)</f>
        <v>ENERO</v>
      </c>
      <c r="C31" s="1">
        <v>2025</v>
      </c>
      <c r="D31" s="1" t="str">
        <f>IF($A31&lt;=[1]RESULTADOS!$D$6,"YTD","YTG")</f>
        <v>YTD</v>
      </c>
      <c r="E31" t="s">
        <v>31</v>
      </c>
      <c r="F31" t="s">
        <v>18</v>
      </c>
      <c r="G31" t="s">
        <v>41</v>
      </c>
      <c r="H31" t="s">
        <v>41</v>
      </c>
      <c r="I31" t="s">
        <v>61</v>
      </c>
      <c r="J31" t="str">
        <f>IFERROR(VLOOKUP(I31,[1]AUTOS!$C:$G,2,0),"")</f>
        <v>KIA RIO</v>
      </c>
      <c r="K31">
        <f>IFERROR(VLOOKUP(I31,[1]AUTOS!$C:$G,3,0),"")</f>
        <v>2017</v>
      </c>
      <c r="L31" t="str">
        <f>IFERROR(VLOOKUP(I31,[1]AUTOS!$C:$G,4,0),"")</f>
        <v>ROJO</v>
      </c>
      <c r="M31" t="s">
        <v>35</v>
      </c>
      <c r="P31" s="3">
        <v>-1410</v>
      </c>
    </row>
    <row r="32" spans="1:16" hidden="1" x14ac:dyDescent="0.3">
      <c r="A32">
        <v>3</v>
      </c>
      <c r="B32" t="str">
        <f>VLOOKUP($A32,[1]LISTA!$B:$C,2,0)</f>
        <v>ENERO</v>
      </c>
      <c r="C32" s="1">
        <v>2025</v>
      </c>
      <c r="D32" s="1" t="str">
        <f>IF($A32&lt;=[1]RESULTADOS!$D$6,"YTD","YTG")</f>
        <v>YTD</v>
      </c>
      <c r="E32" t="s">
        <v>31</v>
      </c>
      <c r="F32" t="s">
        <v>18</v>
      </c>
      <c r="G32" t="s">
        <v>38</v>
      </c>
      <c r="H32" t="s">
        <v>66</v>
      </c>
      <c r="I32" t="s">
        <v>67</v>
      </c>
      <c r="J32" t="str">
        <f>IFERROR(VLOOKUP(I32,[1]AUTOS!$C:$G,2,0),"")</f>
        <v>KIA RIO</v>
      </c>
      <c r="K32">
        <f>IFERROR(VLOOKUP(I32,[1]AUTOS!$C:$G,3,0),"")</f>
        <v>2020</v>
      </c>
      <c r="L32" t="str">
        <f>IFERROR(VLOOKUP(I32,[1]AUTOS!$C:$G,4,0),"")</f>
        <v>GRIS</v>
      </c>
      <c r="M32" t="s">
        <v>43</v>
      </c>
      <c r="P32" s="3">
        <v>-760</v>
      </c>
    </row>
    <row r="33" spans="1:16" hidden="1" x14ac:dyDescent="0.3">
      <c r="A33">
        <v>3</v>
      </c>
      <c r="B33" t="str">
        <f>VLOOKUP($A33,[1]LISTA!$B:$C,2,0)</f>
        <v>ENERO</v>
      </c>
      <c r="C33" s="1">
        <v>2025</v>
      </c>
      <c r="D33" s="1" t="str">
        <f>IF($A33&lt;=[1]RESULTADOS!$D$6,"YTD","YTG")</f>
        <v>YTD</v>
      </c>
      <c r="E33" t="s">
        <v>31</v>
      </c>
      <c r="F33" t="s">
        <v>18</v>
      </c>
      <c r="G33" t="s">
        <v>41</v>
      </c>
      <c r="H33" t="s">
        <v>68</v>
      </c>
      <c r="I33" t="s">
        <v>46</v>
      </c>
      <c r="J33" t="str">
        <f>IFERROR(VLOOKUP(I33,[1]AUTOS!$C:$G,2,0),"")</f>
        <v>MARCH</v>
      </c>
      <c r="K33">
        <f>IFERROR(VLOOKUP(I33,[1]AUTOS!$C:$G,3,0),"")</f>
        <v>2020</v>
      </c>
      <c r="L33" t="str">
        <f>IFERROR(VLOOKUP(I33,[1]AUTOS!$C:$G,4,0),"")</f>
        <v>TURQ</v>
      </c>
      <c r="M33" t="s">
        <v>43</v>
      </c>
      <c r="P33" s="3">
        <v>-400</v>
      </c>
    </row>
    <row r="34" spans="1:16" hidden="1" x14ac:dyDescent="0.3">
      <c r="A34">
        <v>3</v>
      </c>
      <c r="B34" t="str">
        <f>VLOOKUP($A34,[1]LISTA!$B:$C,2,0)</f>
        <v>ENERO</v>
      </c>
      <c r="C34" s="1">
        <v>2025</v>
      </c>
      <c r="D34" s="1" t="str">
        <f>IF($A34&lt;=[1]RESULTADOS!$D$6,"YTD","YTG")</f>
        <v>YTD</v>
      </c>
      <c r="E34" t="s">
        <v>31</v>
      </c>
      <c r="F34" t="s">
        <v>18</v>
      </c>
      <c r="G34" t="s">
        <v>57</v>
      </c>
      <c r="H34" t="s">
        <v>58</v>
      </c>
      <c r="I34" t="s">
        <v>46</v>
      </c>
      <c r="J34" t="str">
        <f>IFERROR(VLOOKUP(I34,[1]AUTOS!$C:$G,2,0),"")</f>
        <v>MARCH</v>
      </c>
      <c r="K34">
        <f>IFERROR(VLOOKUP(I34,[1]AUTOS!$C:$G,3,0),"")</f>
        <v>2020</v>
      </c>
      <c r="L34" t="str">
        <f>IFERROR(VLOOKUP(I34,[1]AUTOS!$C:$G,4,0),"")</f>
        <v>TURQ</v>
      </c>
      <c r="M34" t="s">
        <v>43</v>
      </c>
      <c r="P34" s="3">
        <v>-1457</v>
      </c>
    </row>
    <row r="35" spans="1:16" hidden="1" x14ac:dyDescent="0.3">
      <c r="A35">
        <v>3</v>
      </c>
      <c r="B35" t="str">
        <f>VLOOKUP($A35,[1]LISTA!$B:$C,2,0)</f>
        <v>ENERO</v>
      </c>
      <c r="C35" s="1">
        <v>2025</v>
      </c>
      <c r="D35" s="1" t="str">
        <f>IF($A35&lt;=[1]RESULTADOS!$D$6,"YTD","YTG")</f>
        <v>YTD</v>
      </c>
      <c r="E35" t="s">
        <v>17</v>
      </c>
      <c r="F35" t="s">
        <v>18</v>
      </c>
      <c r="G35" t="s">
        <v>69</v>
      </c>
      <c r="H35" t="s">
        <v>70</v>
      </c>
      <c r="I35" t="s">
        <v>21</v>
      </c>
      <c r="J35" t="str">
        <f>IFERROR(VLOOKUP(I35,[1]AUTOS!$C:$G,2,0),"")</f>
        <v/>
      </c>
      <c r="K35" t="str">
        <f>IFERROR(VLOOKUP(I35,[1]AUTOS!$C:$G,3,0),"")</f>
        <v/>
      </c>
      <c r="L35" t="str">
        <f>IFERROR(VLOOKUP(I35,[1]AUTOS!$C:$G,4,0),"")</f>
        <v/>
      </c>
      <c r="M35" t="s">
        <v>22</v>
      </c>
      <c r="P35" s="3">
        <v>-125</v>
      </c>
    </row>
    <row r="36" spans="1:16" hidden="1" x14ac:dyDescent="0.3">
      <c r="A36">
        <v>3</v>
      </c>
      <c r="B36" t="str">
        <f>VLOOKUP($A36,[1]LISTA!$B:$C,2,0)</f>
        <v>ENERO</v>
      </c>
      <c r="C36" s="1">
        <v>2025</v>
      </c>
      <c r="D36" s="1" t="str">
        <f>IF($A36&lt;=[1]RESULTADOS!$D$6,"YTD","YTG")</f>
        <v>YTD</v>
      </c>
      <c r="E36" t="s">
        <v>17</v>
      </c>
      <c r="F36" t="s">
        <v>18</v>
      </c>
      <c r="G36" t="s">
        <v>48</v>
      </c>
      <c r="H36" t="s">
        <v>71</v>
      </c>
      <c r="I36" t="s">
        <v>21</v>
      </c>
      <c r="J36" t="str">
        <f>IFERROR(VLOOKUP(I36,[1]AUTOS!$C:$G,2,0),"")</f>
        <v/>
      </c>
      <c r="K36" t="str">
        <f>IFERROR(VLOOKUP(I36,[1]AUTOS!$C:$G,3,0),"")</f>
        <v/>
      </c>
      <c r="L36" t="str">
        <f>IFERROR(VLOOKUP(I36,[1]AUTOS!$C:$G,4,0),"")</f>
        <v/>
      </c>
      <c r="M36" t="s">
        <v>22</v>
      </c>
      <c r="P36" s="3">
        <v>-1000</v>
      </c>
    </row>
    <row r="37" spans="1:16" hidden="1" x14ac:dyDescent="0.3">
      <c r="A37">
        <v>3</v>
      </c>
      <c r="B37" t="str">
        <f>VLOOKUP($A37,[1]LISTA!$B:$C,2,0)</f>
        <v>ENERO</v>
      </c>
      <c r="C37" s="1">
        <v>2025</v>
      </c>
      <c r="D37" s="1" t="str">
        <f>IF($A37&lt;=[1]RESULTADOS!$D$6,"YTD","YTG")</f>
        <v>YTD</v>
      </c>
      <c r="E37" t="s">
        <v>31</v>
      </c>
      <c r="F37" t="s">
        <v>18</v>
      </c>
      <c r="G37" t="s">
        <v>64</v>
      </c>
      <c r="H37" t="s">
        <v>65</v>
      </c>
      <c r="I37" t="s">
        <v>67</v>
      </c>
      <c r="J37" t="str">
        <f>IFERROR(VLOOKUP(I37,[1]AUTOS!$C:$G,2,0),"")</f>
        <v>KIA RIO</v>
      </c>
      <c r="K37">
        <f>IFERROR(VLOOKUP(I37,[1]AUTOS!$C:$G,3,0),"")</f>
        <v>2020</v>
      </c>
      <c r="L37" t="str">
        <f>IFERROR(VLOOKUP(I37,[1]AUTOS!$C:$G,4,0),"")</f>
        <v>GRIS</v>
      </c>
      <c r="M37" t="s">
        <v>43</v>
      </c>
      <c r="P37" s="3">
        <v>-150</v>
      </c>
    </row>
    <row r="38" spans="1:16" hidden="1" x14ac:dyDescent="0.3">
      <c r="A38">
        <v>3</v>
      </c>
      <c r="B38" t="str">
        <f>VLOOKUP($A38,[1]LISTA!$B:$C,2,0)</f>
        <v>ENERO</v>
      </c>
      <c r="C38" s="1">
        <v>2025</v>
      </c>
      <c r="D38" s="1" t="str">
        <f>IF($A38&lt;=[1]RESULTADOS!$D$6,"YTD","YTG")</f>
        <v>YTD</v>
      </c>
      <c r="E38" t="s">
        <v>31</v>
      </c>
      <c r="F38" t="s">
        <v>18</v>
      </c>
      <c r="G38" t="s">
        <v>64</v>
      </c>
      <c r="H38" t="s">
        <v>65</v>
      </c>
      <c r="I38" t="s">
        <v>40</v>
      </c>
      <c r="J38" t="str">
        <f>IFERROR(VLOOKUP(I38,[1]AUTOS!$C:$G,2,0),"")</f>
        <v>VERSA</v>
      </c>
      <c r="K38">
        <f>IFERROR(VLOOKUP(I38,[1]AUTOS!$C:$G,3,0),"")</f>
        <v>2017</v>
      </c>
      <c r="L38" t="str">
        <f>IFERROR(VLOOKUP(I38,[1]AUTOS!$C:$G,4,0),"")</f>
        <v>ACERO</v>
      </c>
      <c r="M38" t="s">
        <v>35</v>
      </c>
      <c r="P38" s="3">
        <v>-300</v>
      </c>
    </row>
    <row r="39" spans="1:16" hidden="1" x14ac:dyDescent="0.3">
      <c r="A39">
        <v>4</v>
      </c>
      <c r="B39" t="str">
        <f>VLOOKUP($A39,[1]LISTA!$B:$C,2,0)</f>
        <v>ENERO</v>
      </c>
      <c r="C39" s="1">
        <v>2025</v>
      </c>
      <c r="D39" s="1" t="str">
        <f>IF($A39&lt;=[1]RESULTADOS!$D$6,"YTD","YTG")</f>
        <v>YTD</v>
      </c>
      <c r="E39" t="s">
        <v>31</v>
      </c>
      <c r="F39" t="s">
        <v>18</v>
      </c>
      <c r="G39" t="s">
        <v>25</v>
      </c>
      <c r="H39" t="s">
        <v>26</v>
      </c>
      <c r="I39" t="s">
        <v>37</v>
      </c>
      <c r="J39" t="str">
        <f>IFERROR(VLOOKUP(I39,[1]AUTOS!$C:$G,2,0),"")</f>
        <v>BEAT</v>
      </c>
      <c r="K39">
        <f>IFERROR(VLOOKUP(I39,[1]AUTOS!$C:$G,3,0),"")</f>
        <v>2020</v>
      </c>
      <c r="L39" t="str">
        <f>IFERROR(VLOOKUP(I39,[1]AUTOS!$C:$G,4,0),"")</f>
        <v>GRIS</v>
      </c>
      <c r="M39" t="s">
        <v>35</v>
      </c>
      <c r="P39" s="3">
        <v>-20</v>
      </c>
    </row>
    <row r="40" spans="1:16" x14ac:dyDescent="0.3">
      <c r="A40">
        <v>4</v>
      </c>
      <c r="B40" t="str">
        <f>VLOOKUP($A40,[1]LISTA!$B:$C,2,0)</f>
        <v>ENERO</v>
      </c>
      <c r="C40" s="1">
        <v>2025</v>
      </c>
      <c r="D40" s="1" t="str">
        <f>IF($A40&lt;=[1]RESULTADOS!$D$6,"YTD","YTG")</f>
        <v>YTD</v>
      </c>
      <c r="E40" t="s">
        <v>31</v>
      </c>
      <c r="F40" t="s">
        <v>18</v>
      </c>
      <c r="G40" t="s">
        <v>25</v>
      </c>
      <c r="H40" t="s">
        <v>26</v>
      </c>
      <c r="I40" t="s">
        <v>72</v>
      </c>
      <c r="J40" t="str">
        <f>IFERROR(VLOOKUP(I40,[1]AUTOS!$C:$G,2,0),"")</f>
        <v>VENTO</v>
      </c>
      <c r="K40">
        <f>IFERROR(VLOOKUP(I40,[1]AUTOS!$C:$G,3,0),"")</f>
        <v>2020</v>
      </c>
      <c r="L40" t="str">
        <f>IFERROR(VLOOKUP(I40,[1]AUTOS!$C:$G,4,0),"")</f>
        <v>GRIS</v>
      </c>
      <c r="M40" t="s">
        <v>43</v>
      </c>
      <c r="P40" s="3">
        <v>-20</v>
      </c>
    </row>
    <row r="41" spans="1:16" hidden="1" x14ac:dyDescent="0.3">
      <c r="A41">
        <v>4</v>
      </c>
      <c r="B41" t="str">
        <f>VLOOKUP($A41,[1]LISTA!$B:$C,2,0)</f>
        <v>ENERO</v>
      </c>
      <c r="C41" s="1">
        <v>2025</v>
      </c>
      <c r="D41" s="1" t="str">
        <f>IF($A41&lt;=[1]RESULTADOS!$D$6,"YTD","YTG")</f>
        <v>YTD</v>
      </c>
      <c r="E41" t="s">
        <v>31</v>
      </c>
      <c r="F41" t="s">
        <v>18</v>
      </c>
      <c r="G41" t="s">
        <v>25</v>
      </c>
      <c r="H41" t="s">
        <v>26</v>
      </c>
      <c r="I41" t="s">
        <v>59</v>
      </c>
      <c r="J41" t="str">
        <f>IFERROR(VLOOKUP(I41,[1]AUTOS!$C:$G,2,0),"")</f>
        <v>AVEO</v>
      </c>
      <c r="K41">
        <f>IFERROR(VLOOKUP(I41,[1]AUTOS!$C:$G,3,0),"")</f>
        <v>2019</v>
      </c>
      <c r="L41" t="str">
        <f>IFERROR(VLOOKUP(I41,[1]AUTOS!$C:$G,4,0),"")</f>
        <v>BLANCO</v>
      </c>
      <c r="M41" t="s">
        <v>43</v>
      </c>
      <c r="P41" s="3">
        <v>-20</v>
      </c>
    </row>
    <row r="42" spans="1:16" hidden="1" x14ac:dyDescent="0.3">
      <c r="A42">
        <v>4</v>
      </c>
      <c r="B42" t="str">
        <f>VLOOKUP($A42,[1]LISTA!$B:$C,2,0)</f>
        <v>ENERO</v>
      </c>
      <c r="C42" s="1">
        <v>2025</v>
      </c>
      <c r="D42" s="1" t="str">
        <f>IF($A42&lt;=[1]RESULTADOS!$D$6,"YTD","YTG")</f>
        <v>YTD</v>
      </c>
      <c r="E42" t="s">
        <v>31</v>
      </c>
      <c r="F42" t="s">
        <v>18</v>
      </c>
      <c r="G42" t="s">
        <v>25</v>
      </c>
      <c r="H42" t="s">
        <v>26</v>
      </c>
      <c r="I42" t="s">
        <v>51</v>
      </c>
      <c r="J42" t="str">
        <f>IFERROR(VLOOKUP(I42,[1]AUTOS!$C:$G,2,0),"")</f>
        <v>VENTO</v>
      </c>
      <c r="K42">
        <f>IFERROR(VLOOKUP(I42,[1]AUTOS!$C:$G,3,0),"")</f>
        <v>2017</v>
      </c>
      <c r="L42" t="str">
        <f>IFERROR(VLOOKUP(I42,[1]AUTOS!$C:$G,4,0),"")</f>
        <v>GRIS</v>
      </c>
      <c r="M42" t="s">
        <v>22</v>
      </c>
      <c r="P42" s="3">
        <v>-20</v>
      </c>
    </row>
    <row r="43" spans="1:16" hidden="1" x14ac:dyDescent="0.3">
      <c r="A43">
        <v>4</v>
      </c>
      <c r="B43" t="str">
        <f>VLOOKUP($A43,[1]LISTA!$B:$C,2,0)</f>
        <v>ENERO</v>
      </c>
      <c r="C43" s="1">
        <v>2025</v>
      </c>
      <c r="D43" s="1" t="str">
        <f>IF($A43&lt;=[1]RESULTADOS!$D$6,"YTD","YTG")</f>
        <v>YTD</v>
      </c>
      <c r="E43" t="s">
        <v>31</v>
      </c>
      <c r="F43" t="s">
        <v>18</v>
      </c>
      <c r="G43" t="s">
        <v>25</v>
      </c>
      <c r="H43" t="s">
        <v>26</v>
      </c>
      <c r="I43" t="s">
        <v>73</v>
      </c>
      <c r="J43" t="str">
        <f>IFERROR(VLOOKUP(I43,[1]AUTOS!$C:$G,2,0),"")</f>
        <v>VERSA</v>
      </c>
      <c r="K43">
        <f>IFERROR(VLOOKUP(I43,[1]AUTOS!$C:$G,3,0),"")</f>
        <v>2023</v>
      </c>
      <c r="L43" t="str">
        <f>IFERROR(VLOOKUP(I43,[1]AUTOS!$C:$G,4,0),"")</f>
        <v>PLATA</v>
      </c>
      <c r="M43" t="s">
        <v>43</v>
      </c>
      <c r="P43" s="3">
        <v>-20</v>
      </c>
    </row>
    <row r="44" spans="1:16" hidden="1" x14ac:dyDescent="0.3">
      <c r="A44">
        <v>4</v>
      </c>
      <c r="B44" t="str">
        <f>VLOOKUP($A44,[1]LISTA!$B:$C,2,0)</f>
        <v>ENERO</v>
      </c>
      <c r="C44" s="1">
        <v>2025</v>
      </c>
      <c r="D44" s="1" t="str">
        <f>IF($A44&lt;=[1]RESULTADOS!$D$6,"YTD","YTG")</f>
        <v>YTD</v>
      </c>
      <c r="E44" t="s">
        <v>31</v>
      </c>
      <c r="F44" t="s">
        <v>18</v>
      </c>
      <c r="G44" t="s">
        <v>57</v>
      </c>
      <c r="H44" t="s">
        <v>74</v>
      </c>
      <c r="I44" t="s">
        <v>51</v>
      </c>
      <c r="J44" t="str">
        <f>IFERROR(VLOOKUP(I44,[1]AUTOS!$C:$G,2,0),"")</f>
        <v>VENTO</v>
      </c>
      <c r="K44">
        <f>IFERROR(VLOOKUP(I44,[1]AUTOS!$C:$G,3,0),"")</f>
        <v>2017</v>
      </c>
      <c r="L44" t="str">
        <f>IFERROR(VLOOKUP(I44,[1]AUTOS!$C:$G,4,0),"")</f>
        <v>GRIS</v>
      </c>
      <c r="M44" t="s">
        <v>22</v>
      </c>
      <c r="P44" s="3">
        <v>-120</v>
      </c>
    </row>
    <row r="45" spans="1:16" hidden="1" x14ac:dyDescent="0.3">
      <c r="A45">
        <v>4</v>
      </c>
      <c r="B45" t="str">
        <f>VLOOKUP($A45,[1]LISTA!$B:$C,2,0)</f>
        <v>ENERO</v>
      </c>
      <c r="C45" s="1">
        <v>2025</v>
      </c>
      <c r="D45" s="1" t="str">
        <f>IF($A45&lt;=[1]RESULTADOS!$D$6,"YTD","YTG")</f>
        <v>YTD</v>
      </c>
      <c r="E45" t="s">
        <v>31</v>
      </c>
      <c r="F45" t="s">
        <v>18</v>
      </c>
      <c r="G45" t="s">
        <v>57</v>
      </c>
      <c r="H45" t="s">
        <v>75</v>
      </c>
      <c r="I45" t="s">
        <v>73</v>
      </c>
      <c r="J45" t="str">
        <f>IFERROR(VLOOKUP(I45,[1]AUTOS!$C:$G,2,0),"")</f>
        <v>VERSA</v>
      </c>
      <c r="K45">
        <f>IFERROR(VLOOKUP(I45,[1]AUTOS!$C:$G,3,0),"")</f>
        <v>2023</v>
      </c>
      <c r="L45" t="str">
        <f>IFERROR(VLOOKUP(I45,[1]AUTOS!$C:$G,4,0),"")</f>
        <v>PLATA</v>
      </c>
      <c r="M45" t="s">
        <v>43</v>
      </c>
      <c r="P45" s="3">
        <v>-410</v>
      </c>
    </row>
    <row r="46" spans="1:16" hidden="1" x14ac:dyDescent="0.3">
      <c r="A46">
        <v>4</v>
      </c>
      <c r="B46" t="str">
        <f>VLOOKUP($A46,[1]LISTA!$B:$C,2,0)</f>
        <v>ENERO</v>
      </c>
      <c r="C46" s="1">
        <v>2025</v>
      </c>
      <c r="D46" s="1" t="str">
        <f>IF($A46&lt;=[1]RESULTADOS!$D$6,"YTD","YTG")</f>
        <v>YTD</v>
      </c>
      <c r="E46" t="s">
        <v>17</v>
      </c>
      <c r="F46" t="s">
        <v>18</v>
      </c>
      <c r="G46" t="s">
        <v>41</v>
      </c>
      <c r="H46" t="s">
        <v>41</v>
      </c>
      <c r="I46" t="s">
        <v>21</v>
      </c>
      <c r="J46" t="str">
        <f>IFERROR(VLOOKUP(I46,[1]AUTOS!$C:$G,2,0),"")</f>
        <v/>
      </c>
      <c r="K46" t="str">
        <f>IFERROR(VLOOKUP(I46,[1]AUTOS!$C:$G,3,0),"")</f>
        <v/>
      </c>
      <c r="L46" t="str">
        <f>IFERROR(VLOOKUP(I46,[1]AUTOS!$C:$G,4,0),"")</f>
        <v/>
      </c>
      <c r="M46" t="s">
        <v>22</v>
      </c>
      <c r="P46" s="3">
        <v>-1530</v>
      </c>
    </row>
    <row r="47" spans="1:16" hidden="1" x14ac:dyDescent="0.3">
      <c r="A47">
        <v>4</v>
      </c>
      <c r="B47" t="str">
        <f>VLOOKUP($A47,[1]LISTA!$B:$C,2,0)</f>
        <v>ENERO</v>
      </c>
      <c r="C47" s="1">
        <v>2025</v>
      </c>
      <c r="D47" s="1" t="str">
        <f>IF($A47&lt;=[1]RESULTADOS!$D$6,"YTD","YTG")</f>
        <v>YTD</v>
      </c>
      <c r="E47" t="s">
        <v>31</v>
      </c>
      <c r="F47" t="s">
        <v>18</v>
      </c>
      <c r="G47" t="s">
        <v>41</v>
      </c>
      <c r="H47" t="s">
        <v>41</v>
      </c>
      <c r="I47" t="s">
        <v>76</v>
      </c>
      <c r="J47" t="str">
        <f>IFERROR(VLOOKUP(I47,[1]AUTOS!$C:$G,2,0),"")</f>
        <v>AVEO</v>
      </c>
      <c r="K47">
        <f>IFERROR(VLOOKUP(I47,[1]AUTOS!$C:$G,3,0),"")</f>
        <v>2018</v>
      </c>
      <c r="L47" t="str">
        <f>IFERROR(VLOOKUP(I47,[1]AUTOS!$C:$G,4,0),"")</f>
        <v>GRIS</v>
      </c>
      <c r="M47" t="s">
        <v>43</v>
      </c>
      <c r="P47" s="3">
        <v>-1530</v>
      </c>
    </row>
    <row r="48" spans="1:16" x14ac:dyDescent="0.3">
      <c r="A48">
        <v>5</v>
      </c>
      <c r="B48" t="str">
        <f>VLOOKUP($A48,[1]LISTA!$B:$C,2,0)</f>
        <v>ENERO</v>
      </c>
      <c r="C48" s="1">
        <v>2025</v>
      </c>
      <c r="D48" s="1" t="str">
        <f>IF($A48&lt;=[1]RESULTADOS!$D$6,"YTD","YTG")</f>
        <v>YTD</v>
      </c>
      <c r="E48" t="s">
        <v>31</v>
      </c>
      <c r="F48" t="s">
        <v>18</v>
      </c>
      <c r="G48" t="s">
        <v>77</v>
      </c>
      <c r="H48" t="s">
        <v>78</v>
      </c>
      <c r="I48" t="s">
        <v>72</v>
      </c>
      <c r="J48" t="str">
        <f>IFERROR(VLOOKUP(I48,[1]AUTOS!$C:$G,2,0),"")</f>
        <v>VENTO</v>
      </c>
      <c r="K48">
        <f>IFERROR(VLOOKUP(I48,[1]AUTOS!$C:$G,3,0),"")</f>
        <v>2020</v>
      </c>
      <c r="L48" t="str">
        <f>IFERROR(VLOOKUP(I48,[1]AUTOS!$C:$G,4,0),"")</f>
        <v>GRIS</v>
      </c>
      <c r="M48" t="s">
        <v>43</v>
      </c>
      <c r="P48" s="3">
        <v>-813</v>
      </c>
    </row>
    <row r="49" spans="1:16" hidden="1" x14ac:dyDescent="0.3">
      <c r="A49">
        <v>5</v>
      </c>
      <c r="B49" t="str">
        <f>VLOOKUP($A49,[1]LISTA!$B:$C,2,0)</f>
        <v>ENERO</v>
      </c>
      <c r="C49" s="1">
        <v>2025</v>
      </c>
      <c r="D49" s="1" t="str">
        <f>IF($A49&lt;=[1]RESULTADOS!$D$6,"YTD","YTG")</f>
        <v>YTD</v>
      </c>
      <c r="E49" t="s">
        <v>31</v>
      </c>
      <c r="F49" t="s">
        <v>18</v>
      </c>
      <c r="G49" t="s">
        <v>77</v>
      </c>
      <c r="H49" t="s">
        <v>78</v>
      </c>
      <c r="I49" t="s">
        <v>61</v>
      </c>
      <c r="J49" t="str">
        <f>IFERROR(VLOOKUP(I49,[1]AUTOS!$C:$G,2,0),"")</f>
        <v>KIA RIO</v>
      </c>
      <c r="K49">
        <f>IFERROR(VLOOKUP(I49,[1]AUTOS!$C:$G,3,0),"")</f>
        <v>2017</v>
      </c>
      <c r="L49" t="str">
        <f>IFERROR(VLOOKUP(I49,[1]AUTOS!$C:$G,4,0),"")</f>
        <v>ROJO</v>
      </c>
      <c r="M49" t="s">
        <v>35</v>
      </c>
      <c r="P49" s="3">
        <v>-800</v>
      </c>
    </row>
    <row r="50" spans="1:16" hidden="1" x14ac:dyDescent="0.3">
      <c r="A50">
        <v>5</v>
      </c>
      <c r="B50" t="str">
        <f>VLOOKUP($A50,[1]LISTA!$B:$C,2,0)</f>
        <v>ENERO</v>
      </c>
      <c r="C50" s="1">
        <v>2025</v>
      </c>
      <c r="D50" s="1" t="str">
        <f>IF($A50&lt;=[1]RESULTADOS!$D$6,"YTD","YTG")</f>
        <v>YTD</v>
      </c>
      <c r="E50" t="s">
        <v>31</v>
      </c>
      <c r="F50" t="s">
        <v>18</v>
      </c>
      <c r="G50" t="s">
        <v>77</v>
      </c>
      <c r="H50" t="s">
        <v>78</v>
      </c>
      <c r="I50" t="s">
        <v>59</v>
      </c>
      <c r="J50" t="str">
        <f>IFERROR(VLOOKUP(I50,[1]AUTOS!$C:$G,2,0),"")</f>
        <v>AVEO</v>
      </c>
      <c r="K50">
        <f>IFERROR(VLOOKUP(I50,[1]AUTOS!$C:$G,3,0),"")</f>
        <v>2019</v>
      </c>
      <c r="L50" t="str">
        <f>IFERROR(VLOOKUP(I50,[1]AUTOS!$C:$G,4,0),"")</f>
        <v>BLANCO</v>
      </c>
      <c r="M50" t="s">
        <v>43</v>
      </c>
      <c r="P50" s="3">
        <v>-800</v>
      </c>
    </row>
    <row r="51" spans="1:16" hidden="1" x14ac:dyDescent="0.3">
      <c r="A51">
        <v>6</v>
      </c>
      <c r="B51" t="str">
        <f>VLOOKUP($A51,[1]LISTA!$B:$C,2,0)</f>
        <v>FEBRERO</v>
      </c>
      <c r="C51" s="1">
        <v>2025</v>
      </c>
      <c r="D51" s="1" t="str">
        <f>IF($A51&lt;=[1]RESULTADOS!$D$6,"YTD","YTG")</f>
        <v>YTD</v>
      </c>
      <c r="E51" t="s">
        <v>31</v>
      </c>
      <c r="F51" t="s">
        <v>18</v>
      </c>
      <c r="G51" t="s">
        <v>77</v>
      </c>
      <c r="H51" t="s">
        <v>78</v>
      </c>
      <c r="I51" t="s">
        <v>46</v>
      </c>
      <c r="J51" t="str">
        <f>IFERROR(VLOOKUP(I51,[1]AUTOS!$C:$G,2,0),"")</f>
        <v>MARCH</v>
      </c>
      <c r="K51">
        <f>IFERROR(VLOOKUP(I51,[1]AUTOS!$C:$G,3,0),"")</f>
        <v>2020</v>
      </c>
      <c r="L51" t="str">
        <f>IFERROR(VLOOKUP(I51,[1]AUTOS!$C:$G,4,0),"")</f>
        <v>TURQ</v>
      </c>
      <c r="M51" t="s">
        <v>43</v>
      </c>
      <c r="P51" s="3">
        <v>-800</v>
      </c>
    </row>
    <row r="52" spans="1:16" hidden="1" x14ac:dyDescent="0.3">
      <c r="A52">
        <v>6</v>
      </c>
      <c r="B52" t="str">
        <f>VLOOKUP($A52,[1]LISTA!$B:$C,2,0)</f>
        <v>FEBRERO</v>
      </c>
      <c r="C52" s="1">
        <v>2025</v>
      </c>
      <c r="D52" s="1" t="str">
        <f>IF($A52&lt;=[1]RESULTADOS!$D$6,"YTD","YTG")</f>
        <v>YTD</v>
      </c>
      <c r="E52" t="s">
        <v>31</v>
      </c>
      <c r="F52" t="s">
        <v>18</v>
      </c>
      <c r="G52" t="s">
        <v>77</v>
      </c>
      <c r="H52" t="s">
        <v>78</v>
      </c>
      <c r="I52" t="s">
        <v>79</v>
      </c>
      <c r="J52" t="str">
        <f>IFERROR(VLOOKUP(I52,[1]AUTOS!$C:$G,2,0),"")</f>
        <v>AVEO</v>
      </c>
      <c r="K52">
        <f>IFERROR(VLOOKUP(I52,[1]AUTOS!$C:$G,3,0),"")</f>
        <v>2021</v>
      </c>
      <c r="L52" t="str">
        <f>IFERROR(VLOOKUP(I52,[1]AUTOS!$C:$G,4,0),"")</f>
        <v>OCRE</v>
      </c>
      <c r="M52" t="s">
        <v>43</v>
      </c>
      <c r="P52" s="3">
        <v>-800</v>
      </c>
    </row>
    <row r="53" spans="1:16" hidden="1" x14ac:dyDescent="0.3">
      <c r="A53">
        <v>6</v>
      </c>
      <c r="B53" t="str">
        <f>VLOOKUP($A53,[1]LISTA!$B:$C,2,0)</f>
        <v>FEBRERO</v>
      </c>
      <c r="C53" s="1">
        <v>2025</v>
      </c>
      <c r="D53" s="1" t="str">
        <f>IF($A53&lt;=[1]RESULTADOS!$D$6,"YTD","YTG")</f>
        <v>YTD</v>
      </c>
      <c r="E53" t="s">
        <v>31</v>
      </c>
      <c r="F53" t="s">
        <v>18</v>
      </c>
      <c r="G53" t="s">
        <v>77</v>
      </c>
      <c r="H53" t="s">
        <v>78</v>
      </c>
      <c r="I53" t="s">
        <v>67</v>
      </c>
      <c r="J53" t="str">
        <f>IFERROR(VLOOKUP(I53,[1]AUTOS!$C:$G,2,0),"")</f>
        <v>KIA RIO</v>
      </c>
      <c r="K53">
        <f>IFERROR(VLOOKUP(I53,[1]AUTOS!$C:$G,3,0),"")</f>
        <v>2020</v>
      </c>
      <c r="L53" t="str">
        <f>IFERROR(VLOOKUP(I53,[1]AUTOS!$C:$G,4,0),"")</f>
        <v>GRIS</v>
      </c>
      <c r="M53" t="s">
        <v>43</v>
      </c>
      <c r="P53" s="3">
        <v>-800</v>
      </c>
    </row>
    <row r="54" spans="1:16" hidden="1" x14ac:dyDescent="0.3">
      <c r="A54">
        <v>5</v>
      </c>
      <c r="B54" t="str">
        <f>VLOOKUP($A54,[1]LISTA!$B:$C,2,0)</f>
        <v>ENERO</v>
      </c>
      <c r="C54" s="1">
        <v>2025</v>
      </c>
      <c r="D54" s="1" t="str">
        <f>IF($A54&lt;=[1]RESULTADOS!$D$6,"YTD","YTG")</f>
        <v>YTD</v>
      </c>
      <c r="E54" t="s">
        <v>31</v>
      </c>
      <c r="F54" t="s">
        <v>18</v>
      </c>
      <c r="G54" t="s">
        <v>80</v>
      </c>
      <c r="H54" t="s">
        <v>81</v>
      </c>
      <c r="I54" t="s">
        <v>61</v>
      </c>
      <c r="J54" t="str">
        <f>IFERROR(VLOOKUP(I54,[1]AUTOS!$C:$G,2,0),"")</f>
        <v>KIA RIO</v>
      </c>
      <c r="K54">
        <f>IFERROR(VLOOKUP(I54,[1]AUTOS!$C:$G,3,0),"")</f>
        <v>2017</v>
      </c>
      <c r="L54" t="str">
        <f>IFERROR(VLOOKUP(I54,[1]AUTOS!$C:$G,4,0),"")</f>
        <v>ROJO</v>
      </c>
      <c r="M54" t="s">
        <v>35</v>
      </c>
      <c r="P54" s="3">
        <v>-917</v>
      </c>
    </row>
    <row r="55" spans="1:16" x14ac:dyDescent="0.3">
      <c r="A55">
        <v>5</v>
      </c>
      <c r="B55" t="str">
        <f>VLOOKUP($A55,[1]LISTA!$B:$C,2,0)</f>
        <v>ENERO</v>
      </c>
      <c r="C55" s="1">
        <v>2025</v>
      </c>
      <c r="D55" s="1" t="str">
        <f>IF($A55&lt;=[1]RESULTADOS!$D$6,"YTD","YTG")</f>
        <v>YTD</v>
      </c>
      <c r="E55" t="s">
        <v>31</v>
      </c>
      <c r="F55" t="s">
        <v>18</v>
      </c>
      <c r="G55" t="s">
        <v>80</v>
      </c>
      <c r="H55" t="s">
        <v>81</v>
      </c>
      <c r="I55" t="s">
        <v>72</v>
      </c>
      <c r="J55" t="str">
        <f>IFERROR(VLOOKUP(I55,[1]AUTOS!$C:$G,2,0),"")</f>
        <v>VENTO</v>
      </c>
      <c r="K55">
        <f>IFERROR(VLOOKUP(I55,[1]AUTOS!$C:$G,3,0),"")</f>
        <v>2020</v>
      </c>
      <c r="L55" t="str">
        <f>IFERROR(VLOOKUP(I55,[1]AUTOS!$C:$G,4,0),"")</f>
        <v>GRIS</v>
      </c>
      <c r="M55" t="s">
        <v>43</v>
      </c>
      <c r="P55" s="3">
        <v>-731</v>
      </c>
    </row>
    <row r="56" spans="1:16" hidden="1" x14ac:dyDescent="0.3">
      <c r="A56">
        <v>5</v>
      </c>
      <c r="B56" t="str">
        <f>VLOOKUP($A56,[1]LISTA!$B:$C,2,0)</f>
        <v>ENERO</v>
      </c>
      <c r="C56" s="1">
        <v>2025</v>
      </c>
      <c r="D56" s="1" t="str">
        <f>IF($A56&lt;=[1]RESULTADOS!$D$6,"YTD","YTG")</f>
        <v>YTD</v>
      </c>
      <c r="E56" t="s">
        <v>31</v>
      </c>
      <c r="F56" t="s">
        <v>18</v>
      </c>
      <c r="G56" t="s">
        <v>80</v>
      </c>
      <c r="H56" t="s">
        <v>81</v>
      </c>
      <c r="I56" t="s">
        <v>61</v>
      </c>
      <c r="J56" t="str">
        <f>IFERROR(VLOOKUP(I56,[1]AUTOS!$C:$G,2,0),"")</f>
        <v>KIA RIO</v>
      </c>
      <c r="K56">
        <f>IFERROR(VLOOKUP(I56,[1]AUTOS!$C:$G,3,0),"")</f>
        <v>2017</v>
      </c>
      <c r="L56" t="str">
        <f>IFERROR(VLOOKUP(I56,[1]AUTOS!$C:$G,4,0),"")</f>
        <v>ROJO</v>
      </c>
      <c r="M56" t="s">
        <v>35</v>
      </c>
      <c r="P56" s="3">
        <v>-917</v>
      </c>
    </row>
    <row r="57" spans="1:16" hidden="1" x14ac:dyDescent="0.3">
      <c r="A57">
        <v>5</v>
      </c>
      <c r="B57" t="str">
        <f>VLOOKUP($A57,[1]LISTA!$B:$C,2,0)</f>
        <v>ENERO</v>
      </c>
      <c r="C57" s="1">
        <v>2025</v>
      </c>
      <c r="D57" s="1" t="str">
        <f>IF($A57&lt;=[1]RESULTADOS!$D$6,"YTD","YTG")</f>
        <v>YTD</v>
      </c>
      <c r="E57" t="s">
        <v>31</v>
      </c>
      <c r="F57" t="s">
        <v>18</v>
      </c>
      <c r="G57" t="s">
        <v>80</v>
      </c>
      <c r="H57" t="s">
        <v>81</v>
      </c>
      <c r="I57" t="s">
        <v>59</v>
      </c>
      <c r="J57" t="str">
        <f>IFERROR(VLOOKUP(I57,[1]AUTOS!$C:$G,2,0),"")</f>
        <v>AVEO</v>
      </c>
      <c r="K57">
        <f>IFERROR(VLOOKUP(I57,[1]AUTOS!$C:$G,3,0),"")</f>
        <v>2019</v>
      </c>
      <c r="L57" t="str">
        <f>IFERROR(VLOOKUP(I57,[1]AUTOS!$C:$G,4,0),"")</f>
        <v>BLANCO</v>
      </c>
      <c r="M57" t="s">
        <v>43</v>
      </c>
      <c r="P57" s="3">
        <v>-917</v>
      </c>
    </row>
    <row r="58" spans="1:16" hidden="1" x14ac:dyDescent="0.3">
      <c r="A58">
        <v>5</v>
      </c>
      <c r="B58" t="str">
        <f>VLOOKUP($A58,[1]LISTA!$B:$C,2,0)</f>
        <v>ENERO</v>
      </c>
      <c r="C58" s="1">
        <v>2025</v>
      </c>
      <c r="D58" s="1" t="str">
        <f>IF($A58&lt;=[1]RESULTADOS!$D$6,"YTD","YTG")</f>
        <v>YTD</v>
      </c>
      <c r="E58" t="s">
        <v>31</v>
      </c>
      <c r="F58" t="s">
        <v>18</v>
      </c>
      <c r="G58" t="s">
        <v>80</v>
      </c>
      <c r="H58" t="s">
        <v>81</v>
      </c>
      <c r="I58" t="s">
        <v>46</v>
      </c>
      <c r="J58" t="str">
        <f>IFERROR(VLOOKUP(I58,[1]AUTOS!$C:$G,2,0),"")</f>
        <v>MARCH</v>
      </c>
      <c r="K58">
        <f>IFERROR(VLOOKUP(I58,[1]AUTOS!$C:$G,3,0),"")</f>
        <v>2020</v>
      </c>
      <c r="L58" t="str">
        <f>IFERROR(VLOOKUP(I58,[1]AUTOS!$C:$G,4,0),"")</f>
        <v>TURQ</v>
      </c>
      <c r="M58" t="s">
        <v>43</v>
      </c>
      <c r="P58" s="3">
        <v>-731</v>
      </c>
    </row>
    <row r="59" spans="1:16" hidden="1" x14ac:dyDescent="0.3">
      <c r="A59">
        <v>5</v>
      </c>
      <c r="B59" t="str">
        <f>VLOOKUP($A59,[1]LISTA!$B:$C,2,0)</f>
        <v>ENERO</v>
      </c>
      <c r="C59" s="1">
        <v>2025</v>
      </c>
      <c r="D59" s="1" t="str">
        <f>IF($A59&lt;=[1]RESULTADOS!$D$6,"YTD","YTG")</f>
        <v>YTD</v>
      </c>
      <c r="E59" t="s">
        <v>31</v>
      </c>
      <c r="F59" t="s">
        <v>18</v>
      </c>
      <c r="G59" t="s">
        <v>80</v>
      </c>
      <c r="H59" t="s">
        <v>81</v>
      </c>
      <c r="I59" t="s">
        <v>79</v>
      </c>
      <c r="J59" t="str">
        <f>IFERROR(VLOOKUP(I59,[1]AUTOS!$C:$G,2,0),"")</f>
        <v>AVEO</v>
      </c>
      <c r="K59">
        <f>IFERROR(VLOOKUP(I59,[1]AUTOS!$C:$G,3,0),"")</f>
        <v>2021</v>
      </c>
      <c r="L59" t="str">
        <f>IFERROR(VLOOKUP(I59,[1]AUTOS!$C:$G,4,0),"")</f>
        <v>OCRE</v>
      </c>
      <c r="M59" t="s">
        <v>43</v>
      </c>
      <c r="P59" s="3">
        <v>-917</v>
      </c>
    </row>
    <row r="60" spans="1:16" hidden="1" x14ac:dyDescent="0.3">
      <c r="A60">
        <v>5</v>
      </c>
      <c r="B60" t="str">
        <f>VLOOKUP($A60,[1]LISTA!$B:$C,2,0)</f>
        <v>ENERO</v>
      </c>
      <c r="C60" s="1">
        <v>2025</v>
      </c>
      <c r="D60" s="1" t="str">
        <f>IF($A60&lt;=[1]RESULTADOS!$D$6,"YTD","YTG")</f>
        <v>YTD</v>
      </c>
      <c r="E60" t="s">
        <v>31</v>
      </c>
      <c r="F60" t="s">
        <v>18</v>
      </c>
      <c r="G60" t="s">
        <v>80</v>
      </c>
      <c r="H60" t="s">
        <v>81</v>
      </c>
      <c r="I60" t="s">
        <v>67</v>
      </c>
      <c r="J60" t="str">
        <f>IFERROR(VLOOKUP(I60,[1]AUTOS!$C:$G,2,0),"")</f>
        <v>KIA RIO</v>
      </c>
      <c r="K60">
        <f>IFERROR(VLOOKUP(I60,[1]AUTOS!$C:$G,3,0),"")</f>
        <v>2020</v>
      </c>
      <c r="L60" t="str">
        <f>IFERROR(VLOOKUP(I60,[1]AUTOS!$C:$G,4,0),"")</f>
        <v>GRIS</v>
      </c>
      <c r="M60" t="s">
        <v>43</v>
      </c>
      <c r="P60" s="3">
        <v>-917</v>
      </c>
    </row>
    <row r="61" spans="1:16" hidden="1" x14ac:dyDescent="0.3">
      <c r="A61">
        <v>6</v>
      </c>
      <c r="B61" t="str">
        <f>VLOOKUP($A61,[1]LISTA!$B:$C,2,0)</f>
        <v>FEBRERO</v>
      </c>
      <c r="C61" s="1">
        <v>2025</v>
      </c>
      <c r="D61" s="1" t="str">
        <f>IF($A61&lt;=[1]RESULTADOS!$D$6,"YTD","YTG")</f>
        <v>YTD</v>
      </c>
      <c r="E61" t="s">
        <v>31</v>
      </c>
      <c r="F61" t="s">
        <v>18</v>
      </c>
      <c r="G61" t="s">
        <v>80</v>
      </c>
      <c r="H61" t="s">
        <v>81</v>
      </c>
      <c r="I61" t="s">
        <v>34</v>
      </c>
      <c r="J61" t="str">
        <f>IFERROR(VLOOKUP(I61,[1]AUTOS!$C:$G,2,0),"")</f>
        <v>AVEO</v>
      </c>
      <c r="K61">
        <f>IFERROR(VLOOKUP(I61,[1]AUTOS!$C:$G,3,0),"")</f>
        <v>2018</v>
      </c>
      <c r="L61" t="str">
        <f>IFERROR(VLOOKUP(I61,[1]AUTOS!$C:$G,4,0),"")</f>
        <v>ROJO</v>
      </c>
      <c r="M61" t="s">
        <v>35</v>
      </c>
      <c r="P61" s="3">
        <v>-731</v>
      </c>
    </row>
    <row r="62" spans="1:16" hidden="1" x14ac:dyDescent="0.3">
      <c r="A62">
        <v>6</v>
      </c>
      <c r="B62" t="str">
        <f>VLOOKUP($A62,[1]LISTA!$B:$C,2,0)</f>
        <v>FEBRERO</v>
      </c>
      <c r="C62" s="1">
        <v>2025</v>
      </c>
      <c r="D62" s="1" t="str">
        <f>IF($A62&lt;=[1]RESULTADOS!$D$6,"YTD","YTG")</f>
        <v>YTD</v>
      </c>
      <c r="E62" t="s">
        <v>31</v>
      </c>
      <c r="F62" t="s">
        <v>18</v>
      </c>
      <c r="G62" t="s">
        <v>80</v>
      </c>
      <c r="H62" t="s">
        <v>81</v>
      </c>
      <c r="I62" t="s">
        <v>82</v>
      </c>
      <c r="J62" t="str">
        <f>IFERROR(VLOOKUP(I62,[1]AUTOS!$C:$G,2,0),"")</f>
        <v>AVEO</v>
      </c>
      <c r="K62">
        <f>IFERROR(VLOOKUP(I62,[1]AUTOS!$C:$G,3,0),"")</f>
        <v>2019</v>
      </c>
      <c r="L62" t="str">
        <f>IFERROR(VLOOKUP(I62,[1]AUTOS!$C:$G,4,0),"")</f>
        <v>PLATA</v>
      </c>
      <c r="M62" t="s">
        <v>43</v>
      </c>
      <c r="P62" s="3">
        <v>-917</v>
      </c>
    </row>
    <row r="63" spans="1:16" hidden="1" x14ac:dyDescent="0.3">
      <c r="A63">
        <v>6</v>
      </c>
      <c r="B63" t="str">
        <f>VLOOKUP($A63,[1]LISTA!$B:$C,2,0)</f>
        <v>FEBRERO</v>
      </c>
      <c r="C63" s="1">
        <v>2025</v>
      </c>
      <c r="D63" s="1" t="str">
        <f>IF($A63&lt;=[1]RESULTADOS!$D$6,"YTD","YTG")</f>
        <v>YTD</v>
      </c>
      <c r="E63" t="s">
        <v>31</v>
      </c>
      <c r="F63" t="s">
        <v>18</v>
      </c>
      <c r="G63" t="s">
        <v>80</v>
      </c>
      <c r="H63" t="s">
        <v>81</v>
      </c>
      <c r="I63" t="s">
        <v>40</v>
      </c>
      <c r="J63" t="str">
        <f>IFERROR(VLOOKUP(I63,[1]AUTOS!$C:$G,2,0),"")</f>
        <v>VERSA</v>
      </c>
      <c r="K63">
        <f>IFERROR(VLOOKUP(I63,[1]AUTOS!$C:$G,3,0),"")</f>
        <v>2017</v>
      </c>
      <c r="L63" t="str">
        <f>IFERROR(VLOOKUP(I63,[1]AUTOS!$C:$G,4,0),"")</f>
        <v>ACERO</v>
      </c>
      <c r="M63" t="s">
        <v>35</v>
      </c>
      <c r="P63" s="3">
        <v>-731</v>
      </c>
    </row>
    <row r="64" spans="1:16" hidden="1" x14ac:dyDescent="0.3">
      <c r="A64">
        <v>6</v>
      </c>
      <c r="B64" t="str">
        <f>VLOOKUP($A64,[1]LISTA!$B:$C,2,0)</f>
        <v>FEBRERO</v>
      </c>
      <c r="C64" s="1">
        <v>2025</v>
      </c>
      <c r="D64" s="1" t="str">
        <f>IF($A64&lt;=[1]RESULTADOS!$D$6,"YTD","YTG")</f>
        <v>YTD</v>
      </c>
      <c r="E64" t="s">
        <v>31</v>
      </c>
      <c r="F64" t="s">
        <v>18</v>
      </c>
      <c r="G64" t="s">
        <v>80</v>
      </c>
      <c r="H64" t="s">
        <v>81</v>
      </c>
      <c r="I64" t="s">
        <v>76</v>
      </c>
      <c r="J64" t="str">
        <f>IFERROR(VLOOKUP(I64,[1]AUTOS!$C:$G,2,0),"")</f>
        <v>AVEO</v>
      </c>
      <c r="K64">
        <f>IFERROR(VLOOKUP(I64,[1]AUTOS!$C:$G,3,0),"")</f>
        <v>2018</v>
      </c>
      <c r="L64" t="str">
        <f>IFERROR(VLOOKUP(I64,[1]AUTOS!$C:$G,4,0),"")</f>
        <v>GRIS</v>
      </c>
      <c r="M64" t="s">
        <v>43</v>
      </c>
      <c r="P64" s="3">
        <v>-731</v>
      </c>
    </row>
    <row r="65" spans="1:16" hidden="1" x14ac:dyDescent="0.3">
      <c r="A65">
        <v>6</v>
      </c>
      <c r="B65" t="str">
        <f>VLOOKUP($A65,[1]LISTA!$B:$C,2,0)</f>
        <v>FEBRERO</v>
      </c>
      <c r="C65" s="1">
        <v>2025</v>
      </c>
      <c r="D65" s="1" t="str">
        <f>IF($A65&lt;=[1]RESULTADOS!$D$6,"YTD","YTG")</f>
        <v>YTD</v>
      </c>
      <c r="E65" t="s">
        <v>31</v>
      </c>
      <c r="F65" t="s">
        <v>18</v>
      </c>
      <c r="G65" t="s">
        <v>80</v>
      </c>
      <c r="H65" t="s">
        <v>81</v>
      </c>
      <c r="I65" t="s">
        <v>51</v>
      </c>
      <c r="J65" t="str">
        <f>IFERROR(VLOOKUP(I65,[1]AUTOS!$C:$G,2,0),"")</f>
        <v>VENTO</v>
      </c>
      <c r="K65">
        <f>IFERROR(VLOOKUP(I65,[1]AUTOS!$C:$G,3,0),"")</f>
        <v>2017</v>
      </c>
      <c r="L65" t="str">
        <f>IFERROR(VLOOKUP(I65,[1]AUTOS!$C:$G,4,0),"")</f>
        <v>GRIS</v>
      </c>
      <c r="M65" t="s">
        <v>22</v>
      </c>
      <c r="P65" s="3">
        <v>-917</v>
      </c>
    </row>
    <row r="66" spans="1:16" hidden="1" x14ac:dyDescent="0.3">
      <c r="A66">
        <v>9</v>
      </c>
      <c r="B66" t="str">
        <f>VLOOKUP($A66,[1]LISTA!$B:$C,2,0)</f>
        <v>FEBRERO</v>
      </c>
      <c r="C66" s="1">
        <v>2025</v>
      </c>
      <c r="D66" s="1" t="str">
        <f>IF($A66&lt;=[1]RESULTADOS!$D$6,"YTD","YTG")</f>
        <v>YTD</v>
      </c>
      <c r="E66" t="s">
        <v>31</v>
      </c>
      <c r="F66" t="s">
        <v>18</v>
      </c>
      <c r="G66" t="s">
        <v>80</v>
      </c>
      <c r="H66" t="s">
        <v>81</v>
      </c>
      <c r="I66" t="s">
        <v>73</v>
      </c>
      <c r="J66" t="str">
        <f>IFERROR(VLOOKUP(I66,[1]AUTOS!$C:$G,2,0),"")</f>
        <v>VERSA</v>
      </c>
      <c r="K66">
        <f>IFERROR(VLOOKUP(I66,[1]AUTOS!$C:$G,3,0),"")</f>
        <v>2023</v>
      </c>
      <c r="L66" t="str">
        <f>IFERROR(VLOOKUP(I66,[1]AUTOS!$C:$G,4,0),"")</f>
        <v>PLATA</v>
      </c>
      <c r="M66" t="s">
        <v>43</v>
      </c>
      <c r="P66" s="3">
        <v>-917</v>
      </c>
    </row>
    <row r="67" spans="1:16" hidden="1" x14ac:dyDescent="0.3">
      <c r="A67">
        <v>9</v>
      </c>
      <c r="B67" t="str">
        <f>VLOOKUP($A67,[1]LISTA!$B:$C,2,0)</f>
        <v>FEBRERO</v>
      </c>
      <c r="C67" s="1">
        <v>2025</v>
      </c>
      <c r="D67" s="1" t="str">
        <f>IF($A67&lt;=[1]RESULTADOS!$D$6,"YTD","YTG")</f>
        <v>YTD</v>
      </c>
      <c r="E67" t="s">
        <v>31</v>
      </c>
      <c r="F67" t="s">
        <v>18</v>
      </c>
      <c r="G67" t="s">
        <v>80</v>
      </c>
      <c r="H67" t="s">
        <v>81</v>
      </c>
      <c r="I67" t="s">
        <v>61</v>
      </c>
      <c r="J67" t="str">
        <f>IFERROR(VLOOKUP(I67,[1]AUTOS!$C:$G,2,0),"")</f>
        <v>KIA RIO</v>
      </c>
      <c r="K67">
        <f>IFERROR(VLOOKUP(I67,[1]AUTOS!$C:$G,3,0),"")</f>
        <v>2017</v>
      </c>
      <c r="L67" t="str">
        <f>IFERROR(VLOOKUP(I67,[1]AUTOS!$C:$G,4,0),"")</f>
        <v>ROJO</v>
      </c>
      <c r="M67" t="s">
        <v>35</v>
      </c>
      <c r="P67" s="3">
        <v>-731</v>
      </c>
    </row>
    <row r="68" spans="1:16" hidden="1" x14ac:dyDescent="0.3">
      <c r="A68">
        <v>9</v>
      </c>
      <c r="B68" t="str">
        <f>VLOOKUP($A68,[1]LISTA!$B:$C,2,0)</f>
        <v>FEBRERO</v>
      </c>
      <c r="C68" s="1">
        <v>2025</v>
      </c>
      <c r="D68" s="1" t="str">
        <f>IF($A68&lt;=[1]RESULTADOS!$D$6,"YTD","YTG")</f>
        <v>YTD</v>
      </c>
      <c r="E68" t="s">
        <v>31</v>
      </c>
      <c r="F68" t="s">
        <v>18</v>
      </c>
      <c r="G68" t="s">
        <v>80</v>
      </c>
      <c r="H68" t="s">
        <v>81</v>
      </c>
      <c r="I68" t="s">
        <v>37</v>
      </c>
      <c r="J68" t="str">
        <f>IFERROR(VLOOKUP(I68,[1]AUTOS!$C:$G,2,0),"")</f>
        <v>BEAT</v>
      </c>
      <c r="K68">
        <f>IFERROR(VLOOKUP(I68,[1]AUTOS!$C:$G,3,0),"")</f>
        <v>2020</v>
      </c>
      <c r="L68" t="str">
        <f>IFERROR(VLOOKUP(I68,[1]AUTOS!$C:$G,4,0),"")</f>
        <v>GRIS</v>
      </c>
      <c r="M68" t="s">
        <v>35</v>
      </c>
      <c r="P68" s="3">
        <v>-917</v>
      </c>
    </row>
    <row r="69" spans="1:16" hidden="1" x14ac:dyDescent="0.3">
      <c r="A69">
        <v>9</v>
      </c>
      <c r="B69" t="str">
        <f>VLOOKUP($A69,[1]LISTA!$B:$C,2,0)</f>
        <v>FEBRERO</v>
      </c>
      <c r="C69" s="1">
        <v>2025</v>
      </c>
      <c r="D69" s="1" t="str">
        <f>IF($A69&lt;=[1]RESULTADOS!$D$6,"YTD","YTG")</f>
        <v>YTD</v>
      </c>
      <c r="E69" t="s">
        <v>17</v>
      </c>
      <c r="F69" t="s">
        <v>18</v>
      </c>
      <c r="G69" t="s">
        <v>80</v>
      </c>
      <c r="H69" t="s">
        <v>81</v>
      </c>
      <c r="I69" t="s">
        <v>21</v>
      </c>
      <c r="J69" t="str">
        <f>IFERROR(VLOOKUP(I69,[1]AUTOS!$C:$G,2,0),"")</f>
        <v/>
      </c>
      <c r="K69" t="str">
        <f>IFERROR(VLOOKUP(I69,[1]AUTOS!$C:$G,3,0),"")</f>
        <v/>
      </c>
      <c r="L69" t="str">
        <f>IFERROR(VLOOKUP(I69,[1]AUTOS!$C:$G,4,0),"")</f>
        <v/>
      </c>
      <c r="M69" t="s">
        <v>22</v>
      </c>
      <c r="P69" s="3">
        <v>-731</v>
      </c>
    </row>
    <row r="70" spans="1:16" hidden="1" x14ac:dyDescent="0.3">
      <c r="A70">
        <v>9</v>
      </c>
      <c r="B70" t="str">
        <f>VLOOKUP($A70,[1]LISTA!$B:$C,2,0)</f>
        <v>FEBRERO</v>
      </c>
      <c r="C70" s="1">
        <v>2025</v>
      </c>
      <c r="D70" s="1" t="str">
        <f>IF($A70&lt;=[1]RESULTADOS!$D$6,"YTD","YTG")</f>
        <v>YTD</v>
      </c>
      <c r="E70" t="s">
        <v>31</v>
      </c>
      <c r="F70" t="s">
        <v>18</v>
      </c>
      <c r="G70" t="s">
        <v>80</v>
      </c>
      <c r="H70" t="s">
        <v>81</v>
      </c>
      <c r="I70" t="s">
        <v>42</v>
      </c>
      <c r="J70" t="str">
        <f>IFERROR(VLOOKUP(I70,[1]AUTOS!$C:$G,2,0),"")</f>
        <v>VENTO</v>
      </c>
      <c r="K70">
        <f>IFERROR(VLOOKUP(I70,[1]AUTOS!$C:$G,3,0),"")</f>
        <v>2018</v>
      </c>
      <c r="L70" t="str">
        <f>IFERROR(VLOOKUP(I70,[1]AUTOS!$C:$G,4,0),"")</f>
        <v>AMARILLO</v>
      </c>
      <c r="M70" t="s">
        <v>43</v>
      </c>
      <c r="P70" s="3">
        <v>-971</v>
      </c>
    </row>
    <row r="71" spans="1:16" hidden="1" x14ac:dyDescent="0.3">
      <c r="A71">
        <v>4</v>
      </c>
      <c r="B71" t="str">
        <f>VLOOKUP($A71,[1]LISTA!$B:$C,2,0)</f>
        <v>ENERO</v>
      </c>
      <c r="C71" s="1">
        <v>2025</v>
      </c>
      <c r="D71" s="1" t="str">
        <f>IF($A71&lt;=[1]RESULTADOS!$D$6,"YTD","YTG")</f>
        <v>YTD</v>
      </c>
      <c r="E71" t="s">
        <v>31</v>
      </c>
      <c r="F71" t="s">
        <v>18</v>
      </c>
      <c r="G71" t="s">
        <v>83</v>
      </c>
      <c r="H71" t="s">
        <v>84</v>
      </c>
      <c r="I71" t="s">
        <v>61</v>
      </c>
      <c r="J71" t="str">
        <f>IFERROR(VLOOKUP(I71,[1]AUTOS!$C:$G,2,0),"")</f>
        <v>KIA RIO</v>
      </c>
      <c r="K71">
        <f>IFERROR(VLOOKUP(I71,[1]AUTOS!$C:$G,3,0),"")</f>
        <v>2017</v>
      </c>
      <c r="L71" t="str">
        <f>IFERROR(VLOOKUP(I71,[1]AUTOS!$C:$G,4,0),"")</f>
        <v>ROJO</v>
      </c>
      <c r="M71" t="s">
        <v>35</v>
      </c>
      <c r="P71" s="3">
        <v>-1860</v>
      </c>
    </row>
    <row r="72" spans="1:16" hidden="1" x14ac:dyDescent="0.3">
      <c r="A72">
        <v>4</v>
      </c>
      <c r="B72" t="str">
        <f>VLOOKUP($A72,[1]LISTA!$B:$C,2,0)</f>
        <v>ENERO</v>
      </c>
      <c r="C72" s="1">
        <v>2025</v>
      </c>
      <c r="D72" s="1" t="str">
        <f>IF($A72&lt;=[1]RESULTADOS!$D$6,"YTD","YTG")</f>
        <v>YTD</v>
      </c>
      <c r="E72" t="s">
        <v>31</v>
      </c>
      <c r="F72" t="s">
        <v>18</v>
      </c>
      <c r="G72" t="s">
        <v>83</v>
      </c>
      <c r="H72" t="s">
        <v>84</v>
      </c>
      <c r="I72" t="s">
        <v>42</v>
      </c>
      <c r="J72" t="str">
        <f>IFERROR(VLOOKUP(I72,[1]AUTOS!$C:$G,2,0),"")</f>
        <v>VENTO</v>
      </c>
      <c r="K72">
        <f>IFERROR(VLOOKUP(I72,[1]AUTOS!$C:$G,3,0),"")</f>
        <v>2018</v>
      </c>
      <c r="L72" t="str">
        <f>IFERROR(VLOOKUP(I72,[1]AUTOS!$C:$G,4,0),"")</f>
        <v>AMARILLO</v>
      </c>
      <c r="M72" t="s">
        <v>43</v>
      </c>
      <c r="P72" s="3">
        <v>-1860</v>
      </c>
    </row>
    <row r="73" spans="1:16" hidden="1" x14ac:dyDescent="0.3">
      <c r="A73">
        <v>9</v>
      </c>
      <c r="B73" t="str">
        <f>VLOOKUP($A73,[1]LISTA!$B:$C,2,0)</f>
        <v>FEBRERO</v>
      </c>
      <c r="C73" s="1">
        <v>2025</v>
      </c>
      <c r="D73" s="1" t="str">
        <f>IF($A73&lt;=[1]RESULTADOS!$D$6,"YTD","YTG")</f>
        <v>YTD</v>
      </c>
      <c r="E73" t="s">
        <v>17</v>
      </c>
      <c r="F73" t="s">
        <v>18</v>
      </c>
      <c r="G73" t="s">
        <v>27</v>
      </c>
      <c r="H73" t="s">
        <v>85</v>
      </c>
      <c r="I73" t="s">
        <v>21</v>
      </c>
      <c r="J73" t="str">
        <f>IFERROR(VLOOKUP(I73,[1]AUTOS!$C:$G,2,0),"")</f>
        <v/>
      </c>
      <c r="K73" t="str">
        <f>IFERROR(VLOOKUP(I73,[1]AUTOS!$C:$G,3,0),"")</f>
        <v/>
      </c>
      <c r="L73" t="str">
        <f>IFERROR(VLOOKUP(I73,[1]AUTOS!$C:$G,4,0),"")</f>
        <v/>
      </c>
      <c r="M73" t="s">
        <v>22</v>
      </c>
      <c r="P73" s="3">
        <v>-229</v>
      </c>
    </row>
    <row r="74" spans="1:16" hidden="1" x14ac:dyDescent="0.3">
      <c r="A74">
        <v>2</v>
      </c>
      <c r="B74" t="str">
        <f>VLOOKUP($A74,[1]LISTA!$B:$C,2,0)</f>
        <v>ENERO</v>
      </c>
      <c r="C74" s="1">
        <v>2025</v>
      </c>
      <c r="D74" s="1" t="str">
        <f>IF($A74&lt;=[1]RESULTADOS!$D$6,"YTD","YTG")</f>
        <v>YTD</v>
      </c>
      <c r="E74" t="s">
        <v>31</v>
      </c>
      <c r="F74" t="s">
        <v>18</v>
      </c>
      <c r="G74" t="s">
        <v>57</v>
      </c>
      <c r="H74" t="s">
        <v>86</v>
      </c>
      <c r="I74" t="s">
        <v>51</v>
      </c>
      <c r="J74" t="str">
        <f>IFERROR(VLOOKUP(I74,[1]AUTOS!$C:$G,2,0),"")</f>
        <v>VENTO</v>
      </c>
      <c r="K74">
        <f>IFERROR(VLOOKUP(I74,[1]AUTOS!$C:$G,3,0),"")</f>
        <v>2017</v>
      </c>
      <c r="L74" t="str">
        <f>IFERROR(VLOOKUP(I74,[1]AUTOS!$C:$G,4,0),"")</f>
        <v>GRIS</v>
      </c>
      <c r="M74" t="s">
        <v>22</v>
      </c>
      <c r="P74" s="3">
        <v>-700</v>
      </c>
    </row>
    <row r="75" spans="1:16" hidden="1" x14ac:dyDescent="0.3">
      <c r="A75">
        <v>4</v>
      </c>
      <c r="B75" t="str">
        <f>VLOOKUP($A75,[1]LISTA!$B:$C,2,0)</f>
        <v>ENERO</v>
      </c>
      <c r="C75" s="1">
        <v>2025</v>
      </c>
      <c r="D75" s="1" t="str">
        <f>IF($A75&lt;=[1]RESULTADOS!$D$6,"YTD","YTG")</f>
        <v>YTD</v>
      </c>
      <c r="E75" t="s">
        <v>17</v>
      </c>
      <c r="F75" t="s">
        <v>18</v>
      </c>
      <c r="G75" t="s">
        <v>29</v>
      </c>
      <c r="H75" t="s">
        <v>30</v>
      </c>
      <c r="I75" t="s">
        <v>21</v>
      </c>
      <c r="J75" t="str">
        <f>IFERROR(VLOOKUP(I75,[1]AUTOS!$C:$G,2,0),"")</f>
        <v/>
      </c>
      <c r="K75" t="str">
        <f>IFERROR(VLOOKUP(I75,[1]AUTOS!$C:$G,3,0),"")</f>
        <v/>
      </c>
      <c r="L75" t="str">
        <f>IFERROR(VLOOKUP(I75,[1]AUTOS!$C:$G,4,0),"")</f>
        <v/>
      </c>
      <c r="M75" t="s">
        <v>22</v>
      </c>
      <c r="P75" s="3">
        <v>-500</v>
      </c>
    </row>
    <row r="76" spans="1:16" hidden="1" x14ac:dyDescent="0.3">
      <c r="A76">
        <v>5</v>
      </c>
      <c r="B76" t="str">
        <f>VLOOKUP($A76,[1]LISTA!$B:$C,2,0)</f>
        <v>ENERO</v>
      </c>
      <c r="C76" s="1">
        <v>2025</v>
      </c>
      <c r="D76" s="1" t="str">
        <f>IF($A76&lt;=[1]RESULTADOS!$D$6,"YTD","YTG")</f>
        <v>YTD</v>
      </c>
      <c r="E76" t="s">
        <v>17</v>
      </c>
      <c r="F76" t="s">
        <v>18</v>
      </c>
      <c r="G76" t="s">
        <v>29</v>
      </c>
      <c r="H76" t="s">
        <v>30</v>
      </c>
      <c r="I76" t="s">
        <v>21</v>
      </c>
      <c r="J76" t="str">
        <f>IFERROR(VLOOKUP(I76,[1]AUTOS!$C:$G,2,0),"")</f>
        <v/>
      </c>
      <c r="K76" t="str">
        <f>IFERROR(VLOOKUP(I76,[1]AUTOS!$C:$G,3,0),"")</f>
        <v/>
      </c>
      <c r="L76" t="str">
        <f>IFERROR(VLOOKUP(I76,[1]AUTOS!$C:$G,4,0),"")</f>
        <v/>
      </c>
      <c r="M76" t="s">
        <v>22</v>
      </c>
      <c r="P76" s="3">
        <v>-500</v>
      </c>
    </row>
    <row r="77" spans="1:16" hidden="1" x14ac:dyDescent="0.3">
      <c r="A77">
        <v>4</v>
      </c>
      <c r="B77" t="str">
        <f>VLOOKUP($A77,[1]LISTA!$B:$C,2,0)</f>
        <v>ENERO</v>
      </c>
      <c r="C77" s="1">
        <v>2025</v>
      </c>
      <c r="D77" s="1" t="str">
        <f>IF($A77&lt;=[1]RESULTADOS!$D$6,"YTD","YTG")</f>
        <v>YTD</v>
      </c>
      <c r="E77" t="s">
        <v>31</v>
      </c>
      <c r="F77" t="s">
        <v>18</v>
      </c>
      <c r="G77" t="s">
        <v>87</v>
      </c>
      <c r="H77" t="s">
        <v>88</v>
      </c>
      <c r="I77" t="s">
        <v>37</v>
      </c>
      <c r="J77" t="str">
        <f>IFERROR(VLOOKUP(I77,[1]AUTOS!$C:$G,2,0),"")</f>
        <v>BEAT</v>
      </c>
      <c r="K77">
        <f>IFERROR(VLOOKUP(I77,[1]AUTOS!$C:$G,3,0),"")</f>
        <v>2020</v>
      </c>
      <c r="L77" t="str">
        <f>IFERROR(VLOOKUP(I77,[1]AUTOS!$C:$G,4,0),"")</f>
        <v>GRIS</v>
      </c>
      <c r="M77" t="s">
        <v>35</v>
      </c>
      <c r="P77" s="3">
        <v>-400</v>
      </c>
    </row>
    <row r="78" spans="1:16" hidden="1" x14ac:dyDescent="0.3">
      <c r="A78">
        <v>4</v>
      </c>
      <c r="B78" t="str">
        <f>VLOOKUP($A78,[1]LISTA!$B:$C,2,0)</f>
        <v>ENERO</v>
      </c>
      <c r="C78" s="1">
        <v>2025</v>
      </c>
      <c r="D78" s="1" t="str">
        <f>IF($A78&lt;=[1]RESULTADOS!$D$6,"YTD","YTG")</f>
        <v>YTD</v>
      </c>
      <c r="E78" t="s">
        <v>31</v>
      </c>
      <c r="F78" t="s">
        <v>18</v>
      </c>
      <c r="G78" t="s">
        <v>29</v>
      </c>
      <c r="H78" t="s">
        <v>89</v>
      </c>
      <c r="I78" t="s">
        <v>37</v>
      </c>
      <c r="J78" t="str">
        <f>IFERROR(VLOOKUP(I78,[1]AUTOS!$C:$G,2,0),"")</f>
        <v>BEAT</v>
      </c>
      <c r="K78">
        <f>IFERROR(VLOOKUP(I78,[1]AUTOS!$C:$G,3,0),"")</f>
        <v>2020</v>
      </c>
      <c r="L78" t="str">
        <f>IFERROR(VLOOKUP(I78,[1]AUTOS!$C:$G,4,0),"")</f>
        <v>GRIS</v>
      </c>
      <c r="M78" t="s">
        <v>35</v>
      </c>
      <c r="P78" s="3">
        <v>-200</v>
      </c>
    </row>
    <row r="79" spans="1:16" hidden="1" x14ac:dyDescent="0.3">
      <c r="A79">
        <v>4</v>
      </c>
      <c r="B79" t="str">
        <f>VLOOKUP($A79,[1]LISTA!$B:$C,2,0)</f>
        <v>ENERO</v>
      </c>
      <c r="C79" s="1">
        <v>2025</v>
      </c>
      <c r="D79" s="1" t="str">
        <f>IF($A79&lt;=[1]RESULTADOS!$D$6,"YTD","YTG")</f>
        <v>YTD</v>
      </c>
      <c r="E79" t="s">
        <v>17</v>
      </c>
      <c r="F79" t="s">
        <v>18</v>
      </c>
      <c r="G79" t="s">
        <v>69</v>
      </c>
      <c r="H79" t="s">
        <v>90</v>
      </c>
      <c r="I79" t="s">
        <v>21</v>
      </c>
      <c r="J79" t="str">
        <f>IFERROR(VLOOKUP(I79,[1]AUTOS!$C:$G,2,0),"")</f>
        <v/>
      </c>
      <c r="K79" t="str">
        <f>IFERROR(VLOOKUP(I79,[1]AUTOS!$C:$G,3,0),"")</f>
        <v/>
      </c>
      <c r="L79" t="str">
        <f>IFERROR(VLOOKUP(I79,[1]AUTOS!$C:$G,4,0),"")</f>
        <v/>
      </c>
      <c r="M79" t="s">
        <v>22</v>
      </c>
      <c r="P79" s="3">
        <v>-190</v>
      </c>
    </row>
    <row r="80" spans="1:16" hidden="1" x14ac:dyDescent="0.3">
      <c r="A80">
        <v>4</v>
      </c>
      <c r="B80" t="str">
        <f>VLOOKUP($A80,[1]LISTA!$B:$C,2,0)</f>
        <v>ENERO</v>
      </c>
      <c r="C80" s="1">
        <v>2025</v>
      </c>
      <c r="D80" s="1" t="str">
        <f>IF($A80&lt;=[1]RESULTADOS!$D$6,"YTD","YTG")</f>
        <v>YTD</v>
      </c>
      <c r="E80" t="s">
        <v>31</v>
      </c>
      <c r="F80" t="s">
        <v>18</v>
      </c>
      <c r="G80" t="s">
        <v>64</v>
      </c>
      <c r="H80" t="s">
        <v>91</v>
      </c>
      <c r="I80" t="s">
        <v>73</v>
      </c>
      <c r="J80" t="str">
        <f>IFERROR(VLOOKUP(I80,[1]AUTOS!$C:$G,2,0),"")</f>
        <v>VERSA</v>
      </c>
      <c r="K80">
        <f>IFERROR(VLOOKUP(I80,[1]AUTOS!$C:$G,3,0),"")</f>
        <v>2023</v>
      </c>
      <c r="L80" t="str">
        <f>IFERROR(VLOOKUP(I80,[1]AUTOS!$C:$G,4,0),"")</f>
        <v>PLATA</v>
      </c>
      <c r="M80" t="s">
        <v>43</v>
      </c>
      <c r="P80" s="3">
        <v>-220</v>
      </c>
    </row>
    <row r="81" spans="1:16" hidden="1" x14ac:dyDescent="0.3">
      <c r="A81">
        <v>4</v>
      </c>
      <c r="B81" t="str">
        <f>VLOOKUP($A81,[1]LISTA!$B:$C,2,0)</f>
        <v>ENERO</v>
      </c>
      <c r="C81" s="1">
        <v>2025</v>
      </c>
      <c r="D81" s="1" t="str">
        <f>IF($A81&lt;=[1]RESULTADOS!$D$6,"YTD","YTG")</f>
        <v>YTD</v>
      </c>
      <c r="E81" t="s">
        <v>31</v>
      </c>
      <c r="F81" t="s">
        <v>18</v>
      </c>
      <c r="G81" t="s">
        <v>64</v>
      </c>
      <c r="H81" t="s">
        <v>65</v>
      </c>
      <c r="I81" t="s">
        <v>61</v>
      </c>
      <c r="J81" t="str">
        <f>IFERROR(VLOOKUP(I81,[1]AUTOS!$C:$G,2,0),"")</f>
        <v>KIA RIO</v>
      </c>
      <c r="K81">
        <f>IFERROR(VLOOKUP(I81,[1]AUTOS!$C:$G,3,0),"")</f>
        <v>2017</v>
      </c>
      <c r="L81" t="str">
        <f>IFERROR(VLOOKUP(I81,[1]AUTOS!$C:$G,4,0),"")</f>
        <v>ROJO</v>
      </c>
      <c r="M81" t="s">
        <v>35</v>
      </c>
      <c r="P81" s="3">
        <v>-800</v>
      </c>
    </row>
    <row r="82" spans="1:16" hidden="1" x14ac:dyDescent="0.3">
      <c r="A82">
        <v>4</v>
      </c>
      <c r="B82" t="str">
        <f>VLOOKUP($A82,[1]LISTA!$B:$C,2,0)</f>
        <v>ENERO</v>
      </c>
      <c r="C82" s="1">
        <v>2025</v>
      </c>
      <c r="D82" s="1" t="str">
        <f>IF($A82&lt;=[1]RESULTADOS!$D$6,"YTD","YTG")</f>
        <v>YTD</v>
      </c>
      <c r="E82" t="s">
        <v>31</v>
      </c>
      <c r="F82" t="s">
        <v>18</v>
      </c>
      <c r="G82" t="s">
        <v>92</v>
      </c>
      <c r="H82" t="s">
        <v>93</v>
      </c>
      <c r="I82" t="s">
        <v>61</v>
      </c>
      <c r="J82" t="str">
        <f>IFERROR(VLOOKUP(I82,[1]AUTOS!$C:$G,2,0),"")</f>
        <v>KIA RIO</v>
      </c>
      <c r="K82">
        <f>IFERROR(VLOOKUP(I82,[1]AUTOS!$C:$G,3,0),"")</f>
        <v>2017</v>
      </c>
      <c r="L82" t="str">
        <f>IFERROR(VLOOKUP(I82,[1]AUTOS!$C:$G,4,0),"")</f>
        <v>ROJO</v>
      </c>
      <c r="M82" t="s">
        <v>35</v>
      </c>
      <c r="P82" s="3">
        <v>-700</v>
      </c>
    </row>
    <row r="83" spans="1:16" hidden="1" x14ac:dyDescent="0.3">
      <c r="A83">
        <v>5</v>
      </c>
      <c r="B83" t="str">
        <f>VLOOKUP($A83,[1]LISTA!$B:$C,2,0)</f>
        <v>ENERO</v>
      </c>
      <c r="C83" s="1">
        <v>2025</v>
      </c>
      <c r="D83" s="1" t="str">
        <f>IF($A83&lt;=[1]RESULTADOS!$D$6,"YTD","YTG")</f>
        <v>YTD</v>
      </c>
      <c r="E83" t="s">
        <v>17</v>
      </c>
      <c r="F83" t="s">
        <v>18</v>
      </c>
      <c r="G83" t="s">
        <v>32</v>
      </c>
      <c r="H83" t="s">
        <v>94</v>
      </c>
      <c r="I83" t="s">
        <v>21</v>
      </c>
      <c r="J83" t="str">
        <f>IFERROR(VLOOKUP(I83,[1]AUTOS!$C:$G,2,0),"")</f>
        <v/>
      </c>
      <c r="K83" t="str">
        <f>IFERROR(VLOOKUP(I83,[1]AUTOS!$C:$G,3,0),"")</f>
        <v/>
      </c>
      <c r="L83" t="str">
        <f>IFERROR(VLOOKUP(I83,[1]AUTOS!$C:$G,4,0),"")</f>
        <v/>
      </c>
      <c r="M83" t="s">
        <v>22</v>
      </c>
      <c r="P83" s="3">
        <v>-1950</v>
      </c>
    </row>
    <row r="84" spans="1:16" hidden="1" x14ac:dyDescent="0.3">
      <c r="A84">
        <v>5</v>
      </c>
      <c r="B84" t="str">
        <f>VLOOKUP($A84,[1]LISTA!$B:$C,2,0)</f>
        <v>ENERO</v>
      </c>
      <c r="C84" s="1">
        <v>2025</v>
      </c>
      <c r="D84" s="1" t="str">
        <f>IF($A84&lt;=[1]RESULTADOS!$D$6,"YTD","YTG")</f>
        <v>YTD</v>
      </c>
      <c r="E84" t="s">
        <v>17</v>
      </c>
      <c r="F84" t="s">
        <v>18</v>
      </c>
      <c r="G84" t="s">
        <v>57</v>
      </c>
      <c r="H84" t="s">
        <v>95</v>
      </c>
      <c r="I84" t="s">
        <v>21</v>
      </c>
      <c r="J84" t="str">
        <f>IFERROR(VLOOKUP(I84,[1]AUTOS!$C:$G,2,0),"")</f>
        <v/>
      </c>
      <c r="K84" t="str">
        <f>IFERROR(VLOOKUP(I84,[1]AUTOS!$C:$G,3,0),"")</f>
        <v/>
      </c>
      <c r="L84" t="str">
        <f>IFERROR(VLOOKUP(I84,[1]AUTOS!$C:$G,4,0),"")</f>
        <v/>
      </c>
      <c r="M84" t="s">
        <v>22</v>
      </c>
      <c r="P84" s="3">
        <v>-40</v>
      </c>
    </row>
    <row r="85" spans="1:16" hidden="1" x14ac:dyDescent="0.3">
      <c r="A85">
        <v>5</v>
      </c>
      <c r="B85" t="str">
        <f>VLOOKUP($A85,[1]LISTA!$B:$C,2,0)</f>
        <v>ENERO</v>
      </c>
      <c r="C85" s="1">
        <v>2025</v>
      </c>
      <c r="D85" s="1" t="str">
        <f>IF($A85&lt;=[1]RESULTADOS!$D$6,"YTD","YTG")</f>
        <v>YTD</v>
      </c>
      <c r="E85" t="s">
        <v>17</v>
      </c>
      <c r="F85" t="s">
        <v>18</v>
      </c>
      <c r="G85" t="s">
        <v>32</v>
      </c>
      <c r="H85" t="s">
        <v>96</v>
      </c>
      <c r="I85" t="s">
        <v>21</v>
      </c>
      <c r="J85" t="str">
        <f>IFERROR(VLOOKUP(I85,[1]AUTOS!$C:$G,2,0),"")</f>
        <v/>
      </c>
      <c r="K85" t="str">
        <f>IFERROR(VLOOKUP(I85,[1]AUTOS!$C:$G,3,0),"")</f>
        <v/>
      </c>
      <c r="L85" t="str">
        <f>IFERROR(VLOOKUP(I85,[1]AUTOS!$C:$G,4,0),"")</f>
        <v/>
      </c>
      <c r="M85" t="s">
        <v>22</v>
      </c>
      <c r="P85" s="3">
        <v>-200</v>
      </c>
    </row>
    <row r="86" spans="1:16" hidden="1" x14ac:dyDescent="0.3">
      <c r="A86">
        <v>5</v>
      </c>
      <c r="B86" t="str">
        <f>VLOOKUP($A86,[1]LISTA!$B:$C,2,0)</f>
        <v>ENERO</v>
      </c>
      <c r="C86" s="1">
        <v>2025</v>
      </c>
      <c r="D86" s="1" t="str">
        <f>IF($A86&lt;=[1]RESULTADOS!$D$6,"YTD","YTG")</f>
        <v>YTD</v>
      </c>
      <c r="E86" t="s">
        <v>17</v>
      </c>
      <c r="F86" t="s">
        <v>18</v>
      </c>
      <c r="G86" t="s">
        <v>32</v>
      </c>
      <c r="H86" t="s">
        <v>97</v>
      </c>
      <c r="I86" t="s">
        <v>21</v>
      </c>
      <c r="J86" t="str">
        <f>IFERROR(VLOOKUP(I86,[1]AUTOS!$C:$G,2,0),"")</f>
        <v/>
      </c>
      <c r="K86" t="str">
        <f>IFERROR(VLOOKUP(I86,[1]AUTOS!$C:$G,3,0),"")</f>
        <v/>
      </c>
      <c r="L86" t="str">
        <f>IFERROR(VLOOKUP(I86,[1]AUTOS!$C:$G,4,0),"")</f>
        <v/>
      </c>
      <c r="M86" t="s">
        <v>22</v>
      </c>
      <c r="P86" s="3">
        <v>-6660</v>
      </c>
    </row>
    <row r="87" spans="1:16" hidden="1" x14ac:dyDescent="0.3">
      <c r="A87">
        <v>5</v>
      </c>
      <c r="B87" t="str">
        <f>VLOOKUP($A87,[1]LISTA!$B:$C,2,0)</f>
        <v>ENERO</v>
      </c>
      <c r="C87" s="1">
        <v>2025</v>
      </c>
      <c r="D87" s="1" t="str">
        <f>IF($A87&lt;=[1]RESULTADOS!$D$6,"YTD","YTG")</f>
        <v>YTD</v>
      </c>
      <c r="E87" t="s">
        <v>17</v>
      </c>
      <c r="F87" t="s">
        <v>18</v>
      </c>
      <c r="G87" t="s">
        <v>29</v>
      </c>
      <c r="H87" t="s">
        <v>98</v>
      </c>
      <c r="I87" t="s">
        <v>21</v>
      </c>
      <c r="J87" t="str">
        <f>IFERROR(VLOOKUP(I87,[1]AUTOS!$C:$G,2,0),"")</f>
        <v/>
      </c>
      <c r="K87" t="str">
        <f>IFERROR(VLOOKUP(I87,[1]AUTOS!$C:$G,3,0),"")</f>
        <v/>
      </c>
      <c r="L87" t="str">
        <f>IFERROR(VLOOKUP(I87,[1]AUTOS!$C:$G,4,0),"")</f>
        <v/>
      </c>
      <c r="M87" t="s">
        <v>22</v>
      </c>
      <c r="P87" s="3">
        <v>-481.8</v>
      </c>
    </row>
    <row r="88" spans="1:16" hidden="1" x14ac:dyDescent="0.3">
      <c r="A88">
        <v>4</v>
      </c>
      <c r="B88" t="str">
        <f>VLOOKUP($A88,[1]LISTA!$B:$C,2,0)</f>
        <v>ENERO</v>
      </c>
      <c r="C88" s="1">
        <v>2025</v>
      </c>
      <c r="D88" s="1" t="str">
        <f>IF($A88&lt;=[1]RESULTADOS!$D$6,"YTD","YTG")</f>
        <v>YTD</v>
      </c>
      <c r="E88" t="s">
        <v>31</v>
      </c>
      <c r="F88" t="s">
        <v>18</v>
      </c>
      <c r="G88" t="s">
        <v>92</v>
      </c>
      <c r="H88" t="s">
        <v>99</v>
      </c>
      <c r="I88" t="s">
        <v>37</v>
      </c>
      <c r="J88" t="str">
        <f>IFERROR(VLOOKUP(I88,[1]AUTOS!$C:$G,2,0),"")</f>
        <v>BEAT</v>
      </c>
      <c r="K88">
        <f>IFERROR(VLOOKUP(I88,[1]AUTOS!$C:$G,3,0),"")</f>
        <v>2020</v>
      </c>
      <c r="L88" t="str">
        <f>IFERROR(VLOOKUP(I88,[1]AUTOS!$C:$G,4,0),"")</f>
        <v>GRIS</v>
      </c>
      <c r="M88" t="s">
        <v>35</v>
      </c>
      <c r="P88" s="3">
        <v>-300</v>
      </c>
    </row>
    <row r="89" spans="1:16" hidden="1" x14ac:dyDescent="0.3">
      <c r="A89">
        <v>4</v>
      </c>
      <c r="B89" t="str">
        <f>VLOOKUP($A89,[1]LISTA!$B:$C,2,0)</f>
        <v>ENERO</v>
      </c>
      <c r="C89" s="1">
        <v>2025</v>
      </c>
      <c r="D89" s="1" t="str">
        <f>IF($A89&lt;=[1]RESULTADOS!$D$6,"YTD","YTG")</f>
        <v>YTD</v>
      </c>
      <c r="E89" t="s">
        <v>31</v>
      </c>
      <c r="F89" t="s">
        <v>18</v>
      </c>
      <c r="G89" t="s">
        <v>92</v>
      </c>
      <c r="H89" t="s">
        <v>100</v>
      </c>
      <c r="I89" t="s">
        <v>37</v>
      </c>
      <c r="J89" t="str">
        <f>IFERROR(VLOOKUP(I89,[1]AUTOS!$C:$G,2,0),"")</f>
        <v>BEAT</v>
      </c>
      <c r="K89">
        <f>IFERROR(VLOOKUP(I89,[1]AUTOS!$C:$G,3,0),"")</f>
        <v>2020</v>
      </c>
      <c r="L89" t="str">
        <f>IFERROR(VLOOKUP(I89,[1]AUTOS!$C:$G,4,0),"")</f>
        <v>GRIS</v>
      </c>
      <c r="M89" t="s">
        <v>35</v>
      </c>
      <c r="P89" s="3">
        <v>-1000</v>
      </c>
    </row>
    <row r="90" spans="1:16" hidden="1" x14ac:dyDescent="0.3">
      <c r="A90">
        <v>5</v>
      </c>
      <c r="B90" t="str">
        <f>VLOOKUP($A90,[1]LISTA!$B:$C,2,0)</f>
        <v>ENERO</v>
      </c>
      <c r="C90" s="1">
        <v>2025</v>
      </c>
      <c r="D90" s="1" t="str">
        <f>IF($A90&lt;=[1]RESULTADOS!$D$6,"YTD","YTG")</f>
        <v>YTD</v>
      </c>
      <c r="E90" t="s">
        <v>31</v>
      </c>
      <c r="F90" t="s">
        <v>18</v>
      </c>
      <c r="G90" t="s">
        <v>29</v>
      </c>
      <c r="H90" t="s">
        <v>101</v>
      </c>
      <c r="I90" t="s">
        <v>102</v>
      </c>
      <c r="J90" t="str">
        <f>IFERROR(VLOOKUP(I90,[1]AUTOS!$C:$G,2,0),"")</f>
        <v>AVEO</v>
      </c>
      <c r="K90">
        <f>IFERROR(VLOOKUP(I90,[1]AUTOS!$C:$G,3,0),"")</f>
        <v>2022</v>
      </c>
      <c r="L90" t="str">
        <f>IFERROR(VLOOKUP(I90,[1]AUTOS!$C:$G,4,0),"")</f>
        <v>AZUL</v>
      </c>
      <c r="M90" t="s">
        <v>43</v>
      </c>
      <c r="P90" s="3">
        <v>-1500</v>
      </c>
    </row>
    <row r="91" spans="1:16" hidden="1" x14ac:dyDescent="0.3">
      <c r="A91">
        <v>5</v>
      </c>
      <c r="B91" t="str">
        <f>VLOOKUP($A91,[1]LISTA!$B:$C,2,0)</f>
        <v>ENERO</v>
      </c>
      <c r="C91" s="1">
        <v>2025</v>
      </c>
      <c r="D91" s="1" t="str">
        <f>IF($A91&lt;=[1]RESULTADOS!$D$6,"YTD","YTG")</f>
        <v>YTD</v>
      </c>
      <c r="E91" t="s">
        <v>17</v>
      </c>
      <c r="F91" t="s">
        <v>18</v>
      </c>
      <c r="G91" t="s">
        <v>38</v>
      </c>
      <c r="H91" t="s">
        <v>103</v>
      </c>
      <c r="I91" t="s">
        <v>21</v>
      </c>
      <c r="J91" t="str">
        <f>IFERROR(VLOOKUP(I91,[1]AUTOS!$C:$G,2,0),"")</f>
        <v/>
      </c>
      <c r="K91" t="str">
        <f>IFERROR(VLOOKUP(I91,[1]AUTOS!$C:$G,3,0),"")</f>
        <v/>
      </c>
      <c r="L91" t="str">
        <f>IFERROR(VLOOKUP(I91,[1]AUTOS!$C:$G,4,0),"")</f>
        <v/>
      </c>
      <c r="M91" t="s">
        <v>22</v>
      </c>
      <c r="P91" s="3">
        <v>-1780</v>
      </c>
    </row>
    <row r="92" spans="1:16" hidden="1" x14ac:dyDescent="0.3">
      <c r="A92">
        <v>6</v>
      </c>
      <c r="B92" t="str">
        <f>VLOOKUP($A92,[1]LISTA!$B:$C,2,0)</f>
        <v>FEBRERO</v>
      </c>
      <c r="C92" s="1">
        <v>2025</v>
      </c>
      <c r="D92" s="1" t="str">
        <f>IF($A92&lt;=[1]RESULTADOS!$D$6,"YTD","YTG")</f>
        <v>YTD</v>
      </c>
      <c r="E92" t="s">
        <v>31</v>
      </c>
      <c r="F92" t="s">
        <v>18</v>
      </c>
      <c r="G92" t="s">
        <v>53</v>
      </c>
      <c r="H92" t="s">
        <v>104</v>
      </c>
      <c r="I92" t="s">
        <v>61</v>
      </c>
      <c r="J92" t="str">
        <f>IFERROR(VLOOKUP(I92,[1]AUTOS!$C:$G,2,0),"")</f>
        <v>KIA RIO</v>
      </c>
      <c r="K92">
        <f>IFERROR(VLOOKUP(I92,[1]AUTOS!$C:$G,3,0),"")</f>
        <v>2017</v>
      </c>
      <c r="L92" t="str">
        <f>IFERROR(VLOOKUP(I92,[1]AUTOS!$C:$G,4,0),"")</f>
        <v>ROJO</v>
      </c>
      <c r="M92" t="s">
        <v>35</v>
      </c>
      <c r="P92" s="3">
        <v>-85</v>
      </c>
    </row>
    <row r="93" spans="1:16" hidden="1" x14ac:dyDescent="0.3">
      <c r="A93">
        <v>6</v>
      </c>
      <c r="B93" t="str">
        <f>VLOOKUP($A93,[1]LISTA!$B:$C,2,0)</f>
        <v>FEBRERO</v>
      </c>
      <c r="C93" s="1">
        <v>2025</v>
      </c>
      <c r="D93" s="1" t="str">
        <f>IF($A93&lt;=[1]RESULTADOS!$D$6,"YTD","YTG")</f>
        <v>YTD</v>
      </c>
      <c r="E93" t="s">
        <v>17</v>
      </c>
      <c r="F93" t="s">
        <v>18</v>
      </c>
      <c r="G93" t="s">
        <v>38</v>
      </c>
      <c r="H93" t="s">
        <v>105</v>
      </c>
      <c r="I93" t="s">
        <v>21</v>
      </c>
      <c r="J93" t="str">
        <f>IFERROR(VLOOKUP(I93,[1]AUTOS!$C:$G,2,0),"")</f>
        <v/>
      </c>
      <c r="K93" t="str">
        <f>IFERROR(VLOOKUP(I93,[1]AUTOS!$C:$G,3,0),"")</f>
        <v/>
      </c>
      <c r="L93" t="str">
        <f>IFERROR(VLOOKUP(I93,[1]AUTOS!$C:$G,4,0),"")</f>
        <v/>
      </c>
      <c r="M93" t="s">
        <v>22</v>
      </c>
      <c r="P93" s="3">
        <v>-600</v>
      </c>
    </row>
    <row r="94" spans="1:16" hidden="1" x14ac:dyDescent="0.3">
      <c r="A94">
        <v>6</v>
      </c>
      <c r="B94" t="str">
        <f>VLOOKUP($A94,[1]LISTA!$B:$C,2,0)</f>
        <v>FEBRERO</v>
      </c>
      <c r="C94" s="1">
        <v>2025</v>
      </c>
      <c r="D94" s="1" t="str">
        <f>IF($A94&lt;=[1]RESULTADOS!$D$6,"YTD","YTG")</f>
        <v>YTD</v>
      </c>
      <c r="E94" t="s">
        <v>17</v>
      </c>
      <c r="F94" t="s">
        <v>18</v>
      </c>
      <c r="G94" t="s">
        <v>57</v>
      </c>
      <c r="H94" t="s">
        <v>106</v>
      </c>
      <c r="I94" t="s">
        <v>21</v>
      </c>
      <c r="J94" t="str">
        <f>IFERROR(VLOOKUP(I94,[1]AUTOS!$C:$G,2,0),"")</f>
        <v/>
      </c>
      <c r="K94" t="str">
        <f>IFERROR(VLOOKUP(I94,[1]AUTOS!$C:$G,3,0),"")</f>
        <v/>
      </c>
      <c r="L94" t="str">
        <f>IFERROR(VLOOKUP(I94,[1]AUTOS!$C:$G,4,0),"")</f>
        <v/>
      </c>
      <c r="M94" t="s">
        <v>22</v>
      </c>
      <c r="P94" s="3">
        <v>-610</v>
      </c>
    </row>
    <row r="95" spans="1:16" hidden="1" x14ac:dyDescent="0.3">
      <c r="A95">
        <v>6</v>
      </c>
      <c r="B95" t="str">
        <f>VLOOKUP($A95,[1]LISTA!$B:$C,2,0)</f>
        <v>FEBRERO</v>
      </c>
      <c r="C95" s="1">
        <v>2025</v>
      </c>
      <c r="D95" s="1" t="str">
        <f>IF($A95&lt;=[1]RESULTADOS!$D$6,"YTD","YTG")</f>
        <v>YTD</v>
      </c>
      <c r="E95" t="s">
        <v>17</v>
      </c>
      <c r="F95" t="s">
        <v>18</v>
      </c>
      <c r="G95" t="s">
        <v>19</v>
      </c>
      <c r="H95" t="s">
        <v>107</v>
      </c>
      <c r="I95" t="s">
        <v>21</v>
      </c>
      <c r="J95" t="str">
        <f>IFERROR(VLOOKUP(I95,[1]AUTOS!$C:$G,2,0),"")</f>
        <v/>
      </c>
      <c r="K95" t="str">
        <f>IFERROR(VLOOKUP(I95,[1]AUTOS!$C:$G,3,0),"")</f>
        <v/>
      </c>
      <c r="L95" t="str">
        <f>IFERROR(VLOOKUP(I95,[1]AUTOS!$C:$G,4,0),"")</f>
        <v/>
      </c>
      <c r="M95" t="s">
        <v>22</v>
      </c>
      <c r="P95" s="3">
        <v>-7177.7342857142794</v>
      </c>
    </row>
    <row r="96" spans="1:16" hidden="1" x14ac:dyDescent="0.3">
      <c r="A96">
        <v>6</v>
      </c>
      <c r="B96" t="str">
        <f>VLOOKUP($A96,[1]LISTA!$B:$C,2,0)</f>
        <v>FEBRERO</v>
      </c>
      <c r="C96" s="1">
        <v>2025</v>
      </c>
      <c r="D96" s="1" t="str">
        <f>IF($A96&lt;=[1]RESULTADOS!$D$6,"YTD","YTG")</f>
        <v>YTD</v>
      </c>
      <c r="E96" t="s">
        <v>31</v>
      </c>
      <c r="F96" t="s">
        <v>18</v>
      </c>
      <c r="G96" t="s">
        <v>29</v>
      </c>
      <c r="H96" t="s">
        <v>108</v>
      </c>
      <c r="I96" t="s">
        <v>37</v>
      </c>
      <c r="J96" t="str">
        <f>IFERROR(VLOOKUP(I96,[1]AUTOS!$C:$G,2,0),"")</f>
        <v>BEAT</v>
      </c>
      <c r="K96">
        <f>IFERROR(VLOOKUP(I96,[1]AUTOS!$C:$G,3,0),"")</f>
        <v>2020</v>
      </c>
      <c r="L96" t="str">
        <f>IFERROR(VLOOKUP(I96,[1]AUTOS!$C:$G,4,0),"")</f>
        <v>GRIS</v>
      </c>
      <c r="M96" t="s">
        <v>35</v>
      </c>
      <c r="P96" s="3">
        <v>-200</v>
      </c>
    </row>
    <row r="97" spans="1:16" hidden="1" x14ac:dyDescent="0.3">
      <c r="A97">
        <v>6</v>
      </c>
      <c r="B97" t="str">
        <f>VLOOKUP($A97,[1]LISTA!$B:$C,2,0)</f>
        <v>FEBRERO</v>
      </c>
      <c r="C97" s="1">
        <v>2025</v>
      </c>
      <c r="D97" s="1" t="str">
        <f>IF($A97&lt;=[1]RESULTADOS!$D$6,"YTD","YTG")</f>
        <v>YTD</v>
      </c>
      <c r="E97" t="s">
        <v>31</v>
      </c>
      <c r="F97" t="s">
        <v>18</v>
      </c>
      <c r="G97" t="s">
        <v>25</v>
      </c>
      <c r="H97" t="s">
        <v>109</v>
      </c>
      <c r="I97" t="s">
        <v>37</v>
      </c>
      <c r="J97" t="str">
        <f>IFERROR(VLOOKUP(I97,[1]AUTOS!$C:$G,2,0),"")</f>
        <v>BEAT</v>
      </c>
      <c r="K97">
        <f>IFERROR(VLOOKUP(I97,[1]AUTOS!$C:$G,3,0),"")</f>
        <v>2020</v>
      </c>
      <c r="L97" t="str">
        <f>IFERROR(VLOOKUP(I97,[1]AUTOS!$C:$G,4,0),"")</f>
        <v>GRIS</v>
      </c>
      <c r="M97" t="s">
        <v>35</v>
      </c>
      <c r="P97" s="3">
        <v>-50</v>
      </c>
    </row>
    <row r="98" spans="1:16" hidden="1" x14ac:dyDescent="0.3">
      <c r="A98">
        <v>6</v>
      </c>
      <c r="B98" t="str">
        <f>VLOOKUP($A98,[1]LISTA!$B:$C,2,0)</f>
        <v>FEBRERO</v>
      </c>
      <c r="C98" s="1">
        <v>2025</v>
      </c>
      <c r="D98" s="1" t="str">
        <f>IF($A98&lt;=[1]RESULTADOS!$D$6,"YTD","YTG")</f>
        <v>YTD</v>
      </c>
      <c r="E98" t="s">
        <v>31</v>
      </c>
      <c r="F98" t="s">
        <v>18</v>
      </c>
      <c r="G98" t="s">
        <v>25</v>
      </c>
      <c r="H98" t="s">
        <v>109</v>
      </c>
      <c r="I98" t="s">
        <v>61</v>
      </c>
      <c r="J98" t="str">
        <f>IFERROR(VLOOKUP(I98,[1]AUTOS!$C:$G,2,0),"")</f>
        <v>KIA RIO</v>
      </c>
      <c r="K98">
        <f>IFERROR(VLOOKUP(I98,[1]AUTOS!$C:$G,3,0),"")</f>
        <v>2017</v>
      </c>
      <c r="L98" t="str">
        <f>IFERROR(VLOOKUP(I98,[1]AUTOS!$C:$G,4,0),"")</f>
        <v>ROJO</v>
      </c>
      <c r="M98" t="s">
        <v>35</v>
      </c>
      <c r="P98" s="3">
        <v>-50</v>
      </c>
    </row>
    <row r="99" spans="1:16" hidden="1" x14ac:dyDescent="0.3">
      <c r="A99">
        <v>6</v>
      </c>
      <c r="B99" t="str">
        <f>VLOOKUP($A99,[1]LISTA!$B:$C,2,0)</f>
        <v>FEBRERO</v>
      </c>
      <c r="C99" s="1">
        <v>2025</v>
      </c>
      <c r="D99" s="1" t="str">
        <f>IF($A99&lt;=[1]RESULTADOS!$D$6,"YTD","YTG")</f>
        <v>YTD</v>
      </c>
      <c r="E99" t="s">
        <v>31</v>
      </c>
      <c r="F99" t="s">
        <v>18</v>
      </c>
      <c r="G99" t="s">
        <v>29</v>
      </c>
      <c r="H99" t="s">
        <v>110</v>
      </c>
      <c r="I99" t="s">
        <v>76</v>
      </c>
      <c r="J99" t="str">
        <f>IFERROR(VLOOKUP(I99,[1]AUTOS!$C:$G,2,0),"")</f>
        <v>AVEO</v>
      </c>
      <c r="K99">
        <f>IFERROR(VLOOKUP(I99,[1]AUTOS!$C:$G,3,0),"")</f>
        <v>2018</v>
      </c>
      <c r="L99" t="str">
        <f>IFERROR(VLOOKUP(I99,[1]AUTOS!$C:$G,4,0),"")</f>
        <v>GRIS</v>
      </c>
      <c r="M99" t="s">
        <v>43</v>
      </c>
      <c r="P99" s="3">
        <v>-300</v>
      </c>
    </row>
    <row r="100" spans="1:16" hidden="1" x14ac:dyDescent="0.3">
      <c r="A100">
        <v>6</v>
      </c>
      <c r="B100" t="str">
        <f>VLOOKUP($A100,[1]LISTA!$B:$C,2,0)</f>
        <v>FEBRERO</v>
      </c>
      <c r="C100" s="1">
        <v>2025</v>
      </c>
      <c r="D100" s="1" t="str">
        <f>IF($A100&lt;=[1]RESULTADOS!$D$6,"YTD","YTG")</f>
        <v>YTD</v>
      </c>
      <c r="E100" t="s">
        <v>31</v>
      </c>
      <c r="F100" t="s">
        <v>18</v>
      </c>
      <c r="G100" t="s">
        <v>48</v>
      </c>
      <c r="H100" t="s">
        <v>111</v>
      </c>
      <c r="I100" t="s">
        <v>112</v>
      </c>
      <c r="J100" t="str">
        <f>IFERROR(VLOOKUP(I100,[1]AUTOS!$C:$G,2,0),"")</f>
        <v>KIA RIO</v>
      </c>
      <c r="K100">
        <f>IFERROR(VLOOKUP(I100,[1]AUTOS!$C:$G,3,0),"")</f>
        <v>2020</v>
      </c>
      <c r="L100" t="str">
        <f>IFERROR(VLOOKUP(I100,[1]AUTOS!$C:$G,4,0),"")</f>
        <v>ROJO</v>
      </c>
      <c r="M100" t="s">
        <v>43</v>
      </c>
      <c r="P100" s="3">
        <v>-200</v>
      </c>
    </row>
    <row r="101" spans="1:16" hidden="1" x14ac:dyDescent="0.3">
      <c r="A101">
        <v>6</v>
      </c>
      <c r="B101" t="str">
        <f>VLOOKUP($A101,[1]LISTA!$B:$C,2,0)</f>
        <v>FEBRERO</v>
      </c>
      <c r="C101" s="1">
        <v>2025</v>
      </c>
      <c r="D101" s="1" t="str">
        <f>IF($A101&lt;=[1]RESULTADOS!$D$6,"YTD","YTG")</f>
        <v>YTD</v>
      </c>
      <c r="E101" t="s">
        <v>31</v>
      </c>
      <c r="F101" t="s">
        <v>18</v>
      </c>
      <c r="G101" t="s">
        <v>29</v>
      </c>
      <c r="H101" t="s">
        <v>113</v>
      </c>
      <c r="I101" t="s">
        <v>73</v>
      </c>
      <c r="J101" t="str">
        <f>IFERROR(VLOOKUP(I101,[1]AUTOS!$C:$G,2,0),"")</f>
        <v>VERSA</v>
      </c>
      <c r="K101">
        <f>IFERROR(VLOOKUP(I101,[1]AUTOS!$C:$G,3,0),"")</f>
        <v>2023</v>
      </c>
      <c r="L101" t="str">
        <f>IFERROR(VLOOKUP(I101,[1]AUTOS!$C:$G,4,0),"")</f>
        <v>PLATA</v>
      </c>
      <c r="M101" t="s">
        <v>43</v>
      </c>
      <c r="P101" s="3">
        <v>-500</v>
      </c>
    </row>
    <row r="102" spans="1:16" hidden="1" x14ac:dyDescent="0.3">
      <c r="A102">
        <v>6</v>
      </c>
      <c r="B102" t="str">
        <f>VLOOKUP($A102,[1]LISTA!$B:$C,2,0)</f>
        <v>FEBRERO</v>
      </c>
      <c r="C102" s="1">
        <v>2025</v>
      </c>
      <c r="D102" s="1" t="str">
        <f>IF($A102&lt;=[1]RESULTADOS!$D$6,"YTD","YTG")</f>
        <v>YTD</v>
      </c>
      <c r="E102" t="s">
        <v>17</v>
      </c>
      <c r="F102" t="s">
        <v>18</v>
      </c>
      <c r="G102" t="s">
        <v>19</v>
      </c>
      <c r="H102" t="s">
        <v>114</v>
      </c>
      <c r="I102" t="s">
        <v>21</v>
      </c>
      <c r="J102" t="str">
        <f>IFERROR(VLOOKUP(I102,[1]AUTOS!$C:$G,2,0),"")</f>
        <v/>
      </c>
      <c r="K102" t="str">
        <f>IFERROR(VLOOKUP(I102,[1]AUTOS!$C:$G,3,0),"")</f>
        <v/>
      </c>
      <c r="L102" t="str">
        <f>IFERROR(VLOOKUP(I102,[1]AUTOS!$C:$G,4,0),"")</f>
        <v/>
      </c>
      <c r="M102" t="s">
        <v>22</v>
      </c>
      <c r="P102" s="3">
        <v>-509</v>
      </c>
    </row>
    <row r="103" spans="1:16" hidden="1" x14ac:dyDescent="0.3">
      <c r="A103">
        <v>6</v>
      </c>
      <c r="B103" t="str">
        <f>VLOOKUP($A103,[1]LISTA!$B:$C,2,0)</f>
        <v>FEBRERO</v>
      </c>
      <c r="C103" s="1">
        <v>2025</v>
      </c>
      <c r="D103" s="1" t="str">
        <f>IF($A103&lt;=[1]RESULTADOS!$D$6,"YTD","YTG")</f>
        <v>YTD</v>
      </c>
      <c r="E103" t="s">
        <v>31</v>
      </c>
      <c r="F103" t="s">
        <v>18</v>
      </c>
      <c r="G103" t="s">
        <v>115</v>
      </c>
      <c r="H103" t="s">
        <v>115</v>
      </c>
      <c r="I103" t="s">
        <v>116</v>
      </c>
      <c r="J103" t="str">
        <f>IFERROR(VLOOKUP(I103,[1]AUTOS!$C:$G,2,0),"")</f>
        <v>AVEO</v>
      </c>
      <c r="K103">
        <f>IFERROR(VLOOKUP(I103,[1]AUTOS!$C:$G,3,0),"")</f>
        <v>2022</v>
      </c>
      <c r="L103" t="str">
        <f>IFERROR(VLOOKUP(I103,[1]AUTOS!$C:$G,4,0),"")</f>
        <v>AZUL</v>
      </c>
      <c r="M103" t="s">
        <v>43</v>
      </c>
      <c r="P103" s="3">
        <v>-1200</v>
      </c>
    </row>
    <row r="104" spans="1:16" hidden="1" x14ac:dyDescent="0.3">
      <c r="A104">
        <v>6</v>
      </c>
      <c r="B104" t="str">
        <f>VLOOKUP($A104,[1]LISTA!$B:$C,2,0)</f>
        <v>FEBRERO</v>
      </c>
      <c r="C104" s="1">
        <v>2025</v>
      </c>
      <c r="D104" s="1" t="str">
        <f>IF($A104&lt;=[1]RESULTADOS!$D$6,"YTD","YTG")</f>
        <v>YTD</v>
      </c>
      <c r="E104" t="s">
        <v>17</v>
      </c>
      <c r="F104" t="s">
        <v>18</v>
      </c>
      <c r="G104" t="s">
        <v>29</v>
      </c>
      <c r="H104" t="s">
        <v>30</v>
      </c>
      <c r="I104" t="s">
        <v>21</v>
      </c>
      <c r="J104" t="str">
        <f>IFERROR(VLOOKUP(I104,[1]AUTOS!$C:$G,2,0),"")</f>
        <v/>
      </c>
      <c r="K104" t="str">
        <f>IFERROR(VLOOKUP(I104,[1]AUTOS!$C:$G,3,0),"")</f>
        <v/>
      </c>
      <c r="L104" t="str">
        <f>IFERROR(VLOOKUP(I104,[1]AUTOS!$C:$G,4,0),"")</f>
        <v/>
      </c>
      <c r="M104" t="s">
        <v>22</v>
      </c>
      <c r="P104" s="3">
        <v>-500</v>
      </c>
    </row>
    <row r="105" spans="1:16" hidden="1" x14ac:dyDescent="0.3">
      <c r="A105">
        <v>6</v>
      </c>
      <c r="B105" t="str">
        <f>VLOOKUP($A105,[1]LISTA!$B:$C,2,0)</f>
        <v>FEBRERO</v>
      </c>
      <c r="C105" s="1">
        <v>2025</v>
      </c>
      <c r="D105" s="1" t="str">
        <f>IF($A105&lt;=[1]RESULTADOS!$D$6,"YTD","YTG")</f>
        <v>YTD</v>
      </c>
      <c r="E105" t="s">
        <v>31</v>
      </c>
      <c r="F105" t="s">
        <v>18</v>
      </c>
      <c r="G105" t="s">
        <v>57</v>
      </c>
      <c r="H105" t="s">
        <v>117</v>
      </c>
      <c r="I105" t="s">
        <v>67</v>
      </c>
      <c r="J105" t="str">
        <f>IFERROR(VLOOKUP(I105,[1]AUTOS!$C:$G,2,0),"")</f>
        <v>KIA RIO</v>
      </c>
      <c r="K105">
        <f>IFERROR(VLOOKUP(I105,[1]AUTOS!$C:$G,3,0),"")</f>
        <v>2020</v>
      </c>
      <c r="L105" t="str">
        <f>IFERROR(VLOOKUP(I105,[1]AUTOS!$C:$G,4,0),"")</f>
        <v>GRIS</v>
      </c>
      <c r="M105" t="s">
        <v>43</v>
      </c>
      <c r="P105" s="3">
        <v>-3000</v>
      </c>
    </row>
    <row r="106" spans="1:16" hidden="1" x14ac:dyDescent="0.3">
      <c r="A106">
        <v>6</v>
      </c>
      <c r="B106" t="str">
        <f>VLOOKUP($A106,[1]LISTA!$B:$C,2,0)</f>
        <v>FEBRERO</v>
      </c>
      <c r="C106" s="1">
        <v>2025</v>
      </c>
      <c r="D106" s="1" t="str">
        <f>IF($A106&lt;=[1]RESULTADOS!$D$6,"YTD","YTG")</f>
        <v>YTD</v>
      </c>
      <c r="E106" t="s">
        <v>17</v>
      </c>
      <c r="F106" t="s">
        <v>18</v>
      </c>
      <c r="G106" t="s">
        <v>19</v>
      </c>
      <c r="H106" t="s">
        <v>118</v>
      </c>
      <c r="I106" t="s">
        <v>21</v>
      </c>
      <c r="J106" t="str">
        <f>IFERROR(VLOOKUP(I106,[1]AUTOS!$C:$G,2,0),"")</f>
        <v/>
      </c>
      <c r="K106" t="str">
        <f>IFERROR(VLOOKUP(I106,[1]AUTOS!$C:$G,3,0),"")</f>
        <v/>
      </c>
      <c r="L106" t="str">
        <f>IFERROR(VLOOKUP(I106,[1]AUTOS!$C:$G,4,0),"")</f>
        <v/>
      </c>
      <c r="M106" t="s">
        <v>22</v>
      </c>
      <c r="P106" s="3">
        <v>-500</v>
      </c>
    </row>
    <row r="107" spans="1:16" hidden="1" x14ac:dyDescent="0.3">
      <c r="A107">
        <v>6</v>
      </c>
      <c r="B107" t="str">
        <f>VLOOKUP($A107,[1]LISTA!$B:$C,2,0)</f>
        <v>FEBRERO</v>
      </c>
      <c r="C107" s="1">
        <v>2025</v>
      </c>
      <c r="D107" s="1" t="str">
        <f>IF($A107&lt;=[1]RESULTADOS!$D$6,"YTD","YTG")</f>
        <v>YTD</v>
      </c>
      <c r="E107" t="s">
        <v>17</v>
      </c>
      <c r="F107" t="s">
        <v>18</v>
      </c>
      <c r="G107" t="s">
        <v>19</v>
      </c>
      <c r="H107" t="s">
        <v>119</v>
      </c>
      <c r="I107" t="s">
        <v>21</v>
      </c>
      <c r="J107" t="str">
        <f>IFERROR(VLOOKUP(I107,[1]AUTOS!$C:$G,2,0),"")</f>
        <v/>
      </c>
      <c r="K107" t="str">
        <f>IFERROR(VLOOKUP(I107,[1]AUTOS!$C:$G,3,0),"")</f>
        <v/>
      </c>
      <c r="L107" t="str">
        <f>IFERROR(VLOOKUP(I107,[1]AUTOS!$C:$G,4,0),"")</f>
        <v/>
      </c>
      <c r="M107" t="s">
        <v>22</v>
      </c>
      <c r="P107" s="3">
        <v>-1445</v>
      </c>
    </row>
    <row r="108" spans="1:16" hidden="1" x14ac:dyDescent="0.3">
      <c r="A108">
        <v>6</v>
      </c>
      <c r="B108" t="str">
        <f>VLOOKUP($A108,[1]LISTA!$B:$C,2,0)</f>
        <v>FEBRERO</v>
      </c>
      <c r="C108" s="1">
        <v>2025</v>
      </c>
      <c r="D108" s="1" t="str">
        <f>IF($A108&lt;=[1]RESULTADOS!$D$6,"YTD","YTG")</f>
        <v>YTD</v>
      </c>
      <c r="E108" t="s">
        <v>17</v>
      </c>
      <c r="F108" t="s">
        <v>18</v>
      </c>
      <c r="G108" t="s">
        <v>19</v>
      </c>
      <c r="H108" t="s">
        <v>114</v>
      </c>
      <c r="I108" t="s">
        <v>21</v>
      </c>
      <c r="J108" t="str">
        <f>IFERROR(VLOOKUP(I108,[1]AUTOS!$C:$G,2,0),"")</f>
        <v/>
      </c>
      <c r="K108" t="str">
        <f>IFERROR(VLOOKUP(I108,[1]AUTOS!$C:$G,3,0),"")</f>
        <v/>
      </c>
      <c r="L108" t="str">
        <f>IFERROR(VLOOKUP(I108,[1]AUTOS!$C:$G,4,0),"")</f>
        <v/>
      </c>
      <c r="M108" t="s">
        <v>22</v>
      </c>
      <c r="P108" s="3">
        <v>-500</v>
      </c>
    </row>
    <row r="109" spans="1:16" hidden="1" x14ac:dyDescent="0.3">
      <c r="A109">
        <v>6</v>
      </c>
      <c r="B109" t="str">
        <f>VLOOKUP($A109,[1]LISTA!$B:$C,2,0)</f>
        <v>FEBRERO</v>
      </c>
      <c r="C109" s="1">
        <v>2025</v>
      </c>
      <c r="D109" s="1" t="str">
        <f>IF($A109&lt;=[1]RESULTADOS!$D$6,"YTD","YTG")</f>
        <v>YTD</v>
      </c>
      <c r="E109" t="s">
        <v>31</v>
      </c>
      <c r="F109" t="s">
        <v>18</v>
      </c>
      <c r="G109" t="s">
        <v>57</v>
      </c>
      <c r="H109" t="s">
        <v>120</v>
      </c>
      <c r="I109" t="s">
        <v>67</v>
      </c>
      <c r="J109" t="str">
        <f>IFERROR(VLOOKUP(I109,[1]AUTOS!$C:$G,2,0),"")</f>
        <v>KIA RIO</v>
      </c>
      <c r="K109">
        <f>IFERROR(VLOOKUP(I109,[1]AUTOS!$C:$G,3,0),"")</f>
        <v>2020</v>
      </c>
      <c r="L109" t="str">
        <f>IFERROR(VLOOKUP(I109,[1]AUTOS!$C:$G,4,0),"")</f>
        <v>GRIS</v>
      </c>
      <c r="M109" t="s">
        <v>43</v>
      </c>
      <c r="P109" s="3">
        <v>-1220</v>
      </c>
    </row>
    <row r="110" spans="1:16" hidden="1" x14ac:dyDescent="0.3">
      <c r="A110">
        <v>7</v>
      </c>
      <c r="B110" t="str">
        <f>VLOOKUP($A110,[1]LISTA!$B:$C,2,0)</f>
        <v>FEBRERO</v>
      </c>
      <c r="C110" s="1">
        <v>2025</v>
      </c>
      <c r="D110" s="1" t="str">
        <f>IF($A110&lt;=[1]RESULTADOS!$D$6,"YTD","YTG")</f>
        <v>YTD</v>
      </c>
      <c r="E110" t="s">
        <v>31</v>
      </c>
      <c r="F110" t="s">
        <v>18</v>
      </c>
      <c r="G110" t="s">
        <v>57</v>
      </c>
      <c r="H110" t="s">
        <v>121</v>
      </c>
      <c r="I110" t="s">
        <v>40</v>
      </c>
      <c r="J110" t="str">
        <f>IFERROR(VLOOKUP(I110,[1]AUTOS!$C:$G,2,0),"")</f>
        <v>VERSA</v>
      </c>
      <c r="K110">
        <f>IFERROR(VLOOKUP(I110,[1]AUTOS!$C:$G,3,0),"")</f>
        <v>2017</v>
      </c>
      <c r="L110" t="str">
        <f>IFERROR(VLOOKUP(I110,[1]AUTOS!$C:$G,4,0),"")</f>
        <v>ACERO</v>
      </c>
      <c r="M110" t="s">
        <v>35</v>
      </c>
      <c r="P110" s="3">
        <v>-530</v>
      </c>
    </row>
    <row r="111" spans="1:16" hidden="1" x14ac:dyDescent="0.3">
      <c r="A111">
        <v>7</v>
      </c>
      <c r="B111" t="str">
        <f>VLOOKUP($A111,[1]LISTA!$B:$C,2,0)</f>
        <v>FEBRERO</v>
      </c>
      <c r="C111" s="1">
        <v>2025</v>
      </c>
      <c r="D111" s="1" t="str">
        <f>IF($A111&lt;=[1]RESULTADOS!$D$6,"YTD","YTG")</f>
        <v>YTD</v>
      </c>
      <c r="E111" t="s">
        <v>31</v>
      </c>
      <c r="F111" t="s">
        <v>18</v>
      </c>
      <c r="G111" t="s">
        <v>29</v>
      </c>
      <c r="H111" t="s">
        <v>122</v>
      </c>
      <c r="I111" t="s">
        <v>51</v>
      </c>
      <c r="J111" t="str">
        <f>IFERROR(VLOOKUP(I111,[1]AUTOS!$C:$G,2,0),"")</f>
        <v>VENTO</v>
      </c>
      <c r="K111">
        <f>IFERROR(VLOOKUP(I111,[1]AUTOS!$C:$G,3,0),"")</f>
        <v>2017</v>
      </c>
      <c r="L111" t="str">
        <f>IFERROR(VLOOKUP(I111,[1]AUTOS!$C:$G,4,0),"")</f>
        <v>GRIS</v>
      </c>
      <c r="M111" t="s">
        <v>22</v>
      </c>
      <c r="P111" s="3">
        <v>-200</v>
      </c>
    </row>
    <row r="112" spans="1:16" hidden="1" x14ac:dyDescent="0.3">
      <c r="A112">
        <v>7</v>
      </c>
      <c r="B112" t="str">
        <f>VLOOKUP($A112,[1]LISTA!$B:$C,2,0)</f>
        <v>FEBRERO</v>
      </c>
      <c r="C112" s="1">
        <v>2025</v>
      </c>
      <c r="D112" s="1" t="str">
        <f>IF($A112&lt;=[1]RESULTADOS!$D$6,"YTD","YTG")</f>
        <v>YTD</v>
      </c>
      <c r="E112" t="s">
        <v>31</v>
      </c>
      <c r="F112" t="s">
        <v>18</v>
      </c>
      <c r="G112" t="s">
        <v>57</v>
      </c>
      <c r="H112" t="s">
        <v>123</v>
      </c>
      <c r="I112" t="s">
        <v>51</v>
      </c>
      <c r="J112" t="str">
        <f>IFERROR(VLOOKUP(I112,[1]AUTOS!$C:$G,2,0),"")</f>
        <v>VENTO</v>
      </c>
      <c r="K112">
        <f>IFERROR(VLOOKUP(I112,[1]AUTOS!$C:$G,3,0),"")</f>
        <v>2017</v>
      </c>
      <c r="L112" t="str">
        <f>IFERROR(VLOOKUP(I112,[1]AUTOS!$C:$G,4,0),"")</f>
        <v>GRIS</v>
      </c>
      <c r="M112" t="s">
        <v>22</v>
      </c>
      <c r="P112" s="3">
        <v>-96</v>
      </c>
    </row>
    <row r="113" spans="1:16" hidden="1" x14ac:dyDescent="0.3">
      <c r="A113">
        <v>7</v>
      </c>
      <c r="B113" t="str">
        <f>VLOOKUP($A113,[1]LISTA!$B:$C,2,0)</f>
        <v>FEBRERO</v>
      </c>
      <c r="C113" s="1">
        <v>2025</v>
      </c>
      <c r="D113" s="1" t="str">
        <f>IF($A113&lt;=[1]RESULTADOS!$D$6,"YTD","YTG")</f>
        <v>YTD</v>
      </c>
      <c r="E113" t="s">
        <v>31</v>
      </c>
      <c r="F113" t="s">
        <v>18</v>
      </c>
      <c r="G113" t="s">
        <v>57</v>
      </c>
      <c r="H113" t="s">
        <v>75</v>
      </c>
      <c r="I113" t="s">
        <v>40</v>
      </c>
      <c r="J113" t="str">
        <f>IFERROR(VLOOKUP(I113,[1]AUTOS!$C:$G,2,0),"")</f>
        <v>VERSA</v>
      </c>
      <c r="K113">
        <f>IFERROR(VLOOKUP(I113,[1]AUTOS!$C:$G,3,0),"")</f>
        <v>2017</v>
      </c>
      <c r="L113" t="str">
        <f>IFERROR(VLOOKUP(I113,[1]AUTOS!$C:$G,4,0),"")</f>
        <v>ACERO</v>
      </c>
      <c r="M113" t="s">
        <v>35</v>
      </c>
      <c r="P113" s="3">
        <v>-347</v>
      </c>
    </row>
    <row r="114" spans="1:16" hidden="1" x14ac:dyDescent="0.3">
      <c r="A114">
        <v>7</v>
      </c>
      <c r="B114" t="str">
        <f>VLOOKUP($A114,[1]LISTA!$B:$C,2,0)</f>
        <v>FEBRERO</v>
      </c>
      <c r="C114" s="1">
        <v>2025</v>
      </c>
      <c r="D114" s="1" t="str">
        <f>IF($A114&lt;=[1]RESULTADOS!$D$6,"YTD","YTG")</f>
        <v>YTD</v>
      </c>
      <c r="E114" t="s">
        <v>31</v>
      </c>
      <c r="F114" t="s">
        <v>18</v>
      </c>
      <c r="G114" t="s">
        <v>77</v>
      </c>
      <c r="H114" t="s">
        <v>78</v>
      </c>
      <c r="I114" t="s">
        <v>116</v>
      </c>
      <c r="J114" t="str">
        <f>IFERROR(VLOOKUP(I114,[1]AUTOS!$C:$G,2,0),"")</f>
        <v>AVEO</v>
      </c>
      <c r="K114">
        <f>IFERROR(VLOOKUP(I114,[1]AUTOS!$C:$G,3,0),"")</f>
        <v>2022</v>
      </c>
      <c r="L114" t="str">
        <f>IFERROR(VLOOKUP(I114,[1]AUTOS!$C:$G,4,0),"")</f>
        <v>AZUL</v>
      </c>
      <c r="M114" t="s">
        <v>43</v>
      </c>
      <c r="P114" s="3">
        <v>-700</v>
      </c>
    </row>
    <row r="115" spans="1:16" hidden="1" x14ac:dyDescent="0.3">
      <c r="A115">
        <v>7</v>
      </c>
      <c r="B115" t="str">
        <f>VLOOKUP($A115,[1]LISTA!$B:$C,2,0)</f>
        <v>FEBRERO</v>
      </c>
      <c r="C115" s="1">
        <v>2025</v>
      </c>
      <c r="D115" s="1" t="str">
        <f>IF($A115&lt;=[1]RESULTADOS!$D$6,"YTD","YTG")</f>
        <v>YTD</v>
      </c>
      <c r="E115" t="s">
        <v>31</v>
      </c>
      <c r="F115" t="s">
        <v>18</v>
      </c>
      <c r="G115" t="s">
        <v>57</v>
      </c>
      <c r="H115" t="s">
        <v>124</v>
      </c>
      <c r="I115" t="s">
        <v>116</v>
      </c>
      <c r="J115" t="str">
        <f>IFERROR(VLOOKUP(I115,[1]AUTOS!$C:$G,2,0),"")</f>
        <v>AVEO</v>
      </c>
      <c r="K115">
        <f>IFERROR(VLOOKUP(I115,[1]AUTOS!$C:$G,3,0),"")</f>
        <v>2022</v>
      </c>
      <c r="L115" t="str">
        <f>IFERROR(VLOOKUP(I115,[1]AUTOS!$C:$G,4,0),"")</f>
        <v>AZUL</v>
      </c>
      <c r="M115" t="s">
        <v>43</v>
      </c>
      <c r="P115" s="3">
        <v>-50</v>
      </c>
    </row>
    <row r="116" spans="1:16" hidden="1" x14ac:dyDescent="0.3">
      <c r="A116">
        <v>7</v>
      </c>
      <c r="B116" t="str">
        <f>VLOOKUP($A116,[1]LISTA!$B:$C,2,0)</f>
        <v>FEBRERO</v>
      </c>
      <c r="C116" s="1">
        <v>2025</v>
      </c>
      <c r="D116" s="1" t="str">
        <f>IF($A116&lt;=[1]RESULTADOS!$D$6,"YTD","YTG")</f>
        <v>YTD</v>
      </c>
      <c r="E116" t="s">
        <v>17</v>
      </c>
      <c r="F116" t="s">
        <v>18</v>
      </c>
      <c r="G116" t="s">
        <v>29</v>
      </c>
      <c r="H116" t="s">
        <v>125</v>
      </c>
      <c r="I116" t="s">
        <v>21</v>
      </c>
      <c r="J116" t="str">
        <f>IFERROR(VLOOKUP(I116,[1]AUTOS!$C:$G,2,0),"")</f>
        <v/>
      </c>
      <c r="K116" t="str">
        <f>IFERROR(VLOOKUP(I116,[1]AUTOS!$C:$G,3,0),"")</f>
        <v/>
      </c>
      <c r="L116" t="str">
        <f>IFERROR(VLOOKUP(I116,[1]AUTOS!$C:$G,4,0),"")</f>
        <v/>
      </c>
      <c r="M116" t="s">
        <v>22</v>
      </c>
      <c r="P116" s="3">
        <v>-827.33</v>
      </c>
    </row>
    <row r="117" spans="1:16" hidden="1" x14ac:dyDescent="0.3">
      <c r="A117">
        <v>7</v>
      </c>
      <c r="B117" t="str">
        <f>VLOOKUP($A117,[1]LISTA!$B:$C,2,0)</f>
        <v>FEBRERO</v>
      </c>
      <c r="C117" s="1">
        <v>2025</v>
      </c>
      <c r="D117" s="1" t="str">
        <f>IF($A117&lt;=[1]RESULTADOS!$D$6,"YTD","YTG")</f>
        <v>YTD</v>
      </c>
      <c r="E117" t="s">
        <v>31</v>
      </c>
      <c r="F117" t="s">
        <v>18</v>
      </c>
      <c r="G117" t="s">
        <v>29</v>
      </c>
      <c r="H117" t="s">
        <v>113</v>
      </c>
      <c r="I117" t="s">
        <v>40</v>
      </c>
      <c r="J117" t="str">
        <f>IFERROR(VLOOKUP(I117,[1]AUTOS!$C:$G,2,0),"")</f>
        <v>VERSA</v>
      </c>
      <c r="K117">
        <f>IFERROR(VLOOKUP(I117,[1]AUTOS!$C:$G,3,0),"")</f>
        <v>2017</v>
      </c>
      <c r="L117" t="str">
        <f>IFERROR(VLOOKUP(I117,[1]AUTOS!$C:$G,4,0),"")</f>
        <v>ACERO</v>
      </c>
      <c r="M117" t="s">
        <v>35</v>
      </c>
      <c r="P117" s="3">
        <v>-500</v>
      </c>
    </row>
    <row r="118" spans="1:16" x14ac:dyDescent="0.3">
      <c r="A118">
        <v>7</v>
      </c>
      <c r="B118" t="str">
        <f>VLOOKUP($A118,[1]LISTA!$B:$C,2,0)</f>
        <v>FEBRERO</v>
      </c>
      <c r="C118" s="1">
        <v>2025</v>
      </c>
      <c r="D118" s="1" t="str">
        <f>IF($A118&lt;=[1]RESULTADOS!$D$6,"YTD","YTG")</f>
        <v>YTD</v>
      </c>
      <c r="E118" t="s">
        <v>31</v>
      </c>
      <c r="F118" t="s">
        <v>18</v>
      </c>
      <c r="G118" t="s">
        <v>32</v>
      </c>
      <c r="H118" t="s">
        <v>126</v>
      </c>
      <c r="I118" t="s">
        <v>72</v>
      </c>
      <c r="J118" t="str">
        <f>IFERROR(VLOOKUP(I118,[1]AUTOS!$C:$G,2,0),"")</f>
        <v>VENTO</v>
      </c>
      <c r="K118">
        <f>IFERROR(VLOOKUP(I118,[1]AUTOS!$C:$G,3,0),"")</f>
        <v>2020</v>
      </c>
      <c r="L118" t="str">
        <f>IFERROR(VLOOKUP(I118,[1]AUTOS!$C:$G,4,0),"")</f>
        <v>GRIS</v>
      </c>
      <c r="M118" t="s">
        <v>43</v>
      </c>
      <c r="P118" s="3">
        <v>-1500</v>
      </c>
    </row>
    <row r="119" spans="1:16" hidden="1" x14ac:dyDescent="0.3">
      <c r="A119">
        <v>7</v>
      </c>
      <c r="B119" t="str">
        <f>VLOOKUP($A119,[1]LISTA!$B:$C,2,0)</f>
        <v>FEBRERO</v>
      </c>
      <c r="C119" s="1">
        <v>2025</v>
      </c>
      <c r="D119" s="1" t="str">
        <f>IF($A119&lt;=[1]RESULTADOS!$D$6,"YTD","YTG")</f>
        <v>YTD</v>
      </c>
      <c r="E119" t="s">
        <v>31</v>
      </c>
      <c r="F119" t="s">
        <v>18</v>
      </c>
      <c r="G119" t="s">
        <v>57</v>
      </c>
      <c r="H119" t="s">
        <v>127</v>
      </c>
      <c r="I119" t="s">
        <v>40</v>
      </c>
      <c r="J119" t="str">
        <f>IFERROR(VLOOKUP(I119,[1]AUTOS!$C:$G,2,0),"")</f>
        <v>VERSA</v>
      </c>
      <c r="K119">
        <f>IFERROR(VLOOKUP(I119,[1]AUTOS!$C:$G,3,0),"")</f>
        <v>2017</v>
      </c>
      <c r="L119" t="str">
        <f>IFERROR(VLOOKUP(I119,[1]AUTOS!$C:$G,4,0),"")</f>
        <v>ACERO</v>
      </c>
      <c r="M119" t="s">
        <v>35</v>
      </c>
      <c r="P119" s="3">
        <v>-700</v>
      </c>
    </row>
    <row r="120" spans="1:16" hidden="1" x14ac:dyDescent="0.3">
      <c r="A120">
        <v>7</v>
      </c>
      <c r="B120" t="str">
        <f>VLOOKUP($A120,[1]LISTA!$B:$C,2,0)</f>
        <v>FEBRERO</v>
      </c>
      <c r="C120" s="1">
        <v>2025</v>
      </c>
      <c r="D120" s="1" t="str">
        <f>IF($A120&lt;=[1]RESULTADOS!$D$6,"YTD","YTG")</f>
        <v>YTD</v>
      </c>
      <c r="E120" t="s">
        <v>31</v>
      </c>
      <c r="F120" t="s">
        <v>18</v>
      </c>
      <c r="G120" t="s">
        <v>19</v>
      </c>
      <c r="H120" t="s">
        <v>128</v>
      </c>
      <c r="I120" t="s">
        <v>59</v>
      </c>
      <c r="J120" t="str">
        <f>IFERROR(VLOOKUP(I120,[1]AUTOS!$C:$G,2,0),"")</f>
        <v>AVEO</v>
      </c>
      <c r="K120">
        <f>IFERROR(VLOOKUP(I120,[1]AUTOS!$C:$G,3,0),"")</f>
        <v>2019</v>
      </c>
      <c r="L120" t="str">
        <f>IFERROR(VLOOKUP(I120,[1]AUTOS!$C:$G,4,0),"")</f>
        <v>BLANCO</v>
      </c>
      <c r="M120" t="s">
        <v>43</v>
      </c>
      <c r="P120" s="3">
        <v>-1707</v>
      </c>
    </row>
    <row r="121" spans="1:16" hidden="1" x14ac:dyDescent="0.3">
      <c r="A121">
        <v>7</v>
      </c>
      <c r="B121" t="str">
        <f>VLOOKUP($A121,[1]LISTA!$B:$C,2,0)</f>
        <v>FEBRERO</v>
      </c>
      <c r="C121" s="1">
        <v>2025</v>
      </c>
      <c r="D121" s="1" t="str">
        <f>IF($A121&lt;=[1]RESULTADOS!$D$6,"YTD","YTG")</f>
        <v>YTD</v>
      </c>
      <c r="E121" t="s">
        <v>31</v>
      </c>
      <c r="F121" t="s">
        <v>18</v>
      </c>
      <c r="G121" t="s">
        <v>41</v>
      </c>
      <c r="H121" t="s">
        <v>41</v>
      </c>
      <c r="I121" t="s">
        <v>102</v>
      </c>
      <c r="J121" t="str">
        <f>IFERROR(VLOOKUP(I121,[1]AUTOS!$C:$G,2,0),"")</f>
        <v>AVEO</v>
      </c>
      <c r="K121">
        <f>IFERROR(VLOOKUP(I121,[1]AUTOS!$C:$G,3,0),"")</f>
        <v>2022</v>
      </c>
      <c r="L121" t="str">
        <f>IFERROR(VLOOKUP(I121,[1]AUTOS!$C:$G,4,0),"")</f>
        <v>AZUL</v>
      </c>
      <c r="M121" t="s">
        <v>43</v>
      </c>
      <c r="P121" s="3">
        <v>-1530</v>
      </c>
    </row>
    <row r="122" spans="1:16" x14ac:dyDescent="0.3">
      <c r="A122">
        <v>7</v>
      </c>
      <c r="B122" t="str">
        <f>VLOOKUP($A122,[1]LISTA!$B:$C,2,0)</f>
        <v>FEBRERO</v>
      </c>
      <c r="C122" s="1">
        <v>2025</v>
      </c>
      <c r="D122" s="1" t="str">
        <f>IF($A122&lt;=[1]RESULTADOS!$D$6,"YTD","YTG")</f>
        <v>YTD</v>
      </c>
      <c r="E122" t="s">
        <v>31</v>
      </c>
      <c r="F122" t="s">
        <v>18</v>
      </c>
      <c r="G122" t="s">
        <v>57</v>
      </c>
      <c r="H122" t="s">
        <v>129</v>
      </c>
      <c r="I122" t="s">
        <v>72</v>
      </c>
      <c r="J122" t="str">
        <f>IFERROR(VLOOKUP(I122,[1]AUTOS!$C:$G,2,0),"")</f>
        <v>VENTO</v>
      </c>
      <c r="K122">
        <f>IFERROR(VLOOKUP(I122,[1]AUTOS!$C:$G,3,0),"")</f>
        <v>2020</v>
      </c>
      <c r="L122" t="str">
        <f>IFERROR(VLOOKUP(I122,[1]AUTOS!$C:$G,4,0),"")</f>
        <v>GRIS</v>
      </c>
      <c r="M122" t="s">
        <v>43</v>
      </c>
      <c r="P122" s="3">
        <v>-3743</v>
      </c>
    </row>
    <row r="123" spans="1:16" hidden="1" x14ac:dyDescent="0.3">
      <c r="A123">
        <v>7</v>
      </c>
      <c r="B123" t="str">
        <f>VLOOKUP($A123,[1]LISTA!$B:$C,2,0)</f>
        <v>FEBRERO</v>
      </c>
      <c r="C123" s="1">
        <v>2025</v>
      </c>
      <c r="D123" s="1" t="str">
        <f>IF($A123&lt;=[1]RESULTADOS!$D$6,"YTD","YTG")</f>
        <v>YTD</v>
      </c>
      <c r="E123" t="s">
        <v>31</v>
      </c>
      <c r="F123" t="s">
        <v>18</v>
      </c>
      <c r="G123" t="s">
        <v>48</v>
      </c>
      <c r="H123" t="s">
        <v>130</v>
      </c>
      <c r="I123" t="s">
        <v>131</v>
      </c>
      <c r="J123" t="str">
        <f>IFERROR(VLOOKUP(I123,[1]AUTOS!$C:$G,2,0),"")</f>
        <v>AVEO</v>
      </c>
      <c r="K123">
        <f>IFERROR(VLOOKUP(I123,[1]AUTOS!$C:$G,3,0),"")</f>
        <v>2024</v>
      </c>
      <c r="L123" t="str">
        <f>IFERROR(VLOOKUP(I123,[1]AUTOS!$C:$G,4,0),"")</f>
        <v>GRIS</v>
      </c>
      <c r="M123" t="s">
        <v>43</v>
      </c>
      <c r="P123" s="3">
        <v>-100</v>
      </c>
    </row>
    <row r="124" spans="1:16" hidden="1" x14ac:dyDescent="0.3">
      <c r="A124">
        <v>7</v>
      </c>
      <c r="B124" t="str">
        <f>VLOOKUP($A124,[1]LISTA!$B:$C,2,0)</f>
        <v>FEBRERO</v>
      </c>
      <c r="C124" s="1">
        <v>2025</v>
      </c>
      <c r="D124" s="1" t="str">
        <f>IF($A124&lt;=[1]RESULTADOS!$D$6,"YTD","YTG")</f>
        <v>YTD</v>
      </c>
      <c r="E124" t="s">
        <v>31</v>
      </c>
      <c r="F124" t="s">
        <v>18</v>
      </c>
      <c r="G124" t="s">
        <v>48</v>
      </c>
      <c r="H124" t="s">
        <v>132</v>
      </c>
      <c r="I124" t="s">
        <v>131</v>
      </c>
      <c r="J124" t="str">
        <f>IFERROR(VLOOKUP(I124,[1]AUTOS!$C:$G,2,0),"")</f>
        <v>AVEO</v>
      </c>
      <c r="K124">
        <f>IFERROR(VLOOKUP(I124,[1]AUTOS!$C:$G,3,0),"")</f>
        <v>2024</v>
      </c>
      <c r="L124" t="str">
        <f>IFERROR(VLOOKUP(I124,[1]AUTOS!$C:$G,4,0),"")</f>
        <v>GRIS</v>
      </c>
      <c r="M124" t="s">
        <v>43</v>
      </c>
      <c r="P124" s="3">
        <v>-1780</v>
      </c>
    </row>
    <row r="125" spans="1:16" hidden="1" x14ac:dyDescent="0.3">
      <c r="A125">
        <v>7</v>
      </c>
      <c r="B125" t="str">
        <f>VLOOKUP($A125,[1]LISTA!$B:$C,2,0)</f>
        <v>FEBRERO</v>
      </c>
      <c r="C125" s="1">
        <v>2025</v>
      </c>
      <c r="D125" s="1" t="str">
        <f>IF($A125&lt;=[1]RESULTADOS!$D$6,"YTD","YTG")</f>
        <v>YTD</v>
      </c>
      <c r="E125" t="s">
        <v>17</v>
      </c>
      <c r="F125" t="s">
        <v>18</v>
      </c>
      <c r="G125" t="s">
        <v>19</v>
      </c>
      <c r="H125" t="s">
        <v>133</v>
      </c>
      <c r="I125" t="s">
        <v>21</v>
      </c>
      <c r="J125" t="str">
        <f>IFERROR(VLOOKUP(I125,[1]AUTOS!$C:$G,2,0),"")</f>
        <v/>
      </c>
      <c r="K125" t="str">
        <f>IFERROR(VLOOKUP(I125,[1]AUTOS!$C:$G,3,0),"")</f>
        <v/>
      </c>
      <c r="L125" t="str">
        <f>IFERROR(VLOOKUP(I125,[1]AUTOS!$C:$G,4,0),"")</f>
        <v/>
      </c>
      <c r="M125" t="s">
        <v>22</v>
      </c>
      <c r="P125" s="3">
        <v>-200</v>
      </c>
    </row>
    <row r="126" spans="1:16" hidden="1" x14ac:dyDescent="0.3">
      <c r="A126">
        <v>7</v>
      </c>
      <c r="B126" t="str">
        <f>VLOOKUP($A126,[1]LISTA!$B:$C,2,0)</f>
        <v>FEBRERO</v>
      </c>
      <c r="C126" s="1">
        <v>2025</v>
      </c>
      <c r="D126" s="1" t="str">
        <f>IF($A126&lt;=[1]RESULTADOS!$D$6,"YTD","YTG")</f>
        <v>YTD</v>
      </c>
      <c r="E126" t="s">
        <v>31</v>
      </c>
      <c r="F126" t="s">
        <v>18</v>
      </c>
      <c r="G126" t="s">
        <v>83</v>
      </c>
      <c r="H126" t="s">
        <v>134</v>
      </c>
      <c r="I126" t="s">
        <v>102</v>
      </c>
      <c r="J126" t="str">
        <f>IFERROR(VLOOKUP(I126,[1]AUTOS!$C:$G,2,0),"")</f>
        <v>AVEO</v>
      </c>
      <c r="K126">
        <f>IFERROR(VLOOKUP(I126,[1]AUTOS!$C:$G,3,0),"")</f>
        <v>2022</v>
      </c>
      <c r="L126" t="str">
        <f>IFERROR(VLOOKUP(I126,[1]AUTOS!$C:$G,4,0),"")</f>
        <v>AZUL</v>
      </c>
      <c r="M126" t="s">
        <v>43</v>
      </c>
      <c r="P126" s="3">
        <v>-1086</v>
      </c>
    </row>
    <row r="127" spans="1:16" hidden="1" x14ac:dyDescent="0.3">
      <c r="A127">
        <v>7</v>
      </c>
      <c r="B127" t="str">
        <f>VLOOKUP($A127,[1]LISTA!$B:$C,2,0)</f>
        <v>FEBRERO</v>
      </c>
      <c r="C127" s="1">
        <v>2025</v>
      </c>
      <c r="D127" s="1" t="str">
        <f>IF($A127&lt;=[1]RESULTADOS!$D$6,"YTD","YTG")</f>
        <v>YTD</v>
      </c>
      <c r="E127" t="s">
        <v>31</v>
      </c>
      <c r="F127" t="s">
        <v>18</v>
      </c>
      <c r="G127" t="s">
        <v>83</v>
      </c>
      <c r="H127" t="s">
        <v>134</v>
      </c>
      <c r="I127" t="s">
        <v>102</v>
      </c>
      <c r="J127" t="str">
        <f>IFERROR(VLOOKUP(I127,[1]AUTOS!$C:$G,2,0),"")</f>
        <v>AVEO</v>
      </c>
      <c r="K127">
        <f>IFERROR(VLOOKUP(I127,[1]AUTOS!$C:$G,3,0),"")</f>
        <v>2022</v>
      </c>
      <c r="L127" t="str">
        <f>IFERROR(VLOOKUP(I127,[1]AUTOS!$C:$G,4,0),"")</f>
        <v>AZUL</v>
      </c>
      <c r="M127" t="s">
        <v>43</v>
      </c>
      <c r="P127" s="3">
        <v>-1086</v>
      </c>
    </row>
    <row r="128" spans="1:16" hidden="1" x14ac:dyDescent="0.3">
      <c r="A128">
        <v>7</v>
      </c>
      <c r="B128" t="str">
        <f>VLOOKUP($A128,[1]LISTA!$B:$C,2,0)</f>
        <v>FEBRERO</v>
      </c>
      <c r="C128" s="1">
        <v>2025</v>
      </c>
      <c r="D128" s="1" t="str">
        <f>IF($A128&lt;=[1]RESULTADOS!$D$6,"YTD","YTG")</f>
        <v>YTD</v>
      </c>
      <c r="E128" t="s">
        <v>31</v>
      </c>
      <c r="F128" t="s">
        <v>18</v>
      </c>
      <c r="G128" t="s">
        <v>83</v>
      </c>
      <c r="H128" t="s">
        <v>134</v>
      </c>
      <c r="I128" t="s">
        <v>37</v>
      </c>
      <c r="J128" t="str">
        <f>IFERROR(VLOOKUP(I128,[1]AUTOS!$C:$G,2,0),"")</f>
        <v>BEAT</v>
      </c>
      <c r="K128">
        <f>IFERROR(VLOOKUP(I128,[1]AUTOS!$C:$G,3,0),"")</f>
        <v>2020</v>
      </c>
      <c r="L128" t="str">
        <f>IFERROR(VLOOKUP(I128,[1]AUTOS!$C:$G,4,0),"")</f>
        <v>GRIS</v>
      </c>
      <c r="M128" t="s">
        <v>35</v>
      </c>
      <c r="P128" s="3">
        <v>-1086</v>
      </c>
    </row>
    <row r="129" spans="1:16" hidden="1" x14ac:dyDescent="0.3">
      <c r="A129">
        <v>7</v>
      </c>
      <c r="B129" t="str">
        <f>VLOOKUP($A129,[1]LISTA!$B:$C,2,0)</f>
        <v>FEBRERO</v>
      </c>
      <c r="C129" s="1">
        <v>2025</v>
      </c>
      <c r="D129" s="1" t="str">
        <f>IF($A129&lt;=[1]RESULTADOS!$D$6,"YTD","YTG")</f>
        <v>YTD</v>
      </c>
      <c r="E129" t="s">
        <v>31</v>
      </c>
      <c r="F129" t="s">
        <v>18</v>
      </c>
      <c r="G129" t="s">
        <v>83</v>
      </c>
      <c r="H129" t="s">
        <v>134</v>
      </c>
      <c r="I129" t="s">
        <v>42</v>
      </c>
      <c r="J129" t="str">
        <f>IFERROR(VLOOKUP(I129,[1]AUTOS!$C:$G,2,0),"")</f>
        <v>VENTO</v>
      </c>
      <c r="K129">
        <f>IFERROR(VLOOKUP(I129,[1]AUTOS!$C:$G,3,0),"")</f>
        <v>2018</v>
      </c>
      <c r="L129" t="str">
        <f>IFERROR(VLOOKUP(I129,[1]AUTOS!$C:$G,4,0),"")</f>
        <v>AMARILLO</v>
      </c>
      <c r="M129" t="s">
        <v>43</v>
      </c>
      <c r="P129" s="3">
        <v>-2325</v>
      </c>
    </row>
    <row r="130" spans="1:16" hidden="1" x14ac:dyDescent="0.3">
      <c r="A130">
        <v>7</v>
      </c>
      <c r="B130" t="str">
        <f>VLOOKUP($A130,[1]LISTA!$B:$C,2,0)</f>
        <v>FEBRERO</v>
      </c>
      <c r="C130" s="1">
        <v>2025</v>
      </c>
      <c r="D130" s="1" t="str">
        <f>IF($A130&lt;=[1]RESULTADOS!$D$6,"YTD","YTG")</f>
        <v>YTD</v>
      </c>
      <c r="E130" t="s">
        <v>31</v>
      </c>
      <c r="F130" t="s">
        <v>18</v>
      </c>
      <c r="G130" t="s">
        <v>41</v>
      </c>
      <c r="H130" t="s">
        <v>135</v>
      </c>
      <c r="I130" t="s">
        <v>40</v>
      </c>
      <c r="J130" t="str">
        <f>IFERROR(VLOOKUP(I130,[1]AUTOS!$C:$G,2,0),"")</f>
        <v>VERSA</v>
      </c>
      <c r="K130">
        <f>IFERROR(VLOOKUP(I130,[1]AUTOS!$C:$G,3,0),"")</f>
        <v>2017</v>
      </c>
      <c r="L130" t="str">
        <f>IFERROR(VLOOKUP(I130,[1]AUTOS!$C:$G,4,0),"")</f>
        <v>ACERO</v>
      </c>
      <c r="M130" t="s">
        <v>35</v>
      </c>
      <c r="P130" s="3">
        <v>-1530</v>
      </c>
    </row>
    <row r="131" spans="1:16" hidden="1" x14ac:dyDescent="0.3">
      <c r="A131">
        <v>7</v>
      </c>
      <c r="B131" t="str">
        <f>VLOOKUP($A131,[1]LISTA!$B:$C,2,0)</f>
        <v>FEBRERO</v>
      </c>
      <c r="C131" s="1">
        <v>2025</v>
      </c>
      <c r="D131" s="1" t="str">
        <f>IF($A131&lt;=[1]RESULTADOS!$D$6,"YTD","YTG")</f>
        <v>YTD</v>
      </c>
      <c r="E131" t="s">
        <v>17</v>
      </c>
      <c r="F131" t="s">
        <v>18</v>
      </c>
      <c r="G131" t="s">
        <v>19</v>
      </c>
      <c r="H131" t="s">
        <v>136</v>
      </c>
      <c r="I131" t="s">
        <v>21</v>
      </c>
      <c r="J131" t="str">
        <f>IFERROR(VLOOKUP(I131,[1]AUTOS!$C:$G,2,0),"")</f>
        <v/>
      </c>
      <c r="K131" t="str">
        <f>IFERROR(VLOOKUP(I131,[1]AUTOS!$C:$G,3,0),"")</f>
        <v/>
      </c>
      <c r="L131" t="str">
        <f>IFERROR(VLOOKUP(I131,[1]AUTOS!$C:$G,4,0),"")</f>
        <v/>
      </c>
      <c r="M131" t="s">
        <v>22</v>
      </c>
      <c r="P131" s="3">
        <v>-1100</v>
      </c>
    </row>
    <row r="132" spans="1:16" hidden="1" x14ac:dyDescent="0.3">
      <c r="A132">
        <v>7</v>
      </c>
      <c r="B132" t="str">
        <f>VLOOKUP($A132,[1]LISTA!$B:$C,2,0)</f>
        <v>FEBRERO</v>
      </c>
      <c r="C132" s="1">
        <v>2025</v>
      </c>
      <c r="D132" s="1" t="str">
        <f>IF($A132&lt;=[1]RESULTADOS!$D$6,"YTD","YTG")</f>
        <v>YTD</v>
      </c>
      <c r="E132" t="s">
        <v>17</v>
      </c>
      <c r="F132" t="s">
        <v>18</v>
      </c>
      <c r="G132" t="s">
        <v>29</v>
      </c>
      <c r="H132" t="s">
        <v>30</v>
      </c>
      <c r="I132" t="s">
        <v>21</v>
      </c>
      <c r="J132" t="str">
        <f>IFERROR(VLOOKUP(I132,[1]AUTOS!$C:$G,2,0),"")</f>
        <v/>
      </c>
      <c r="K132" t="str">
        <f>IFERROR(VLOOKUP(I132,[1]AUTOS!$C:$G,3,0),"")</f>
        <v/>
      </c>
      <c r="L132" t="str">
        <f>IFERROR(VLOOKUP(I132,[1]AUTOS!$C:$G,4,0),"")</f>
        <v/>
      </c>
      <c r="M132" t="s">
        <v>22</v>
      </c>
      <c r="P132" s="3">
        <v>-500</v>
      </c>
    </row>
    <row r="133" spans="1:16" hidden="1" x14ac:dyDescent="0.3">
      <c r="A133">
        <v>8</v>
      </c>
      <c r="B133" t="str">
        <f>VLOOKUP($A133,[1]LISTA!$B:$C,2,0)</f>
        <v>FEBRERO</v>
      </c>
      <c r="C133" s="1">
        <v>2025</v>
      </c>
      <c r="D133" s="1" t="str">
        <f>IF($A133&lt;=[1]RESULTADOS!$D$6,"YTD","YTG")</f>
        <v>YTD</v>
      </c>
      <c r="E133" t="s">
        <v>17</v>
      </c>
      <c r="F133" t="s">
        <v>18</v>
      </c>
      <c r="G133" t="s">
        <v>29</v>
      </c>
      <c r="H133" t="s">
        <v>30</v>
      </c>
      <c r="I133" t="s">
        <v>21</v>
      </c>
      <c r="J133" t="str">
        <f>IFERROR(VLOOKUP(I133,[1]AUTOS!$C:$G,2,0),"")</f>
        <v/>
      </c>
      <c r="K133" t="str">
        <f>IFERROR(VLOOKUP(I133,[1]AUTOS!$C:$G,3,0),"")</f>
        <v/>
      </c>
      <c r="L133" t="str">
        <f>IFERROR(VLOOKUP(I133,[1]AUTOS!$C:$G,4,0),"")</f>
        <v/>
      </c>
      <c r="M133" t="s">
        <v>22</v>
      </c>
      <c r="P133" s="3">
        <v>-500</v>
      </c>
    </row>
    <row r="134" spans="1:16" hidden="1" x14ac:dyDescent="0.3">
      <c r="A134">
        <v>8</v>
      </c>
      <c r="B134" t="str">
        <f>VLOOKUP($A134,[1]LISTA!$B:$C,2,0)</f>
        <v>FEBRERO</v>
      </c>
      <c r="C134" s="1">
        <v>2025</v>
      </c>
      <c r="D134" s="1" t="str">
        <f>IF($A134&lt;=[1]RESULTADOS!$D$6,"YTD","YTG")</f>
        <v>YTD</v>
      </c>
      <c r="E134" t="s">
        <v>31</v>
      </c>
      <c r="F134" t="s">
        <v>18</v>
      </c>
      <c r="G134" t="s">
        <v>137</v>
      </c>
      <c r="H134" t="s">
        <v>138</v>
      </c>
      <c r="I134" t="s">
        <v>61</v>
      </c>
      <c r="J134" t="str">
        <f>IFERROR(VLOOKUP(I134,[1]AUTOS!$C:$G,2,0),"")</f>
        <v>KIA RIO</v>
      </c>
      <c r="K134">
        <f>IFERROR(VLOOKUP(I134,[1]AUTOS!$C:$G,3,0),"")</f>
        <v>2017</v>
      </c>
      <c r="L134" t="str">
        <f>IFERROR(VLOOKUP(I134,[1]AUTOS!$C:$G,4,0),"")</f>
        <v>ROJO</v>
      </c>
      <c r="M134" t="s">
        <v>35</v>
      </c>
      <c r="P134" s="3">
        <v>-2601</v>
      </c>
    </row>
    <row r="135" spans="1:16" hidden="1" x14ac:dyDescent="0.3">
      <c r="A135">
        <v>8</v>
      </c>
      <c r="B135" t="str">
        <f>VLOOKUP($A135,[1]LISTA!$B:$C,2,0)</f>
        <v>FEBRERO</v>
      </c>
      <c r="C135" s="1">
        <v>2025</v>
      </c>
      <c r="D135" s="1" t="str">
        <f>IF($A135&lt;=[1]RESULTADOS!$D$6,"YTD","YTG")</f>
        <v>YTD</v>
      </c>
      <c r="E135" t="s">
        <v>31</v>
      </c>
      <c r="F135" t="s">
        <v>18</v>
      </c>
      <c r="G135" t="s">
        <v>137</v>
      </c>
      <c r="H135" t="s">
        <v>138</v>
      </c>
      <c r="I135" t="s">
        <v>67</v>
      </c>
      <c r="J135" t="str">
        <f>IFERROR(VLOOKUP(I135,[1]AUTOS!$C:$G,2,0),"")</f>
        <v>KIA RIO</v>
      </c>
      <c r="K135">
        <f>IFERROR(VLOOKUP(I135,[1]AUTOS!$C:$G,3,0),"")</f>
        <v>2020</v>
      </c>
      <c r="L135" t="str">
        <f>IFERROR(VLOOKUP(I135,[1]AUTOS!$C:$G,4,0),"")</f>
        <v>GRIS</v>
      </c>
      <c r="M135" t="s">
        <v>43</v>
      </c>
      <c r="P135" s="3">
        <v>-1714</v>
      </c>
    </row>
    <row r="136" spans="1:16" hidden="1" x14ac:dyDescent="0.3">
      <c r="A136">
        <v>8</v>
      </c>
      <c r="B136" t="str">
        <f>VLOOKUP($A136,[1]LISTA!$B:$C,2,0)</f>
        <v>FEBRERO</v>
      </c>
      <c r="C136" s="1">
        <v>2025</v>
      </c>
      <c r="D136" s="1" t="str">
        <f>IF($A136&lt;=[1]RESULTADOS!$D$6,"YTD","YTG")</f>
        <v>YTD</v>
      </c>
      <c r="E136" t="s">
        <v>31</v>
      </c>
      <c r="F136" t="s">
        <v>18</v>
      </c>
      <c r="G136" t="s">
        <v>137</v>
      </c>
      <c r="H136" t="s">
        <v>138</v>
      </c>
      <c r="I136" t="s">
        <v>139</v>
      </c>
      <c r="J136" t="str">
        <f>IFERROR(VLOOKUP(I136,[1]AUTOS!$C:$G,2,0),"")</f>
        <v>SWIFT</v>
      </c>
      <c r="K136">
        <f>IFERROR(VLOOKUP(I136,[1]AUTOS!$C:$G,3,0),"")</f>
        <v>2017</v>
      </c>
      <c r="L136" t="str">
        <f>IFERROR(VLOOKUP(I136,[1]AUTOS!$C:$G,4,0),"")</f>
        <v>ROJO</v>
      </c>
      <c r="M136" t="s">
        <v>140</v>
      </c>
      <c r="P136" s="3">
        <v>-2601</v>
      </c>
    </row>
    <row r="137" spans="1:16" hidden="1" x14ac:dyDescent="0.3">
      <c r="A137">
        <v>8</v>
      </c>
      <c r="B137" t="str">
        <f>VLOOKUP($A137,[1]LISTA!$B:$C,2,0)</f>
        <v>FEBRERO</v>
      </c>
      <c r="C137" s="1">
        <v>2025</v>
      </c>
      <c r="D137" s="1" t="str">
        <f>IF($A137&lt;=[1]RESULTADOS!$D$6,"YTD","YTG")</f>
        <v>YTD</v>
      </c>
      <c r="E137" t="s">
        <v>31</v>
      </c>
      <c r="F137" t="s">
        <v>18</v>
      </c>
      <c r="G137" t="s">
        <v>29</v>
      </c>
      <c r="H137" t="s">
        <v>113</v>
      </c>
      <c r="I137" t="s">
        <v>61</v>
      </c>
      <c r="J137" t="str">
        <f>IFERROR(VLOOKUP(I137,[1]AUTOS!$C:$G,2,0),"")</f>
        <v>KIA RIO</v>
      </c>
      <c r="K137">
        <f>IFERROR(VLOOKUP(I137,[1]AUTOS!$C:$G,3,0),"")</f>
        <v>2017</v>
      </c>
      <c r="L137" t="str">
        <f>IFERROR(VLOOKUP(I137,[1]AUTOS!$C:$G,4,0),"")</f>
        <v>ROJO</v>
      </c>
      <c r="M137" t="s">
        <v>35</v>
      </c>
      <c r="P137" s="3">
        <v>-244.9</v>
      </c>
    </row>
    <row r="138" spans="1:16" hidden="1" x14ac:dyDescent="0.3">
      <c r="A138">
        <v>8</v>
      </c>
      <c r="B138" t="str">
        <f>VLOOKUP($A138,[1]LISTA!$B:$C,2,0)</f>
        <v>FEBRERO</v>
      </c>
      <c r="C138" s="1">
        <v>2025</v>
      </c>
      <c r="D138" s="1" t="str">
        <f>IF($A138&lt;=[1]RESULTADOS!$D$6,"YTD","YTG")</f>
        <v>YTD</v>
      </c>
      <c r="E138" t="s">
        <v>31</v>
      </c>
      <c r="F138" t="s">
        <v>18</v>
      </c>
      <c r="G138" t="s">
        <v>64</v>
      </c>
      <c r="H138" t="s">
        <v>64</v>
      </c>
      <c r="I138" t="s">
        <v>61</v>
      </c>
      <c r="J138" t="str">
        <f>IFERROR(VLOOKUP(I138,[1]AUTOS!$C:$G,2,0),"")</f>
        <v>KIA RIO</v>
      </c>
      <c r="K138">
        <f>IFERROR(VLOOKUP(I138,[1]AUTOS!$C:$G,3,0),"")</f>
        <v>2017</v>
      </c>
      <c r="L138" t="str">
        <f>IFERROR(VLOOKUP(I138,[1]AUTOS!$C:$G,4,0),"")</f>
        <v>ROJO</v>
      </c>
      <c r="M138" t="s">
        <v>35</v>
      </c>
      <c r="P138" s="3">
        <v>-2500</v>
      </c>
    </row>
    <row r="139" spans="1:16" hidden="1" x14ac:dyDescent="0.3">
      <c r="A139">
        <v>8</v>
      </c>
      <c r="B139" t="str">
        <f>VLOOKUP($A139,[1]LISTA!$B:$C,2,0)</f>
        <v>FEBRERO</v>
      </c>
      <c r="C139" s="1">
        <v>2025</v>
      </c>
      <c r="D139" s="1" t="str">
        <f>IF($A139&lt;=[1]RESULTADOS!$D$6,"YTD","YTG")</f>
        <v>YTD</v>
      </c>
      <c r="E139" t="s">
        <v>31</v>
      </c>
      <c r="F139" t="s">
        <v>18</v>
      </c>
      <c r="G139" t="s">
        <v>57</v>
      </c>
      <c r="H139" t="s">
        <v>141</v>
      </c>
      <c r="I139" t="s">
        <v>61</v>
      </c>
      <c r="J139" t="str">
        <f>IFERROR(VLOOKUP(I139,[1]AUTOS!$C:$G,2,0),"")</f>
        <v>KIA RIO</v>
      </c>
      <c r="K139">
        <f>IFERROR(VLOOKUP(I139,[1]AUTOS!$C:$G,3,0),"")</f>
        <v>2017</v>
      </c>
      <c r="L139" t="str">
        <f>IFERROR(VLOOKUP(I139,[1]AUTOS!$C:$G,4,0),"")</f>
        <v>ROJO</v>
      </c>
      <c r="M139" t="s">
        <v>35</v>
      </c>
      <c r="P139" s="3">
        <v>-2635</v>
      </c>
    </row>
    <row r="140" spans="1:16" hidden="1" x14ac:dyDescent="0.3">
      <c r="A140">
        <v>8</v>
      </c>
      <c r="B140" t="str">
        <f>VLOOKUP($A140,[1]LISTA!$B:$C,2,0)</f>
        <v>FEBRERO</v>
      </c>
      <c r="C140" s="1">
        <v>2025</v>
      </c>
      <c r="D140" s="1" t="str">
        <f>IF($A140&lt;=[1]RESULTADOS!$D$6,"YTD","YTG")</f>
        <v>YTD</v>
      </c>
      <c r="E140" t="s">
        <v>31</v>
      </c>
      <c r="F140" t="s">
        <v>18</v>
      </c>
      <c r="G140" t="s">
        <v>142</v>
      </c>
      <c r="H140" t="s">
        <v>143</v>
      </c>
      <c r="I140" t="s">
        <v>102</v>
      </c>
      <c r="J140" t="str">
        <f>IFERROR(VLOOKUP(I140,[1]AUTOS!$C:$G,2,0),"")</f>
        <v>AVEO</v>
      </c>
      <c r="K140">
        <f>IFERROR(VLOOKUP(I140,[1]AUTOS!$C:$G,3,0),"")</f>
        <v>2022</v>
      </c>
      <c r="L140" t="str">
        <f>IFERROR(VLOOKUP(I140,[1]AUTOS!$C:$G,4,0),"")</f>
        <v>AZUL</v>
      </c>
      <c r="M140" t="s">
        <v>43</v>
      </c>
      <c r="P140" s="3">
        <v>-5000</v>
      </c>
    </row>
    <row r="141" spans="1:16" hidden="1" x14ac:dyDescent="0.3">
      <c r="A141">
        <v>10</v>
      </c>
      <c r="B141" t="str">
        <f>VLOOKUP($A141,[1]LISTA!$B:$C,2,0)</f>
        <v>MARZO</v>
      </c>
      <c r="C141" s="1">
        <v>2025</v>
      </c>
      <c r="D141" s="1" t="str">
        <f>IF($A141&lt;=[1]RESULTADOS!$D$6,"YTD","YTG")</f>
        <v>YTD</v>
      </c>
      <c r="E141" t="s">
        <v>31</v>
      </c>
      <c r="F141" t="s">
        <v>18</v>
      </c>
      <c r="G141" t="s">
        <v>115</v>
      </c>
      <c r="H141" t="s">
        <v>115</v>
      </c>
      <c r="I141" t="s">
        <v>144</v>
      </c>
      <c r="J141" t="str">
        <f>IFERROR(VLOOKUP(I141,[1]AUTOS!$C:$G,2,0),"")</f>
        <v>VERSA</v>
      </c>
      <c r="K141">
        <f>IFERROR(VLOOKUP(I141,[1]AUTOS!$C:$G,3,0),"")</f>
        <v>2020</v>
      </c>
      <c r="L141" t="str">
        <f>IFERROR(VLOOKUP(I141,[1]AUTOS!$C:$G,4,0),"")</f>
        <v>ROJO</v>
      </c>
      <c r="M141" t="s">
        <v>43</v>
      </c>
      <c r="P141" s="3">
        <v>-5009</v>
      </c>
    </row>
    <row r="142" spans="1:16" hidden="1" x14ac:dyDescent="0.3">
      <c r="A142">
        <v>10</v>
      </c>
      <c r="B142" t="str">
        <f>VLOOKUP($A142,[1]LISTA!$B:$C,2,0)</f>
        <v>MARZO</v>
      </c>
      <c r="C142" s="1">
        <v>2025</v>
      </c>
      <c r="D142" s="1" t="str">
        <f>IF($A142&lt;=[1]RESULTADOS!$D$6,"YTD","YTG")</f>
        <v>YTD</v>
      </c>
      <c r="E142" t="s">
        <v>31</v>
      </c>
      <c r="F142" t="s">
        <v>18</v>
      </c>
      <c r="G142" t="s">
        <v>19</v>
      </c>
      <c r="H142" t="s">
        <v>145</v>
      </c>
      <c r="I142" t="s">
        <v>146</v>
      </c>
      <c r="J142" t="str">
        <f>IFERROR(VLOOKUP(I142,[1]AUTOS!$C:$G,2,0),"")</f>
        <v>KIA RIO</v>
      </c>
      <c r="K142">
        <f>IFERROR(VLOOKUP(I142,[1]AUTOS!$C:$G,3,0),"")</f>
        <v>2023</v>
      </c>
      <c r="L142" t="str">
        <f>IFERROR(VLOOKUP(I142,[1]AUTOS!$C:$G,4,0),"")</f>
        <v>ROJO</v>
      </c>
      <c r="M142" t="s">
        <v>35</v>
      </c>
      <c r="P142" s="3">
        <v>-500</v>
      </c>
    </row>
    <row r="143" spans="1:16" hidden="1" x14ac:dyDescent="0.3">
      <c r="A143">
        <v>10</v>
      </c>
      <c r="B143" t="str">
        <f>VLOOKUP($A143,[1]LISTA!$B:$C,2,0)</f>
        <v>MARZO</v>
      </c>
      <c r="C143" s="1">
        <v>2025</v>
      </c>
      <c r="D143" s="1" t="str">
        <f>IF($A143&lt;=[1]RESULTADOS!$D$6,"YTD","YTG")</f>
        <v>YTD</v>
      </c>
      <c r="E143" t="s">
        <v>31</v>
      </c>
      <c r="F143" t="s">
        <v>18</v>
      </c>
      <c r="G143" t="s">
        <v>41</v>
      </c>
      <c r="H143" t="s">
        <v>41</v>
      </c>
      <c r="I143" t="s">
        <v>79</v>
      </c>
      <c r="J143" t="str">
        <f>IFERROR(VLOOKUP(I143,[1]AUTOS!$C:$G,2,0),"")</f>
        <v>AVEO</v>
      </c>
      <c r="K143">
        <f>IFERROR(VLOOKUP(I143,[1]AUTOS!$C:$G,3,0),"")</f>
        <v>2021</v>
      </c>
      <c r="L143" t="str">
        <f>IFERROR(VLOOKUP(I143,[1]AUTOS!$C:$G,4,0),"")</f>
        <v>OCRE</v>
      </c>
      <c r="M143" t="s">
        <v>43</v>
      </c>
      <c r="P143" s="3">
        <v>-1530</v>
      </c>
    </row>
    <row r="144" spans="1:16" hidden="1" x14ac:dyDescent="0.3">
      <c r="A144">
        <v>10</v>
      </c>
      <c r="B144" t="str">
        <f>VLOOKUP($A144,[1]LISTA!$B:$C,2,0)</f>
        <v>MARZO</v>
      </c>
      <c r="C144" s="1">
        <v>2025</v>
      </c>
      <c r="D144" s="1" t="str">
        <f>IF($A144&lt;=[1]RESULTADOS!$D$6,"YTD","YTG")</f>
        <v>YTD</v>
      </c>
      <c r="E144" t="s">
        <v>31</v>
      </c>
      <c r="F144" t="s">
        <v>18</v>
      </c>
      <c r="G144" t="s">
        <v>147</v>
      </c>
      <c r="H144" t="s">
        <v>148</v>
      </c>
      <c r="I144" t="s">
        <v>67</v>
      </c>
      <c r="J144" t="str">
        <f>IFERROR(VLOOKUP(I144,[1]AUTOS!$C:$G,2,0),"")</f>
        <v>KIA RIO</v>
      </c>
      <c r="K144">
        <f>IFERROR(VLOOKUP(I144,[1]AUTOS!$C:$G,3,0),"")</f>
        <v>2020</v>
      </c>
      <c r="L144" t="str">
        <f>IFERROR(VLOOKUP(I144,[1]AUTOS!$C:$G,4,0),"")</f>
        <v>GRIS</v>
      </c>
      <c r="M144" t="s">
        <v>43</v>
      </c>
      <c r="P144" s="3">
        <v>-2850</v>
      </c>
    </row>
    <row r="145" spans="1:16" hidden="1" x14ac:dyDescent="0.3">
      <c r="A145">
        <v>10</v>
      </c>
      <c r="B145" t="str">
        <f>VLOOKUP($A145,[1]LISTA!$B:$C,2,0)</f>
        <v>MARZO</v>
      </c>
      <c r="C145" s="1">
        <v>2025</v>
      </c>
      <c r="D145" s="1" t="str">
        <f>IF($A145&lt;=[1]RESULTADOS!$D$6,"YTD","YTG")</f>
        <v>YTD</v>
      </c>
      <c r="E145" t="s">
        <v>31</v>
      </c>
      <c r="F145" t="s">
        <v>18</v>
      </c>
      <c r="G145" t="s">
        <v>29</v>
      </c>
      <c r="H145" t="s">
        <v>149</v>
      </c>
      <c r="I145" t="s">
        <v>67</v>
      </c>
      <c r="J145" t="str">
        <f>IFERROR(VLOOKUP(I145,[1]AUTOS!$C:$G,2,0),"")</f>
        <v>KIA RIO</v>
      </c>
      <c r="K145">
        <f>IFERROR(VLOOKUP(I145,[1]AUTOS!$C:$G,3,0),"")</f>
        <v>2020</v>
      </c>
      <c r="L145" t="str">
        <f>IFERROR(VLOOKUP(I145,[1]AUTOS!$C:$G,4,0),"")</f>
        <v>GRIS</v>
      </c>
      <c r="M145" t="s">
        <v>43</v>
      </c>
      <c r="P145" s="3">
        <v>-388.33</v>
      </c>
    </row>
    <row r="146" spans="1:16" hidden="1" x14ac:dyDescent="0.3">
      <c r="A146">
        <v>10</v>
      </c>
      <c r="B146" t="str">
        <f>VLOOKUP($A146,[1]LISTA!$B:$C,2,0)</f>
        <v>MARZO</v>
      </c>
      <c r="C146" s="1">
        <v>2025</v>
      </c>
      <c r="D146" s="1" t="str">
        <f>IF($A146&lt;=[1]RESULTADOS!$D$6,"YTD","YTG")</f>
        <v>YTD</v>
      </c>
      <c r="E146" t="s">
        <v>17</v>
      </c>
      <c r="F146" t="s">
        <v>18</v>
      </c>
      <c r="G146" t="s">
        <v>80</v>
      </c>
      <c r="H146" t="s">
        <v>150</v>
      </c>
      <c r="I146" t="s">
        <v>21</v>
      </c>
      <c r="J146" t="str">
        <f>IFERROR(VLOOKUP(I146,[1]AUTOS!$C:$G,2,0),"")</f>
        <v/>
      </c>
      <c r="K146" t="str">
        <f>IFERROR(VLOOKUP(I146,[1]AUTOS!$C:$G,3,0),"")</f>
        <v/>
      </c>
      <c r="L146" t="str">
        <f>IFERROR(VLOOKUP(I146,[1]AUTOS!$C:$G,4,0),"")</f>
        <v/>
      </c>
      <c r="M146" t="s">
        <v>22</v>
      </c>
      <c r="P146" s="3">
        <v>-200</v>
      </c>
    </row>
    <row r="147" spans="1:16" hidden="1" x14ac:dyDescent="0.3">
      <c r="A147">
        <v>10</v>
      </c>
      <c r="B147" t="str">
        <f>VLOOKUP($A147,[1]LISTA!$B:$C,2,0)</f>
        <v>MARZO</v>
      </c>
      <c r="C147" s="1">
        <v>2025</v>
      </c>
      <c r="D147" s="1" t="str">
        <f>IF($A147&lt;=[1]RESULTADOS!$D$6,"YTD","YTG")</f>
        <v>YTD</v>
      </c>
      <c r="E147" t="s">
        <v>31</v>
      </c>
      <c r="F147" t="s">
        <v>18</v>
      </c>
      <c r="G147" t="s">
        <v>57</v>
      </c>
      <c r="H147" t="s">
        <v>151</v>
      </c>
      <c r="I147" t="s">
        <v>37</v>
      </c>
      <c r="J147" t="str">
        <f>IFERROR(VLOOKUP(I147,[1]AUTOS!$C:$G,2,0),"")</f>
        <v>BEAT</v>
      </c>
      <c r="K147">
        <f>IFERROR(VLOOKUP(I147,[1]AUTOS!$C:$G,3,0),"")</f>
        <v>2020</v>
      </c>
      <c r="L147" t="str">
        <f>IFERROR(VLOOKUP(I147,[1]AUTOS!$C:$G,4,0),"")</f>
        <v>GRIS</v>
      </c>
      <c r="M147" t="s">
        <v>35</v>
      </c>
      <c r="P147" s="3">
        <v>-500</v>
      </c>
    </row>
    <row r="148" spans="1:16" hidden="1" x14ac:dyDescent="0.3">
      <c r="A148">
        <v>10</v>
      </c>
      <c r="B148" t="str">
        <f>VLOOKUP($A148,[1]LISTA!$B:$C,2,0)</f>
        <v>MARZO</v>
      </c>
      <c r="C148" s="1">
        <v>2025</v>
      </c>
      <c r="D148" s="1" t="str">
        <f>IF($A148&lt;=[1]RESULTADOS!$D$6,"YTD","YTG")</f>
        <v>YTD</v>
      </c>
      <c r="E148" t="s">
        <v>31</v>
      </c>
      <c r="F148" t="s">
        <v>18</v>
      </c>
      <c r="G148" t="s">
        <v>57</v>
      </c>
      <c r="H148" t="s">
        <v>152</v>
      </c>
      <c r="I148" t="s">
        <v>37</v>
      </c>
      <c r="J148" t="str">
        <f>IFERROR(VLOOKUP(I148,[1]AUTOS!$C:$G,2,0),"")</f>
        <v>BEAT</v>
      </c>
      <c r="K148">
        <f>IFERROR(VLOOKUP(I148,[1]AUTOS!$C:$G,3,0),"")</f>
        <v>2020</v>
      </c>
      <c r="L148" t="str">
        <f>IFERROR(VLOOKUP(I148,[1]AUTOS!$C:$G,4,0),"")</f>
        <v>GRIS</v>
      </c>
      <c r="M148" t="s">
        <v>35</v>
      </c>
      <c r="P148" s="3">
        <v>-300</v>
      </c>
    </row>
    <row r="149" spans="1:16" hidden="1" x14ac:dyDescent="0.3">
      <c r="A149">
        <v>10</v>
      </c>
      <c r="B149" t="str">
        <f>VLOOKUP($A149,[1]LISTA!$B:$C,2,0)</f>
        <v>MARZO</v>
      </c>
      <c r="C149" s="1">
        <v>2025</v>
      </c>
      <c r="D149" s="1" t="str">
        <f>IF($A149&lt;=[1]RESULTADOS!$D$6,"YTD","YTG")</f>
        <v>YTD</v>
      </c>
      <c r="E149" t="s">
        <v>31</v>
      </c>
      <c r="F149" t="s">
        <v>18</v>
      </c>
      <c r="G149" t="s">
        <v>153</v>
      </c>
      <c r="H149" t="s">
        <v>154</v>
      </c>
      <c r="I149" t="s">
        <v>37</v>
      </c>
      <c r="J149" t="str">
        <f>IFERROR(VLOOKUP(I149,[1]AUTOS!$C:$G,2,0),"")</f>
        <v>BEAT</v>
      </c>
      <c r="K149">
        <f>IFERROR(VLOOKUP(I149,[1]AUTOS!$C:$G,3,0),"")</f>
        <v>2020</v>
      </c>
      <c r="L149" t="str">
        <f>IFERROR(VLOOKUP(I149,[1]AUTOS!$C:$G,4,0),"")</f>
        <v>GRIS</v>
      </c>
      <c r="M149" t="s">
        <v>35</v>
      </c>
      <c r="P149" s="3">
        <v>-120</v>
      </c>
    </row>
    <row r="150" spans="1:16" hidden="1" x14ac:dyDescent="0.3">
      <c r="A150">
        <v>10</v>
      </c>
      <c r="B150" t="str">
        <f>VLOOKUP($A150,[1]LISTA!$B:$C,2,0)</f>
        <v>MARZO</v>
      </c>
      <c r="C150" s="1">
        <v>2025</v>
      </c>
      <c r="D150" s="1" t="str">
        <f>IF($A150&lt;=[1]RESULTADOS!$D$6,"YTD","YTG")</f>
        <v>YTD</v>
      </c>
      <c r="E150" t="s">
        <v>31</v>
      </c>
      <c r="F150" t="s">
        <v>18</v>
      </c>
      <c r="G150" t="s">
        <v>153</v>
      </c>
      <c r="H150" t="s">
        <v>155</v>
      </c>
      <c r="I150" t="s">
        <v>79</v>
      </c>
      <c r="J150" t="str">
        <f>IFERROR(VLOOKUP(I150,[1]AUTOS!$C:$G,2,0),"")</f>
        <v>AVEO</v>
      </c>
      <c r="K150">
        <f>IFERROR(VLOOKUP(I150,[1]AUTOS!$C:$G,3,0),"")</f>
        <v>2021</v>
      </c>
      <c r="L150" t="str">
        <f>IFERROR(VLOOKUP(I150,[1]AUTOS!$C:$G,4,0),"")</f>
        <v>OCRE</v>
      </c>
      <c r="M150" t="s">
        <v>43</v>
      </c>
      <c r="P150" s="3">
        <v>-580</v>
      </c>
    </row>
    <row r="151" spans="1:16" hidden="1" x14ac:dyDescent="0.3">
      <c r="A151">
        <v>10</v>
      </c>
      <c r="B151" t="str">
        <f>VLOOKUP($A151,[1]LISTA!$B:$C,2,0)</f>
        <v>MARZO</v>
      </c>
      <c r="C151" s="1">
        <v>2025</v>
      </c>
      <c r="D151" s="1" t="str">
        <f>IF($A151&lt;=[1]RESULTADOS!$D$6,"YTD","YTG")</f>
        <v>YTD</v>
      </c>
      <c r="E151" t="s">
        <v>17</v>
      </c>
      <c r="F151" t="s">
        <v>18</v>
      </c>
      <c r="G151" t="s">
        <v>29</v>
      </c>
      <c r="H151" t="s">
        <v>156</v>
      </c>
      <c r="I151" t="s">
        <v>21</v>
      </c>
      <c r="J151" t="str">
        <f>IFERROR(VLOOKUP(I151,[1]AUTOS!$C:$G,2,0),"")</f>
        <v/>
      </c>
      <c r="K151" t="str">
        <f>IFERROR(VLOOKUP(I151,[1]AUTOS!$C:$G,3,0),"")</f>
        <v/>
      </c>
      <c r="L151" t="str">
        <f>IFERROR(VLOOKUP(I151,[1]AUTOS!$C:$G,4,0),"")</f>
        <v/>
      </c>
      <c r="M151" t="s">
        <v>22</v>
      </c>
      <c r="P151" s="3">
        <v>-540</v>
      </c>
    </row>
    <row r="152" spans="1:16" hidden="1" x14ac:dyDescent="0.3">
      <c r="A152">
        <v>11</v>
      </c>
      <c r="B152" t="str">
        <f>VLOOKUP($A152,[1]LISTA!$B:$C,2,0)</f>
        <v>MARZO</v>
      </c>
      <c r="C152" s="1">
        <v>2025</v>
      </c>
      <c r="D152" s="1" t="str">
        <f>IF($A152&lt;=[1]RESULTADOS!$D$6,"YTD","YTG")</f>
        <v>YTD</v>
      </c>
      <c r="E152" t="s">
        <v>17</v>
      </c>
      <c r="F152" t="s">
        <v>18</v>
      </c>
      <c r="G152" t="s">
        <v>23</v>
      </c>
      <c r="H152" t="s">
        <v>157</v>
      </c>
      <c r="I152" t="s">
        <v>21</v>
      </c>
      <c r="J152" t="str">
        <f>IFERROR(VLOOKUP(I152,[1]AUTOS!$C:$G,2,0),"")</f>
        <v/>
      </c>
      <c r="K152" t="str">
        <f>IFERROR(VLOOKUP(I152,[1]AUTOS!$C:$G,3,0),"")</f>
        <v/>
      </c>
      <c r="L152" t="str">
        <f>IFERROR(VLOOKUP(I152,[1]AUTOS!$C:$G,4,0),"")</f>
        <v/>
      </c>
      <c r="M152" t="s">
        <v>22</v>
      </c>
      <c r="P152" s="3">
        <v>-50</v>
      </c>
    </row>
    <row r="153" spans="1:16" hidden="1" x14ac:dyDescent="0.3">
      <c r="A153">
        <v>11</v>
      </c>
      <c r="B153" t="str">
        <f>VLOOKUP($A153,[1]LISTA!$B:$C,2,0)</f>
        <v>MARZO</v>
      </c>
      <c r="C153" s="1">
        <v>2025</v>
      </c>
      <c r="D153" s="1" t="str">
        <f>IF($A153&lt;=[1]RESULTADOS!$D$6,"YTD","YTG")</f>
        <v>YTD</v>
      </c>
      <c r="E153" t="s">
        <v>31</v>
      </c>
      <c r="F153" t="s">
        <v>18</v>
      </c>
      <c r="G153" t="s">
        <v>41</v>
      </c>
      <c r="H153" t="s">
        <v>41</v>
      </c>
      <c r="I153" t="s">
        <v>144</v>
      </c>
      <c r="J153" t="str">
        <f>IFERROR(VLOOKUP(I153,[1]AUTOS!$C:$G,2,0),"")</f>
        <v>VERSA</v>
      </c>
      <c r="K153">
        <f>IFERROR(VLOOKUP(I153,[1]AUTOS!$C:$G,3,0),"")</f>
        <v>2020</v>
      </c>
      <c r="L153" t="str">
        <f>IFERROR(VLOOKUP(I153,[1]AUTOS!$C:$G,4,0),"")</f>
        <v>ROJO</v>
      </c>
      <c r="M153" t="s">
        <v>43</v>
      </c>
      <c r="P153" s="3">
        <v>-1530</v>
      </c>
    </row>
    <row r="154" spans="1:16" hidden="1" x14ac:dyDescent="0.3">
      <c r="A154">
        <v>11</v>
      </c>
      <c r="B154" t="str">
        <f>VLOOKUP($A154,[1]LISTA!$B:$C,2,0)</f>
        <v>MARZO</v>
      </c>
      <c r="C154" s="1">
        <v>2025</v>
      </c>
      <c r="D154" s="1" t="str">
        <f>IF($A154&lt;=[1]RESULTADOS!$D$6,"YTD","YTG")</f>
        <v>YTD</v>
      </c>
      <c r="E154" t="s">
        <v>31</v>
      </c>
      <c r="F154" t="s">
        <v>18</v>
      </c>
      <c r="G154" t="s">
        <v>77</v>
      </c>
      <c r="H154" t="s">
        <v>78</v>
      </c>
      <c r="I154" t="s">
        <v>144</v>
      </c>
      <c r="J154" t="str">
        <f>IFERROR(VLOOKUP(I154,[1]AUTOS!$C:$G,2,0),"")</f>
        <v>VERSA</v>
      </c>
      <c r="K154">
        <f>IFERROR(VLOOKUP(I154,[1]AUTOS!$C:$G,3,0),"")</f>
        <v>2020</v>
      </c>
      <c r="L154" t="str">
        <f>IFERROR(VLOOKUP(I154,[1]AUTOS!$C:$G,4,0),"")</f>
        <v>ROJO</v>
      </c>
      <c r="M154" t="s">
        <v>43</v>
      </c>
      <c r="P154" s="3">
        <v>-820</v>
      </c>
    </row>
    <row r="155" spans="1:16" hidden="1" x14ac:dyDescent="0.3">
      <c r="A155">
        <v>11</v>
      </c>
      <c r="B155" t="str">
        <f>VLOOKUP($A155,[1]LISTA!$B:$C,2,0)</f>
        <v>MARZO</v>
      </c>
      <c r="C155" s="1">
        <v>2025</v>
      </c>
      <c r="D155" s="1" t="str">
        <f>IF($A155&lt;=[1]RESULTADOS!$D$6,"YTD","YTG")</f>
        <v>YTD</v>
      </c>
      <c r="E155" t="s">
        <v>31</v>
      </c>
      <c r="F155" t="s">
        <v>18</v>
      </c>
      <c r="G155" t="s">
        <v>158</v>
      </c>
      <c r="H155" t="s">
        <v>159</v>
      </c>
      <c r="I155" t="s">
        <v>144</v>
      </c>
      <c r="J155" t="str">
        <f>IFERROR(VLOOKUP(I155,[1]AUTOS!$C:$G,2,0),"")</f>
        <v>VERSA</v>
      </c>
      <c r="K155">
        <f>IFERROR(VLOOKUP(I155,[1]AUTOS!$C:$G,3,0),"")</f>
        <v>2020</v>
      </c>
      <c r="L155" t="str">
        <f>IFERROR(VLOOKUP(I155,[1]AUTOS!$C:$G,4,0),"")</f>
        <v>ROJO</v>
      </c>
      <c r="M155" t="s">
        <v>43</v>
      </c>
      <c r="P155" s="3">
        <v>-1300</v>
      </c>
    </row>
    <row r="156" spans="1:16" hidden="1" x14ac:dyDescent="0.3">
      <c r="A156">
        <v>11</v>
      </c>
      <c r="B156" t="str">
        <f>VLOOKUP($A156,[1]LISTA!$B:$C,2,0)</f>
        <v>MARZO</v>
      </c>
      <c r="C156" s="1">
        <v>2025</v>
      </c>
      <c r="D156" s="1" t="str">
        <f>IF($A156&lt;=[1]RESULTADOS!$D$6,"YTD","YTG")</f>
        <v>YTD</v>
      </c>
      <c r="E156" t="s">
        <v>31</v>
      </c>
      <c r="F156" t="s">
        <v>18</v>
      </c>
      <c r="G156" t="s">
        <v>160</v>
      </c>
      <c r="H156" t="s">
        <v>161</v>
      </c>
      <c r="I156" t="s">
        <v>144</v>
      </c>
      <c r="J156" t="str">
        <f>IFERROR(VLOOKUP(I156,[1]AUTOS!$C:$G,2,0),"")</f>
        <v>VERSA</v>
      </c>
      <c r="K156">
        <f>IFERROR(VLOOKUP(I156,[1]AUTOS!$C:$G,3,0),"")</f>
        <v>2020</v>
      </c>
      <c r="L156" t="str">
        <f>IFERROR(VLOOKUP(I156,[1]AUTOS!$C:$G,4,0),"")</f>
        <v>ROJO</v>
      </c>
      <c r="M156" t="s">
        <v>43</v>
      </c>
      <c r="P156" s="3">
        <v>-15000</v>
      </c>
    </row>
    <row r="157" spans="1:16" hidden="1" x14ac:dyDescent="0.3">
      <c r="A157">
        <v>11</v>
      </c>
      <c r="B157" t="str">
        <f>VLOOKUP($A157,[1]LISTA!$B:$C,2,0)</f>
        <v>MARZO</v>
      </c>
      <c r="C157" s="1">
        <v>2025</v>
      </c>
      <c r="D157" s="1" t="str">
        <f>IF($A157&lt;=[1]RESULTADOS!$D$6,"YTD","YTG")</f>
        <v>YTD</v>
      </c>
      <c r="E157" t="s">
        <v>31</v>
      </c>
      <c r="F157" t="s">
        <v>18</v>
      </c>
      <c r="G157" t="s">
        <v>160</v>
      </c>
      <c r="H157" t="s">
        <v>161</v>
      </c>
      <c r="I157" t="s">
        <v>162</v>
      </c>
      <c r="J157" t="str">
        <f>IFERROR(VLOOKUP(I157,[1]AUTOS!$C:$G,2,0),"")</f>
        <v>HYUNDAI</v>
      </c>
      <c r="K157">
        <f>IFERROR(VLOOKUP(I157,[1]AUTOS!$C:$G,3,0),"")</f>
        <v>2022</v>
      </c>
      <c r="L157" t="str">
        <f>IFERROR(VLOOKUP(I157,[1]AUTOS!$C:$G,4,0),"")</f>
        <v>PLATA</v>
      </c>
      <c r="M157" t="s">
        <v>43</v>
      </c>
      <c r="P157" s="3">
        <v>-16881</v>
      </c>
    </row>
    <row r="158" spans="1:16" hidden="1" x14ac:dyDescent="0.3">
      <c r="A158">
        <v>11</v>
      </c>
      <c r="B158" t="str">
        <f>VLOOKUP($A158,[1]LISTA!$B:$C,2,0)</f>
        <v>MARZO</v>
      </c>
      <c r="C158" s="1">
        <v>2025</v>
      </c>
      <c r="D158" s="1" t="str">
        <f>IF($A158&lt;=[1]RESULTADOS!$D$6,"YTD","YTG")</f>
        <v>YTD</v>
      </c>
      <c r="E158" t="s">
        <v>31</v>
      </c>
      <c r="F158" t="s">
        <v>18</v>
      </c>
      <c r="G158" t="s">
        <v>48</v>
      </c>
      <c r="H158" t="s">
        <v>163</v>
      </c>
      <c r="I158" t="s">
        <v>34</v>
      </c>
      <c r="J158" t="str">
        <f>IFERROR(VLOOKUP(I158,[1]AUTOS!$C:$G,2,0),"")</f>
        <v>AVEO</v>
      </c>
      <c r="K158">
        <f>IFERROR(VLOOKUP(I158,[1]AUTOS!$C:$G,3,0),"")</f>
        <v>2018</v>
      </c>
      <c r="L158" t="str">
        <f>IFERROR(VLOOKUP(I158,[1]AUTOS!$C:$G,4,0),"")</f>
        <v>ROJO</v>
      </c>
      <c r="M158" t="s">
        <v>35</v>
      </c>
      <c r="P158" s="3">
        <v>-1960</v>
      </c>
    </row>
    <row r="159" spans="1:16" hidden="1" x14ac:dyDescent="0.3">
      <c r="A159">
        <v>11</v>
      </c>
      <c r="B159" t="str">
        <f>VLOOKUP($A159,[1]LISTA!$B:$C,2,0)</f>
        <v>MARZO</v>
      </c>
      <c r="C159" s="1">
        <v>2025</v>
      </c>
      <c r="D159" s="1" t="str">
        <f>IF($A159&lt;=[1]RESULTADOS!$D$6,"YTD","YTG")</f>
        <v>YTD</v>
      </c>
      <c r="E159" t="s">
        <v>31</v>
      </c>
      <c r="F159" t="s">
        <v>18</v>
      </c>
      <c r="G159" t="s">
        <v>48</v>
      </c>
      <c r="H159" t="s">
        <v>164</v>
      </c>
      <c r="I159" t="s">
        <v>59</v>
      </c>
      <c r="J159" t="str">
        <f>IFERROR(VLOOKUP(I159,[1]AUTOS!$C:$G,2,0),"")</f>
        <v>AVEO</v>
      </c>
      <c r="K159">
        <f>IFERROR(VLOOKUP(I159,[1]AUTOS!$C:$G,3,0),"")</f>
        <v>2019</v>
      </c>
      <c r="L159" t="str">
        <f>IFERROR(VLOOKUP(I159,[1]AUTOS!$C:$G,4,0),"")</f>
        <v>BLANCO</v>
      </c>
      <c r="M159" t="s">
        <v>43</v>
      </c>
      <c r="P159" s="3">
        <v>-2100</v>
      </c>
    </row>
    <row r="160" spans="1:16" hidden="1" x14ac:dyDescent="0.3">
      <c r="A160">
        <v>11</v>
      </c>
      <c r="B160" t="str">
        <f>VLOOKUP($A160,[1]LISTA!$B:$C,2,0)</f>
        <v>MARZO</v>
      </c>
      <c r="C160" s="1">
        <v>2025</v>
      </c>
      <c r="D160" s="1" t="str">
        <f>IF($A160&lt;=[1]RESULTADOS!$D$6,"YTD","YTG")</f>
        <v>YTD</v>
      </c>
      <c r="E160" t="s">
        <v>31</v>
      </c>
      <c r="F160" t="s">
        <v>18</v>
      </c>
      <c r="G160" t="s">
        <v>32</v>
      </c>
      <c r="H160" t="s">
        <v>165</v>
      </c>
      <c r="I160" t="s">
        <v>131</v>
      </c>
      <c r="J160" t="str">
        <f>IFERROR(VLOOKUP(I160,[1]AUTOS!$C:$G,2,0),"")</f>
        <v>AVEO</v>
      </c>
      <c r="K160">
        <f>IFERROR(VLOOKUP(I160,[1]AUTOS!$C:$G,3,0),"")</f>
        <v>2024</v>
      </c>
      <c r="L160" t="str">
        <f>IFERROR(VLOOKUP(I160,[1]AUTOS!$C:$G,4,0),"")</f>
        <v>GRIS</v>
      </c>
      <c r="M160" t="s">
        <v>43</v>
      </c>
      <c r="P160" s="3">
        <v>-650</v>
      </c>
    </row>
    <row r="161" spans="1:16" hidden="1" x14ac:dyDescent="0.3">
      <c r="A161">
        <v>11</v>
      </c>
      <c r="B161" t="str">
        <f>VLOOKUP($A161,[1]LISTA!$B:$C,2,0)</f>
        <v>MARZO</v>
      </c>
      <c r="C161" s="1">
        <v>2025</v>
      </c>
      <c r="D161" s="1" t="str">
        <f>IF($A161&lt;=[1]RESULTADOS!$D$6,"YTD","YTG")</f>
        <v>YTD</v>
      </c>
      <c r="E161" t="s">
        <v>31</v>
      </c>
      <c r="F161" t="s">
        <v>18</v>
      </c>
      <c r="G161" t="s">
        <v>87</v>
      </c>
      <c r="H161" t="s">
        <v>166</v>
      </c>
      <c r="I161" t="s">
        <v>131</v>
      </c>
      <c r="J161" t="str">
        <f>IFERROR(VLOOKUP(I161,[1]AUTOS!$C:$G,2,0),"")</f>
        <v>AVEO</v>
      </c>
      <c r="K161">
        <f>IFERROR(VLOOKUP(I161,[1]AUTOS!$C:$G,3,0),"")</f>
        <v>2024</v>
      </c>
      <c r="L161" t="str">
        <f>IFERROR(VLOOKUP(I161,[1]AUTOS!$C:$G,4,0),"")</f>
        <v>GRIS</v>
      </c>
      <c r="M161" t="s">
        <v>43</v>
      </c>
      <c r="P161" s="3">
        <v>-700</v>
      </c>
    </row>
    <row r="162" spans="1:16" hidden="1" x14ac:dyDescent="0.3">
      <c r="A162">
        <v>11</v>
      </c>
      <c r="B162" t="str">
        <f>VLOOKUP($A162,[1]LISTA!$B:$C,2,0)</f>
        <v>MARZO</v>
      </c>
      <c r="C162" s="1">
        <v>2025</v>
      </c>
      <c r="D162" s="1" t="str">
        <f>IF($A162&lt;=[1]RESULTADOS!$D$6,"YTD","YTG")</f>
        <v>YTD</v>
      </c>
      <c r="E162" t="s">
        <v>31</v>
      </c>
      <c r="F162" t="s">
        <v>18</v>
      </c>
      <c r="G162" t="s">
        <v>64</v>
      </c>
      <c r="H162" t="s">
        <v>64</v>
      </c>
      <c r="I162" t="s">
        <v>131</v>
      </c>
      <c r="J162" t="str">
        <f>IFERROR(VLOOKUP(I162,[1]AUTOS!$C:$G,2,0),"")</f>
        <v>AVEO</v>
      </c>
      <c r="K162">
        <f>IFERROR(VLOOKUP(I162,[1]AUTOS!$C:$G,3,0),"")</f>
        <v>2024</v>
      </c>
      <c r="L162" t="str">
        <f>IFERROR(VLOOKUP(I162,[1]AUTOS!$C:$G,4,0),"")</f>
        <v>GRIS</v>
      </c>
      <c r="M162" t="s">
        <v>43</v>
      </c>
      <c r="P162" s="3">
        <v>-300</v>
      </c>
    </row>
    <row r="163" spans="1:16" hidden="1" x14ac:dyDescent="0.3">
      <c r="A163">
        <v>11</v>
      </c>
      <c r="B163" t="str">
        <f>VLOOKUP($A163,[1]LISTA!$B:$C,2,0)</f>
        <v>MARZO</v>
      </c>
      <c r="C163" s="1">
        <v>2025</v>
      </c>
      <c r="D163" s="1" t="str">
        <f>IF($A163&lt;=[1]RESULTADOS!$D$6,"YTD","YTG")</f>
        <v>YTD</v>
      </c>
      <c r="E163" t="s">
        <v>31</v>
      </c>
      <c r="F163" t="s">
        <v>18</v>
      </c>
      <c r="G163" t="s">
        <v>87</v>
      </c>
      <c r="H163" t="s">
        <v>167</v>
      </c>
      <c r="I163" t="s">
        <v>131</v>
      </c>
      <c r="J163" t="str">
        <f>IFERROR(VLOOKUP(I163,[1]AUTOS!$C:$G,2,0),"")</f>
        <v>AVEO</v>
      </c>
      <c r="K163">
        <f>IFERROR(VLOOKUP(I163,[1]AUTOS!$C:$G,3,0),"")</f>
        <v>2024</v>
      </c>
      <c r="L163" t="str">
        <f>IFERROR(VLOOKUP(I163,[1]AUTOS!$C:$G,4,0),"")</f>
        <v>GRIS</v>
      </c>
      <c r="M163" t="s">
        <v>43</v>
      </c>
      <c r="P163" s="3">
        <v>-8500</v>
      </c>
    </row>
    <row r="164" spans="1:16" hidden="1" x14ac:dyDescent="0.3">
      <c r="A164">
        <v>10</v>
      </c>
      <c r="B164" t="str">
        <f>VLOOKUP($A164,[1]LISTA!$B:$C,2,0)</f>
        <v>MARZO</v>
      </c>
      <c r="C164" s="1">
        <v>2025</v>
      </c>
      <c r="D164" s="1" t="str">
        <f>IF($A164&lt;=[1]RESULTADOS!$D$6,"YTD","YTG")</f>
        <v>YTD</v>
      </c>
      <c r="E164" t="s">
        <v>31</v>
      </c>
      <c r="F164" t="s">
        <v>18</v>
      </c>
      <c r="G164" t="s">
        <v>48</v>
      </c>
      <c r="H164" t="s">
        <v>168</v>
      </c>
      <c r="I164" t="s">
        <v>131</v>
      </c>
      <c r="J164" t="str">
        <f>IFERROR(VLOOKUP(I164,[1]AUTOS!$C:$G,2,0),"")</f>
        <v>AVEO</v>
      </c>
      <c r="K164">
        <f>IFERROR(VLOOKUP(I164,[1]AUTOS!$C:$G,3,0),"")</f>
        <v>2024</v>
      </c>
      <c r="L164" t="str">
        <f>IFERROR(VLOOKUP(I164,[1]AUTOS!$C:$G,4,0),"")</f>
        <v>GRIS</v>
      </c>
      <c r="M164" t="s">
        <v>43</v>
      </c>
      <c r="P164" s="3">
        <v>-1050</v>
      </c>
    </row>
    <row r="165" spans="1:16" hidden="1" x14ac:dyDescent="0.3">
      <c r="A165">
        <v>11</v>
      </c>
      <c r="B165" t="str">
        <f>VLOOKUP($A165,[1]LISTA!$B:$C,2,0)</f>
        <v>MARZO</v>
      </c>
      <c r="C165" s="1">
        <v>2025</v>
      </c>
      <c r="D165" s="1" t="str">
        <f>IF($A165&lt;=[1]RESULTADOS!$D$6,"YTD","YTG")</f>
        <v>YTD</v>
      </c>
      <c r="E165" t="s">
        <v>31</v>
      </c>
      <c r="F165" t="s">
        <v>18</v>
      </c>
      <c r="G165" t="s">
        <v>77</v>
      </c>
      <c r="H165" t="s">
        <v>78</v>
      </c>
      <c r="I165" t="s">
        <v>51</v>
      </c>
      <c r="J165" t="str">
        <f>IFERROR(VLOOKUP(I165,[1]AUTOS!$C:$G,2,0),"")</f>
        <v>VENTO</v>
      </c>
      <c r="K165">
        <f>IFERROR(VLOOKUP(I165,[1]AUTOS!$C:$G,3,0),"")</f>
        <v>2017</v>
      </c>
      <c r="L165" t="str">
        <f>IFERROR(VLOOKUP(I165,[1]AUTOS!$C:$G,4,0),"")</f>
        <v>GRIS</v>
      </c>
      <c r="M165" t="s">
        <v>22</v>
      </c>
      <c r="P165" s="3">
        <v>-820</v>
      </c>
    </row>
    <row r="166" spans="1:16" hidden="1" x14ac:dyDescent="0.3">
      <c r="A166">
        <v>10</v>
      </c>
      <c r="B166" t="str">
        <f>VLOOKUP($A166,[1]LISTA!$B:$C,2,0)</f>
        <v>MARZO</v>
      </c>
      <c r="C166" s="1">
        <v>2025</v>
      </c>
      <c r="D166" s="1" t="str">
        <f>IF($A166&lt;=[1]RESULTADOS!$D$6,"YTD","YTG")</f>
        <v>YTD</v>
      </c>
      <c r="E166" t="s">
        <v>31</v>
      </c>
      <c r="F166" t="s">
        <v>18</v>
      </c>
      <c r="G166" t="s">
        <v>38</v>
      </c>
      <c r="H166" t="s">
        <v>169</v>
      </c>
      <c r="I166" t="s">
        <v>51</v>
      </c>
      <c r="J166" t="str">
        <f>IFERROR(VLOOKUP(I166,[1]AUTOS!$C:$G,2,0),"")</f>
        <v>VENTO</v>
      </c>
      <c r="K166">
        <f>IFERROR(VLOOKUP(I166,[1]AUTOS!$C:$G,3,0),"")</f>
        <v>2017</v>
      </c>
      <c r="L166" t="str">
        <f>IFERROR(VLOOKUP(I166,[1]AUTOS!$C:$G,4,0),"")</f>
        <v>GRIS</v>
      </c>
      <c r="M166" t="s">
        <v>22</v>
      </c>
      <c r="P166" s="3">
        <v>-150</v>
      </c>
    </row>
    <row r="167" spans="1:16" hidden="1" x14ac:dyDescent="0.3">
      <c r="A167">
        <v>10</v>
      </c>
      <c r="B167" t="str">
        <f>VLOOKUP($A167,[1]LISTA!$B:$C,2,0)</f>
        <v>MARZO</v>
      </c>
      <c r="C167" s="1">
        <v>2025</v>
      </c>
      <c r="D167" s="1" t="str">
        <f>IF($A167&lt;=[1]RESULTADOS!$D$6,"YTD","YTG")</f>
        <v>YTD</v>
      </c>
      <c r="E167" t="s">
        <v>31</v>
      </c>
      <c r="F167" t="s">
        <v>18</v>
      </c>
      <c r="G167" t="s">
        <v>38</v>
      </c>
      <c r="H167" t="s">
        <v>169</v>
      </c>
      <c r="I167" t="s">
        <v>51</v>
      </c>
      <c r="J167" t="str">
        <f>IFERROR(VLOOKUP(I167,[1]AUTOS!$C:$G,2,0),"")</f>
        <v>VENTO</v>
      </c>
      <c r="K167">
        <f>IFERROR(VLOOKUP(I167,[1]AUTOS!$C:$G,3,0),"")</f>
        <v>2017</v>
      </c>
      <c r="L167" t="str">
        <f>IFERROR(VLOOKUP(I167,[1]AUTOS!$C:$G,4,0),"")</f>
        <v>GRIS</v>
      </c>
      <c r="M167" t="s">
        <v>22</v>
      </c>
      <c r="P167" s="3">
        <v>-190</v>
      </c>
    </row>
    <row r="168" spans="1:16" hidden="1" x14ac:dyDescent="0.3">
      <c r="A168">
        <v>10</v>
      </c>
      <c r="B168" t="str">
        <f>VLOOKUP($A168,[1]LISTA!$B:$C,2,0)</f>
        <v>MARZO</v>
      </c>
      <c r="C168" s="1">
        <v>2025</v>
      </c>
      <c r="D168" s="1" t="str">
        <f>IF($A168&lt;=[1]RESULTADOS!$D$6,"YTD","YTG")</f>
        <v>YTD</v>
      </c>
      <c r="E168" t="s">
        <v>31</v>
      </c>
      <c r="F168" t="s">
        <v>18</v>
      </c>
      <c r="G168" t="s">
        <v>38</v>
      </c>
      <c r="H168" t="s">
        <v>169</v>
      </c>
      <c r="I168" t="s">
        <v>51</v>
      </c>
      <c r="J168" t="str">
        <f>IFERROR(VLOOKUP(I168,[1]AUTOS!$C:$G,2,0),"")</f>
        <v>VENTO</v>
      </c>
      <c r="K168">
        <f>IFERROR(VLOOKUP(I168,[1]AUTOS!$C:$G,3,0),"")</f>
        <v>2017</v>
      </c>
      <c r="L168" t="str">
        <f>IFERROR(VLOOKUP(I168,[1]AUTOS!$C:$G,4,0),"")</f>
        <v>GRIS</v>
      </c>
      <c r="M168" t="s">
        <v>22</v>
      </c>
      <c r="P168" s="3">
        <v>-630</v>
      </c>
    </row>
    <row r="169" spans="1:16" hidden="1" x14ac:dyDescent="0.3">
      <c r="A169">
        <v>10</v>
      </c>
      <c r="B169" t="str">
        <f>VLOOKUP($A169,[1]LISTA!$B:$C,2,0)</f>
        <v>MARZO</v>
      </c>
      <c r="C169" s="1">
        <v>2025</v>
      </c>
      <c r="D169" s="1" t="str">
        <f>IF($A169&lt;=[1]RESULTADOS!$D$6,"YTD","YTG")</f>
        <v>YTD</v>
      </c>
      <c r="E169" t="s">
        <v>31</v>
      </c>
      <c r="F169" t="s">
        <v>18</v>
      </c>
      <c r="G169" t="s">
        <v>38</v>
      </c>
      <c r="H169" t="s">
        <v>169</v>
      </c>
      <c r="I169" t="s">
        <v>51</v>
      </c>
      <c r="J169" t="str">
        <f>IFERROR(VLOOKUP(I169,[1]AUTOS!$C:$G,2,0),"")</f>
        <v>VENTO</v>
      </c>
      <c r="K169">
        <f>IFERROR(VLOOKUP(I169,[1]AUTOS!$C:$G,3,0),"")</f>
        <v>2017</v>
      </c>
      <c r="L169" t="str">
        <f>IFERROR(VLOOKUP(I169,[1]AUTOS!$C:$G,4,0),"")</f>
        <v>GRIS</v>
      </c>
      <c r="M169" t="s">
        <v>22</v>
      </c>
      <c r="P169" s="3">
        <v>-595</v>
      </c>
    </row>
    <row r="170" spans="1:16" hidden="1" x14ac:dyDescent="0.3">
      <c r="A170">
        <v>10</v>
      </c>
      <c r="B170" t="str">
        <f>VLOOKUP($A170,[1]LISTA!$B:$C,2,0)</f>
        <v>MARZO</v>
      </c>
      <c r="C170" s="1">
        <v>2025</v>
      </c>
      <c r="D170" s="1" t="str">
        <f>IF($A170&lt;=[1]RESULTADOS!$D$6,"YTD","YTG")</f>
        <v>YTD</v>
      </c>
      <c r="E170" t="s">
        <v>31</v>
      </c>
      <c r="F170" t="s">
        <v>18</v>
      </c>
      <c r="G170" t="s">
        <v>38</v>
      </c>
      <c r="H170" t="s">
        <v>169</v>
      </c>
      <c r="I170" t="s">
        <v>51</v>
      </c>
      <c r="J170" t="str">
        <f>IFERROR(VLOOKUP(I170,[1]AUTOS!$C:$G,2,0),"")</f>
        <v>VENTO</v>
      </c>
      <c r="K170">
        <f>IFERROR(VLOOKUP(I170,[1]AUTOS!$C:$G,3,0),"")</f>
        <v>2017</v>
      </c>
      <c r="L170" t="str">
        <f>IFERROR(VLOOKUP(I170,[1]AUTOS!$C:$G,4,0),"")</f>
        <v>GRIS</v>
      </c>
      <c r="M170" t="s">
        <v>22</v>
      </c>
      <c r="P170" s="3">
        <v>-280</v>
      </c>
    </row>
    <row r="171" spans="1:16" hidden="1" x14ac:dyDescent="0.3">
      <c r="A171">
        <v>10</v>
      </c>
      <c r="B171" t="str">
        <f>VLOOKUP($A171,[1]LISTA!$B:$C,2,0)</f>
        <v>MARZO</v>
      </c>
      <c r="C171" s="1">
        <v>2025</v>
      </c>
      <c r="D171" s="1" t="str">
        <f>IF($A171&lt;=[1]RESULTADOS!$D$6,"YTD","YTG")</f>
        <v>YTD</v>
      </c>
      <c r="E171" t="s">
        <v>31</v>
      </c>
      <c r="F171" t="s">
        <v>18</v>
      </c>
      <c r="G171" t="s">
        <v>38</v>
      </c>
      <c r="H171" t="s">
        <v>169</v>
      </c>
      <c r="I171" t="s">
        <v>51</v>
      </c>
      <c r="J171" t="str">
        <f>IFERROR(VLOOKUP(I171,[1]AUTOS!$C:$G,2,0),"")</f>
        <v>VENTO</v>
      </c>
      <c r="K171">
        <f>IFERROR(VLOOKUP(I171,[1]AUTOS!$C:$G,3,0),"")</f>
        <v>2017</v>
      </c>
      <c r="L171" t="str">
        <f>IFERROR(VLOOKUP(I171,[1]AUTOS!$C:$G,4,0),"")</f>
        <v>GRIS</v>
      </c>
      <c r="M171" t="s">
        <v>22</v>
      </c>
      <c r="P171" s="3">
        <v>-200</v>
      </c>
    </row>
    <row r="172" spans="1:16" hidden="1" x14ac:dyDescent="0.3">
      <c r="A172">
        <v>11</v>
      </c>
      <c r="B172" t="str">
        <f>VLOOKUP($A172,[1]LISTA!$B:$C,2,0)</f>
        <v>MARZO</v>
      </c>
      <c r="C172" s="1">
        <v>2025</v>
      </c>
      <c r="D172" s="1" t="str">
        <f>IF($A172&lt;=[1]RESULTADOS!$D$6,"YTD","YTG")</f>
        <v>YTD</v>
      </c>
      <c r="E172" t="s">
        <v>31</v>
      </c>
      <c r="F172" t="s">
        <v>18</v>
      </c>
      <c r="G172" t="s">
        <v>57</v>
      </c>
      <c r="H172" t="s">
        <v>170</v>
      </c>
      <c r="I172" t="s">
        <v>59</v>
      </c>
      <c r="J172" t="str">
        <f>IFERROR(VLOOKUP(I172,[1]AUTOS!$C:$G,2,0),"")</f>
        <v>AVEO</v>
      </c>
      <c r="K172">
        <f>IFERROR(VLOOKUP(I172,[1]AUTOS!$C:$G,3,0),"")</f>
        <v>2019</v>
      </c>
      <c r="L172" t="str">
        <f>IFERROR(VLOOKUP(I172,[1]AUTOS!$C:$G,4,0),"")</f>
        <v>BLANCO</v>
      </c>
      <c r="M172" t="s">
        <v>43</v>
      </c>
      <c r="P172" s="3">
        <v>-1782</v>
      </c>
    </row>
    <row r="173" spans="1:16" hidden="1" x14ac:dyDescent="0.3">
      <c r="A173">
        <v>11</v>
      </c>
      <c r="B173" t="str">
        <f>VLOOKUP($A173,[1]LISTA!$B:$C,2,0)</f>
        <v>MARZO</v>
      </c>
      <c r="C173" s="1">
        <v>2025</v>
      </c>
      <c r="D173" s="1" t="str">
        <f>IF($A173&lt;=[1]RESULTADOS!$D$6,"YTD","YTG")</f>
        <v>YTD</v>
      </c>
      <c r="E173" t="s">
        <v>31</v>
      </c>
      <c r="F173" t="s">
        <v>18</v>
      </c>
      <c r="G173" t="s">
        <v>87</v>
      </c>
      <c r="H173" t="s">
        <v>171</v>
      </c>
      <c r="I173" t="s">
        <v>112</v>
      </c>
      <c r="J173" t="str">
        <f>IFERROR(VLOOKUP(I173,[1]AUTOS!$C:$G,2,0),"")</f>
        <v>KIA RIO</v>
      </c>
      <c r="K173">
        <f>IFERROR(VLOOKUP(I173,[1]AUTOS!$C:$G,3,0),"")</f>
        <v>2020</v>
      </c>
      <c r="L173" t="str">
        <f>IFERROR(VLOOKUP(I173,[1]AUTOS!$C:$G,4,0),"")</f>
        <v>ROJO</v>
      </c>
      <c r="M173" t="s">
        <v>43</v>
      </c>
      <c r="P173" s="3">
        <v>-300</v>
      </c>
    </row>
    <row r="174" spans="1:16" hidden="1" x14ac:dyDescent="0.3">
      <c r="A174">
        <v>11</v>
      </c>
      <c r="B174" t="str">
        <f>VLOOKUP($A174,[1]LISTA!$B:$C,2,0)</f>
        <v>MARZO</v>
      </c>
      <c r="C174" s="1">
        <v>2025</v>
      </c>
      <c r="D174" s="1" t="str">
        <f>IF($A174&lt;=[1]RESULTADOS!$D$6,"YTD","YTG")</f>
        <v>YTD</v>
      </c>
      <c r="E174" t="s">
        <v>31</v>
      </c>
      <c r="F174" t="s">
        <v>18</v>
      </c>
      <c r="G174" t="s">
        <v>32</v>
      </c>
      <c r="H174" t="s">
        <v>172</v>
      </c>
      <c r="I174" t="s">
        <v>131</v>
      </c>
      <c r="J174" t="str">
        <f>IFERROR(VLOOKUP(I174,[1]AUTOS!$C:$G,2,0),"")</f>
        <v>AVEO</v>
      </c>
      <c r="K174">
        <f>IFERROR(VLOOKUP(I174,[1]AUTOS!$C:$G,3,0),"")</f>
        <v>2024</v>
      </c>
      <c r="L174" t="str">
        <f>IFERROR(VLOOKUP(I174,[1]AUTOS!$C:$G,4,0),"")</f>
        <v>GRIS</v>
      </c>
      <c r="M174" t="s">
        <v>43</v>
      </c>
      <c r="P174" s="3">
        <v>-1650</v>
      </c>
    </row>
    <row r="175" spans="1:16" hidden="1" x14ac:dyDescent="0.3">
      <c r="A175">
        <v>11</v>
      </c>
      <c r="B175" t="str">
        <f>VLOOKUP($A175,[1]LISTA!$B:$C,2,0)</f>
        <v>MARZO</v>
      </c>
      <c r="C175" s="1">
        <v>2025</v>
      </c>
      <c r="D175" s="1" t="str">
        <f>IF($A175&lt;=[1]RESULTADOS!$D$6,"YTD","YTG")</f>
        <v>YTD</v>
      </c>
      <c r="E175" t="s">
        <v>31</v>
      </c>
      <c r="F175" t="s">
        <v>18</v>
      </c>
      <c r="G175" t="s">
        <v>87</v>
      </c>
      <c r="H175" t="s">
        <v>173</v>
      </c>
      <c r="I175" t="s">
        <v>112</v>
      </c>
      <c r="J175" t="str">
        <f>IFERROR(VLOOKUP(I175,[1]AUTOS!$C:$G,2,0),"")</f>
        <v>KIA RIO</v>
      </c>
      <c r="K175">
        <f>IFERROR(VLOOKUP(I175,[1]AUTOS!$C:$G,3,0),"")</f>
        <v>2020</v>
      </c>
      <c r="L175" t="str">
        <f>IFERROR(VLOOKUP(I175,[1]AUTOS!$C:$G,4,0),"")</f>
        <v>ROJO</v>
      </c>
      <c r="M175" t="s">
        <v>43</v>
      </c>
      <c r="P175" s="3">
        <v>-400</v>
      </c>
    </row>
    <row r="176" spans="1:16" hidden="1" x14ac:dyDescent="0.3">
      <c r="A176">
        <v>11</v>
      </c>
      <c r="B176" t="str">
        <f>VLOOKUP($A176,[1]LISTA!$B:$C,2,0)</f>
        <v>MARZO</v>
      </c>
      <c r="C176" s="1">
        <v>2025</v>
      </c>
      <c r="D176" s="1" t="str">
        <f>IF($A176&lt;=[1]RESULTADOS!$D$6,"YTD","YTG")</f>
        <v>YTD</v>
      </c>
      <c r="E176" t="s">
        <v>31</v>
      </c>
      <c r="F176" t="s">
        <v>18</v>
      </c>
      <c r="G176" t="s">
        <v>48</v>
      </c>
      <c r="H176" t="s">
        <v>174</v>
      </c>
      <c r="I176" t="s">
        <v>59</v>
      </c>
      <c r="J176" t="str">
        <f>IFERROR(VLOOKUP(I176,[1]AUTOS!$C:$G,2,0),"")</f>
        <v>AVEO</v>
      </c>
      <c r="K176">
        <f>IFERROR(VLOOKUP(I176,[1]AUTOS!$C:$G,3,0),"")</f>
        <v>2019</v>
      </c>
      <c r="L176" t="str">
        <f>IFERROR(VLOOKUP(I176,[1]AUTOS!$C:$G,4,0),"")</f>
        <v>BLANCO</v>
      </c>
      <c r="M176" t="s">
        <v>43</v>
      </c>
      <c r="P176" s="3">
        <v>-1800</v>
      </c>
    </row>
    <row r="177" spans="1:16" hidden="1" x14ac:dyDescent="0.3">
      <c r="A177">
        <v>11</v>
      </c>
      <c r="B177" t="str">
        <f>VLOOKUP($A177,[1]LISTA!$B:$C,2,0)</f>
        <v>MARZO</v>
      </c>
      <c r="C177" s="1">
        <v>2025</v>
      </c>
      <c r="D177" s="1" t="str">
        <f>IF($A177&lt;=[1]RESULTADOS!$D$6,"YTD","YTG")</f>
        <v>YTD</v>
      </c>
      <c r="E177" t="s">
        <v>31</v>
      </c>
      <c r="F177" t="s">
        <v>18</v>
      </c>
      <c r="G177" t="s">
        <v>29</v>
      </c>
      <c r="H177" t="s">
        <v>113</v>
      </c>
      <c r="I177" t="s">
        <v>59</v>
      </c>
      <c r="J177" t="str">
        <f>IFERROR(VLOOKUP(I177,[1]AUTOS!$C:$G,2,0),"")</f>
        <v>AVEO</v>
      </c>
      <c r="K177">
        <f>IFERROR(VLOOKUP(I177,[1]AUTOS!$C:$G,3,0),"")</f>
        <v>2019</v>
      </c>
      <c r="L177" t="str">
        <f>IFERROR(VLOOKUP(I177,[1]AUTOS!$C:$G,4,0),"")</f>
        <v>BLANCO</v>
      </c>
      <c r="M177" t="s">
        <v>43</v>
      </c>
      <c r="P177" s="3">
        <v>-240</v>
      </c>
    </row>
    <row r="178" spans="1:16" hidden="1" x14ac:dyDescent="0.3">
      <c r="A178">
        <v>11</v>
      </c>
      <c r="B178" t="str">
        <f>VLOOKUP($A178,[1]LISTA!$B:$C,2,0)</f>
        <v>MARZO</v>
      </c>
      <c r="C178" s="1">
        <v>2025</v>
      </c>
      <c r="D178" s="1" t="str">
        <f>IF($A178&lt;=[1]RESULTADOS!$D$6,"YTD","YTG")</f>
        <v>YTD</v>
      </c>
      <c r="E178" t="s">
        <v>17</v>
      </c>
      <c r="F178" t="s">
        <v>18</v>
      </c>
      <c r="G178" t="s">
        <v>23</v>
      </c>
      <c r="H178" t="s">
        <v>175</v>
      </c>
      <c r="I178" t="s">
        <v>21</v>
      </c>
      <c r="J178" t="str">
        <f>IFERROR(VLOOKUP(I178,[1]AUTOS!$C:$G,2,0),"")</f>
        <v/>
      </c>
      <c r="K178" t="str">
        <f>IFERROR(VLOOKUP(I178,[1]AUTOS!$C:$G,3,0),"")</f>
        <v/>
      </c>
      <c r="L178" t="str">
        <f>IFERROR(VLOOKUP(I178,[1]AUTOS!$C:$G,4,0),"")</f>
        <v/>
      </c>
      <c r="M178" t="s">
        <v>22</v>
      </c>
      <c r="P178" s="3">
        <v>-40</v>
      </c>
    </row>
    <row r="179" spans="1:16" hidden="1" x14ac:dyDescent="0.3">
      <c r="A179">
        <v>11</v>
      </c>
      <c r="B179" t="str">
        <f>VLOOKUP($A179,[1]LISTA!$B:$C,2,0)</f>
        <v>MARZO</v>
      </c>
      <c r="C179" s="1">
        <v>2025</v>
      </c>
      <c r="D179" s="1" t="str">
        <f>IF($A179&lt;=[1]RESULTADOS!$D$6,"YTD","YTG")</f>
        <v>YTD</v>
      </c>
      <c r="E179" t="s">
        <v>17</v>
      </c>
      <c r="F179" t="s">
        <v>18</v>
      </c>
      <c r="G179" t="s">
        <v>176</v>
      </c>
      <c r="H179" t="s">
        <v>177</v>
      </c>
      <c r="I179" t="s">
        <v>21</v>
      </c>
      <c r="J179" t="str">
        <f>IFERROR(VLOOKUP(I179,[1]AUTOS!$C:$G,2,0),"")</f>
        <v/>
      </c>
      <c r="K179" t="str">
        <f>IFERROR(VLOOKUP(I179,[1]AUTOS!$C:$G,3,0),"")</f>
        <v/>
      </c>
      <c r="L179" t="str">
        <f>IFERROR(VLOOKUP(I179,[1]AUTOS!$C:$G,4,0),"")</f>
        <v/>
      </c>
      <c r="M179" t="s">
        <v>22</v>
      </c>
      <c r="P179" s="3">
        <v>-471</v>
      </c>
    </row>
    <row r="180" spans="1:16" hidden="1" x14ac:dyDescent="0.3">
      <c r="A180">
        <v>11</v>
      </c>
      <c r="B180" t="str">
        <f>VLOOKUP($A180,[1]LISTA!$B:$C,2,0)</f>
        <v>MARZO</v>
      </c>
      <c r="C180" s="1">
        <v>2025</v>
      </c>
      <c r="D180" s="1" t="str">
        <f>IF($A180&lt;=[1]RESULTADOS!$D$6,"YTD","YTG")</f>
        <v>YTD</v>
      </c>
      <c r="E180" t="s">
        <v>31</v>
      </c>
      <c r="F180" t="s">
        <v>18</v>
      </c>
      <c r="G180" t="s">
        <v>41</v>
      </c>
      <c r="H180" t="s">
        <v>41</v>
      </c>
      <c r="I180" t="s">
        <v>178</v>
      </c>
      <c r="J180" t="str">
        <f>IFERROR(VLOOKUP(I180,[1]AUTOS!$C:$G,2,0),"")</f>
        <v>VERSA</v>
      </c>
      <c r="K180">
        <f>IFERROR(VLOOKUP(I180,[1]AUTOS!$C:$G,3,0),"")</f>
        <v>2020</v>
      </c>
      <c r="L180" t="str">
        <f>IFERROR(VLOOKUP(I180,[1]AUTOS!$C:$G,4,0),"")</f>
        <v>BLANCO</v>
      </c>
      <c r="M180" t="s">
        <v>43</v>
      </c>
      <c r="P180" s="3">
        <v>-1530</v>
      </c>
    </row>
    <row r="181" spans="1:16" hidden="1" x14ac:dyDescent="0.3">
      <c r="A181">
        <v>11</v>
      </c>
      <c r="B181" t="str">
        <f>VLOOKUP($A181,[1]LISTA!$B:$C,2,0)</f>
        <v>MARZO</v>
      </c>
      <c r="C181" s="1">
        <v>2025</v>
      </c>
      <c r="D181" s="1" t="str">
        <f>IF($A181&lt;=[1]RESULTADOS!$D$6,"YTD","YTG")</f>
        <v>YTD</v>
      </c>
      <c r="E181" t="s">
        <v>17</v>
      </c>
      <c r="F181" t="s">
        <v>18</v>
      </c>
      <c r="G181" t="s">
        <v>23</v>
      </c>
      <c r="H181" t="s">
        <v>179</v>
      </c>
      <c r="I181" t="s">
        <v>21</v>
      </c>
      <c r="J181" t="str">
        <f>IFERROR(VLOOKUP(I181,[1]AUTOS!$C:$G,2,0),"")</f>
        <v/>
      </c>
      <c r="K181" t="str">
        <f>IFERROR(VLOOKUP(I181,[1]AUTOS!$C:$G,3,0),"")</f>
        <v/>
      </c>
      <c r="L181" t="str">
        <f>IFERROR(VLOOKUP(I181,[1]AUTOS!$C:$G,4,0),"")</f>
        <v/>
      </c>
      <c r="M181" t="s">
        <v>22</v>
      </c>
      <c r="P181" s="3">
        <v>-120</v>
      </c>
    </row>
    <row r="182" spans="1:16" hidden="1" x14ac:dyDescent="0.3">
      <c r="A182">
        <v>10</v>
      </c>
      <c r="B182" t="str">
        <f>VLOOKUP($A182,[1]LISTA!$B:$C,2,0)</f>
        <v>MARZO</v>
      </c>
      <c r="C182" s="1">
        <v>2025</v>
      </c>
      <c r="D182" s="1" t="str">
        <f>IF($A182&lt;=[1]RESULTADOS!$D$6,"YTD","YTG")</f>
        <v>YTD</v>
      </c>
      <c r="E182" t="s">
        <v>17</v>
      </c>
      <c r="F182" t="s">
        <v>18</v>
      </c>
      <c r="G182" t="s">
        <v>29</v>
      </c>
      <c r="H182" t="s">
        <v>113</v>
      </c>
      <c r="I182" t="s">
        <v>21</v>
      </c>
      <c r="J182" t="str">
        <f>IFERROR(VLOOKUP(I182,[1]AUTOS!$C:$G,2,0),"")</f>
        <v/>
      </c>
      <c r="K182" t="str">
        <f>IFERROR(VLOOKUP(I182,[1]AUTOS!$C:$G,3,0),"")</f>
        <v/>
      </c>
      <c r="L182" t="str">
        <f>IFERROR(VLOOKUP(I182,[1]AUTOS!$C:$G,4,0),"")</f>
        <v/>
      </c>
      <c r="M182" t="s">
        <v>22</v>
      </c>
      <c r="P182" s="3">
        <v>-330</v>
      </c>
    </row>
    <row r="183" spans="1:16" hidden="1" x14ac:dyDescent="0.3">
      <c r="A183">
        <v>12</v>
      </c>
      <c r="B183" t="str">
        <f>VLOOKUP($A183,[1]LISTA!$B:$C,2,0)</f>
        <v>MARZO</v>
      </c>
      <c r="C183" s="1">
        <v>2025</v>
      </c>
      <c r="D183" s="1" t="str">
        <f>IF($A183&lt;=[1]RESULTADOS!$D$6,"YTD","YTG")</f>
        <v>YTD</v>
      </c>
      <c r="E183" t="s">
        <v>31</v>
      </c>
      <c r="F183" t="s">
        <v>18</v>
      </c>
      <c r="G183" t="s">
        <v>87</v>
      </c>
      <c r="H183" t="s">
        <v>180</v>
      </c>
      <c r="I183" t="s">
        <v>112</v>
      </c>
      <c r="J183" t="str">
        <f>IFERROR(VLOOKUP(I183,[1]AUTOS!$C:$G,2,0),"")</f>
        <v>KIA RIO</v>
      </c>
      <c r="K183">
        <f>IFERROR(VLOOKUP(I183,[1]AUTOS!$C:$G,3,0),"")</f>
        <v>2020</v>
      </c>
      <c r="L183" t="str">
        <f>IFERROR(VLOOKUP(I183,[1]AUTOS!$C:$G,4,0),"")</f>
        <v>ROJO</v>
      </c>
      <c r="M183" t="s">
        <v>43</v>
      </c>
      <c r="P183" s="3">
        <v>-1900</v>
      </c>
    </row>
    <row r="184" spans="1:16" hidden="1" x14ac:dyDescent="0.3">
      <c r="A184">
        <v>12</v>
      </c>
      <c r="B184" t="str">
        <f>VLOOKUP($A184,[1]LISTA!$B:$C,2,0)</f>
        <v>MARZO</v>
      </c>
      <c r="C184" s="1">
        <v>2025</v>
      </c>
      <c r="D184" s="1" t="str">
        <f>IF($A184&lt;=[1]RESULTADOS!$D$6,"YTD","YTG")</f>
        <v>YTD</v>
      </c>
      <c r="E184" t="s">
        <v>31</v>
      </c>
      <c r="F184" t="s">
        <v>18</v>
      </c>
      <c r="G184" t="s">
        <v>153</v>
      </c>
      <c r="H184" t="s">
        <v>181</v>
      </c>
      <c r="I184" t="s">
        <v>34</v>
      </c>
      <c r="J184" t="str">
        <f>IFERROR(VLOOKUP(I184,[1]AUTOS!$C:$G,2,0),"")</f>
        <v>AVEO</v>
      </c>
      <c r="K184">
        <f>IFERROR(VLOOKUP(I184,[1]AUTOS!$C:$G,3,0),"")</f>
        <v>2018</v>
      </c>
      <c r="L184" t="str">
        <f>IFERROR(VLOOKUP(I184,[1]AUTOS!$C:$G,4,0),"")</f>
        <v>ROJO</v>
      </c>
      <c r="M184" t="s">
        <v>35</v>
      </c>
      <c r="P184" s="3">
        <v>-718</v>
      </c>
    </row>
    <row r="185" spans="1:16" hidden="1" x14ac:dyDescent="0.3">
      <c r="A185">
        <v>12</v>
      </c>
      <c r="B185" t="str">
        <f>VLOOKUP($A185,[1]LISTA!$B:$C,2,0)</f>
        <v>MARZO</v>
      </c>
      <c r="C185" s="1">
        <v>2025</v>
      </c>
      <c r="D185" s="1" t="str">
        <f>IF($A185&lt;=[1]RESULTADOS!$D$6,"YTD","YTG")</f>
        <v>YTD</v>
      </c>
      <c r="E185" t="s">
        <v>31</v>
      </c>
      <c r="F185" t="s">
        <v>18</v>
      </c>
      <c r="G185" t="s">
        <v>41</v>
      </c>
      <c r="H185" t="s">
        <v>41</v>
      </c>
      <c r="I185" t="s">
        <v>182</v>
      </c>
      <c r="J185" t="str">
        <f>IFERROR(VLOOKUP(I185,[1]AUTOS!$C:$G,2,0),"")</f>
        <v>AVEO</v>
      </c>
      <c r="K185">
        <f>IFERROR(VLOOKUP(I185,[1]AUTOS!$C:$G,3,0),"")</f>
        <v>2020</v>
      </c>
      <c r="L185" t="str">
        <f>IFERROR(VLOOKUP(I185,[1]AUTOS!$C:$G,4,0),"")</f>
        <v>AZUL</v>
      </c>
      <c r="M185" t="s">
        <v>43</v>
      </c>
      <c r="P185" s="3">
        <v>-1530</v>
      </c>
    </row>
    <row r="186" spans="1:16" hidden="1" x14ac:dyDescent="0.3">
      <c r="A186">
        <v>12</v>
      </c>
      <c r="B186" t="str">
        <f>VLOOKUP($A186,[1]LISTA!$B:$C,2,0)</f>
        <v>MARZO</v>
      </c>
      <c r="C186" s="1">
        <v>2025</v>
      </c>
      <c r="D186" s="1" t="str">
        <f>IF($A186&lt;=[1]RESULTADOS!$D$6,"YTD","YTG")</f>
        <v>YTD</v>
      </c>
      <c r="E186" t="s">
        <v>31</v>
      </c>
      <c r="F186" t="s">
        <v>18</v>
      </c>
      <c r="G186" t="s">
        <v>48</v>
      </c>
      <c r="H186" t="s">
        <v>183</v>
      </c>
      <c r="I186" t="s">
        <v>40</v>
      </c>
      <c r="J186" t="str">
        <f>IFERROR(VLOOKUP(I186,[1]AUTOS!$C:$G,2,0),"")</f>
        <v>VERSA</v>
      </c>
      <c r="K186">
        <f>IFERROR(VLOOKUP(I186,[1]AUTOS!$C:$G,3,0),"")</f>
        <v>2017</v>
      </c>
      <c r="L186" t="str">
        <f>IFERROR(VLOOKUP(I186,[1]AUTOS!$C:$G,4,0),"")</f>
        <v>ACERO</v>
      </c>
      <c r="M186" t="s">
        <v>35</v>
      </c>
      <c r="P186" s="3">
        <v>-2200</v>
      </c>
    </row>
    <row r="187" spans="1:16" hidden="1" x14ac:dyDescent="0.3">
      <c r="A187">
        <v>12</v>
      </c>
      <c r="B187" t="str">
        <f>VLOOKUP($A187,[1]LISTA!$B:$C,2,0)</f>
        <v>MARZO</v>
      </c>
      <c r="C187" s="1">
        <v>2025</v>
      </c>
      <c r="D187" s="1" t="str">
        <f>IF($A187&lt;=[1]RESULTADOS!$D$6,"YTD","YTG")</f>
        <v>YTD</v>
      </c>
      <c r="E187" t="s">
        <v>31</v>
      </c>
      <c r="F187" t="s">
        <v>18</v>
      </c>
      <c r="G187" t="s">
        <v>57</v>
      </c>
      <c r="H187" t="s">
        <v>184</v>
      </c>
      <c r="I187" t="s">
        <v>34</v>
      </c>
      <c r="J187" t="str">
        <f>IFERROR(VLOOKUP(I187,[1]AUTOS!$C:$G,2,0),"")</f>
        <v>AVEO</v>
      </c>
      <c r="K187">
        <f>IFERROR(VLOOKUP(I187,[1]AUTOS!$C:$G,3,0),"")</f>
        <v>2018</v>
      </c>
      <c r="L187" t="str">
        <f>IFERROR(VLOOKUP(I187,[1]AUTOS!$C:$G,4,0),"")</f>
        <v>ROJO</v>
      </c>
      <c r="M187" t="s">
        <v>35</v>
      </c>
      <c r="P187" s="3">
        <v>-150</v>
      </c>
    </row>
    <row r="188" spans="1:16" hidden="1" x14ac:dyDescent="0.3">
      <c r="A188">
        <v>12</v>
      </c>
      <c r="B188" t="str">
        <f>VLOOKUP($A188,[1]LISTA!$B:$C,2,0)</f>
        <v>MARZO</v>
      </c>
      <c r="C188" s="1">
        <v>2025</v>
      </c>
      <c r="D188" s="1" t="str">
        <f>IF($A188&lt;=[1]RESULTADOS!$D$6,"YTD","YTG")</f>
        <v>YTD</v>
      </c>
      <c r="E188" t="s">
        <v>31</v>
      </c>
      <c r="F188" t="s">
        <v>18</v>
      </c>
      <c r="G188" t="s">
        <v>41</v>
      </c>
      <c r="H188" t="s">
        <v>41</v>
      </c>
      <c r="I188" t="s">
        <v>185</v>
      </c>
      <c r="J188" t="str">
        <f>IFERROR(VLOOKUP(I188,[1]AUTOS!$C:$G,2,0),"")</f>
        <v>MARCH</v>
      </c>
      <c r="K188">
        <f>IFERROR(VLOOKUP(I188,[1]AUTOS!$C:$G,3,0),"")</f>
        <v>2021</v>
      </c>
      <c r="L188" t="str">
        <f>IFERROR(VLOOKUP(I188,[1]AUTOS!$C:$G,4,0),"")</f>
        <v>ROJO</v>
      </c>
      <c r="M188" t="s">
        <v>43</v>
      </c>
      <c r="P188" s="3">
        <v>-1530</v>
      </c>
    </row>
    <row r="189" spans="1:16" hidden="1" x14ac:dyDescent="0.3">
      <c r="A189">
        <v>12</v>
      </c>
      <c r="B189" t="str">
        <f>VLOOKUP($A189,[1]LISTA!$B:$C,2,0)</f>
        <v>MARZO</v>
      </c>
      <c r="C189" s="1">
        <v>2025</v>
      </c>
      <c r="D189" s="1" t="str">
        <f>IF($A189&lt;=[1]RESULTADOS!$D$6,"YTD","YTG")</f>
        <v>YTD</v>
      </c>
      <c r="E189" t="s">
        <v>31</v>
      </c>
      <c r="F189" t="s">
        <v>18</v>
      </c>
      <c r="G189" t="s">
        <v>41</v>
      </c>
      <c r="H189" t="s">
        <v>41</v>
      </c>
      <c r="I189" t="s">
        <v>82</v>
      </c>
      <c r="J189" t="str">
        <f>IFERROR(VLOOKUP(I189,[1]AUTOS!$C:$G,2,0),"")</f>
        <v>AVEO</v>
      </c>
      <c r="K189">
        <f>IFERROR(VLOOKUP(I189,[1]AUTOS!$C:$G,3,0),"")</f>
        <v>2019</v>
      </c>
      <c r="L189" t="str">
        <f>IFERROR(VLOOKUP(I189,[1]AUTOS!$C:$G,4,0),"")</f>
        <v>PLATA</v>
      </c>
      <c r="M189" t="s">
        <v>43</v>
      </c>
      <c r="P189" s="3">
        <v>-1530</v>
      </c>
    </row>
    <row r="190" spans="1:16" hidden="1" x14ac:dyDescent="0.3">
      <c r="A190">
        <v>12</v>
      </c>
      <c r="B190" t="str">
        <f>VLOOKUP($A190,[1]LISTA!$B:$C,2,0)</f>
        <v>MARZO</v>
      </c>
      <c r="C190" s="1">
        <v>2025</v>
      </c>
      <c r="D190" s="1" t="str">
        <f>IF($A190&lt;=[1]RESULTADOS!$D$6,"YTD","YTG")</f>
        <v>YTD</v>
      </c>
      <c r="E190" t="s">
        <v>31</v>
      </c>
      <c r="F190" t="s">
        <v>18</v>
      </c>
      <c r="G190" t="s">
        <v>48</v>
      </c>
      <c r="H190" t="s">
        <v>186</v>
      </c>
      <c r="I190" t="s">
        <v>34</v>
      </c>
      <c r="J190" t="str">
        <f>IFERROR(VLOOKUP(I190,[1]AUTOS!$C:$G,2,0),"")</f>
        <v>AVEO</v>
      </c>
      <c r="K190">
        <f>IFERROR(VLOOKUP(I190,[1]AUTOS!$C:$G,3,0),"")</f>
        <v>2018</v>
      </c>
      <c r="L190" t="str">
        <f>IFERROR(VLOOKUP(I190,[1]AUTOS!$C:$G,4,0),"")</f>
        <v>ROJO</v>
      </c>
      <c r="M190" t="s">
        <v>35</v>
      </c>
      <c r="P190" s="3">
        <v>-1780</v>
      </c>
    </row>
    <row r="191" spans="1:16" hidden="1" x14ac:dyDescent="0.3">
      <c r="A191">
        <v>12</v>
      </c>
      <c r="B191" t="str">
        <f>VLOOKUP($A191,[1]LISTA!$B:$C,2,0)</f>
        <v>MARZO</v>
      </c>
      <c r="C191" s="1">
        <v>2025</v>
      </c>
      <c r="D191" s="1" t="str">
        <f>IF($A191&lt;=[1]RESULTADOS!$D$6,"YTD","YTG")</f>
        <v>YTD</v>
      </c>
      <c r="E191" t="s">
        <v>17</v>
      </c>
      <c r="F191" t="s">
        <v>18</v>
      </c>
      <c r="G191" t="s">
        <v>19</v>
      </c>
      <c r="H191" t="s">
        <v>187</v>
      </c>
      <c r="I191" t="s">
        <v>21</v>
      </c>
      <c r="J191" t="str">
        <f>IFERROR(VLOOKUP(I191,[1]AUTOS!$C:$G,2,0),"")</f>
        <v/>
      </c>
      <c r="K191" t="str">
        <f>IFERROR(VLOOKUP(I191,[1]AUTOS!$C:$G,3,0),"")</f>
        <v/>
      </c>
      <c r="L191" t="str">
        <f>IFERROR(VLOOKUP(I191,[1]AUTOS!$C:$G,4,0),"")</f>
        <v/>
      </c>
      <c r="M191" t="s">
        <v>22</v>
      </c>
      <c r="P191" s="3">
        <v>-600</v>
      </c>
    </row>
    <row r="192" spans="1:16" hidden="1" x14ac:dyDescent="0.3">
      <c r="A192">
        <v>12</v>
      </c>
      <c r="B192" t="str">
        <f>VLOOKUP($A192,[1]LISTA!$B:$C,2,0)</f>
        <v>MARZO</v>
      </c>
      <c r="C192" s="1">
        <v>2025</v>
      </c>
      <c r="D192" s="1" t="str">
        <f>IF($A192&lt;=[1]RESULTADOS!$D$6,"YTD","YTG")</f>
        <v>YTD</v>
      </c>
      <c r="E192" t="s">
        <v>31</v>
      </c>
      <c r="F192" t="s">
        <v>18</v>
      </c>
      <c r="G192" t="s">
        <v>19</v>
      </c>
      <c r="H192" t="s">
        <v>25</v>
      </c>
      <c r="I192" t="s">
        <v>34</v>
      </c>
      <c r="J192" t="str">
        <f>IFERROR(VLOOKUP(I192,[1]AUTOS!$C:$G,2,0),"")</f>
        <v>AVEO</v>
      </c>
      <c r="K192">
        <f>IFERROR(VLOOKUP(I192,[1]AUTOS!$C:$G,3,0),"")</f>
        <v>2018</v>
      </c>
      <c r="L192" t="str">
        <f>IFERROR(VLOOKUP(I192,[1]AUTOS!$C:$G,4,0),"")</f>
        <v>ROJO</v>
      </c>
      <c r="M192" t="s">
        <v>35</v>
      </c>
      <c r="P192" s="3">
        <v>-30</v>
      </c>
    </row>
    <row r="193" spans="1:16" hidden="1" x14ac:dyDescent="0.3">
      <c r="A193">
        <v>12</v>
      </c>
      <c r="B193" t="str">
        <f>VLOOKUP($A193,[1]LISTA!$B:$C,2,0)</f>
        <v>MARZO</v>
      </c>
      <c r="C193" s="1">
        <v>2025</v>
      </c>
      <c r="D193" s="1" t="str">
        <f>IF($A193&lt;=[1]RESULTADOS!$D$6,"YTD","YTG")</f>
        <v>YTD</v>
      </c>
      <c r="E193" t="s">
        <v>17</v>
      </c>
      <c r="F193" t="s">
        <v>18</v>
      </c>
      <c r="G193" t="s">
        <v>29</v>
      </c>
      <c r="H193" t="s">
        <v>188</v>
      </c>
      <c r="I193" t="s">
        <v>21</v>
      </c>
      <c r="J193" t="str">
        <f>IFERROR(VLOOKUP(I193,[1]AUTOS!$C:$G,2,0),"")</f>
        <v/>
      </c>
      <c r="K193" t="str">
        <f>IFERROR(VLOOKUP(I193,[1]AUTOS!$C:$G,3,0),"")</f>
        <v/>
      </c>
      <c r="L193" t="str">
        <f>IFERROR(VLOOKUP(I193,[1]AUTOS!$C:$G,4,0),"")</f>
        <v/>
      </c>
      <c r="M193" t="s">
        <v>22</v>
      </c>
      <c r="P193" s="3">
        <v>-1000</v>
      </c>
    </row>
    <row r="194" spans="1:16" hidden="1" x14ac:dyDescent="0.3">
      <c r="A194">
        <v>13</v>
      </c>
      <c r="B194" t="str">
        <f>VLOOKUP($A194,[1]LISTA!$B:$C,2,0)</f>
        <v>MARZO</v>
      </c>
      <c r="C194" s="1">
        <v>2025</v>
      </c>
      <c r="D194" s="1" t="str">
        <f>IF($A194&lt;=[1]RESULTADOS!$D$6,"YTD","YTG")</f>
        <v>YTD</v>
      </c>
      <c r="E194" t="s">
        <v>31</v>
      </c>
      <c r="F194" t="s">
        <v>18</v>
      </c>
      <c r="G194" t="s">
        <v>38</v>
      </c>
      <c r="H194" t="s">
        <v>189</v>
      </c>
      <c r="I194" t="s">
        <v>34</v>
      </c>
      <c r="J194" t="str">
        <f>IFERROR(VLOOKUP(I194,[1]AUTOS!$C:$G,2,0),"")</f>
        <v>AVEO</v>
      </c>
      <c r="K194">
        <f>IFERROR(VLOOKUP(I194,[1]AUTOS!$C:$G,3,0),"")</f>
        <v>2018</v>
      </c>
      <c r="L194" t="str">
        <f>IFERROR(VLOOKUP(I194,[1]AUTOS!$C:$G,4,0),"")</f>
        <v>ROJO</v>
      </c>
      <c r="M194" t="s">
        <v>35</v>
      </c>
      <c r="P194" s="3">
        <v>-1132</v>
      </c>
    </row>
    <row r="195" spans="1:16" hidden="1" x14ac:dyDescent="0.3">
      <c r="A195">
        <v>13</v>
      </c>
      <c r="B195" t="str">
        <f>VLOOKUP($A195,[1]LISTA!$B:$C,2,0)</f>
        <v>MARZO</v>
      </c>
      <c r="C195" s="1">
        <v>2025</v>
      </c>
      <c r="D195" s="1" t="str">
        <f>IF($A195&lt;=[1]RESULTADOS!$D$6,"YTD","YTG")</f>
        <v>YTD</v>
      </c>
      <c r="E195" t="s">
        <v>17</v>
      </c>
      <c r="F195" t="s">
        <v>18</v>
      </c>
      <c r="G195" t="s">
        <v>57</v>
      </c>
      <c r="H195" t="s">
        <v>190</v>
      </c>
      <c r="I195" t="s">
        <v>21</v>
      </c>
      <c r="J195" t="str">
        <f>IFERROR(VLOOKUP(I195,[1]AUTOS!$C:$G,2,0),"")</f>
        <v/>
      </c>
      <c r="K195" t="str">
        <f>IFERROR(VLOOKUP(I195,[1]AUTOS!$C:$G,3,0),"")</f>
        <v/>
      </c>
      <c r="L195" t="str">
        <f>IFERROR(VLOOKUP(I195,[1]AUTOS!$C:$G,4,0),"")</f>
        <v/>
      </c>
      <c r="M195" t="s">
        <v>22</v>
      </c>
      <c r="P195" s="3">
        <v>-86</v>
      </c>
    </row>
    <row r="196" spans="1:16" hidden="1" x14ac:dyDescent="0.3">
      <c r="A196">
        <v>13</v>
      </c>
      <c r="B196" t="str">
        <f>VLOOKUP($A196,[1]LISTA!$B:$C,2,0)</f>
        <v>MARZO</v>
      </c>
      <c r="C196" s="1">
        <v>2025</v>
      </c>
      <c r="D196" s="1" t="str">
        <f>IF($A196&lt;=[1]RESULTADOS!$D$6,"YTD","YTG")</f>
        <v>YTD</v>
      </c>
      <c r="E196" t="s">
        <v>17</v>
      </c>
      <c r="F196" t="s">
        <v>18</v>
      </c>
      <c r="G196" t="s">
        <v>69</v>
      </c>
      <c r="H196" t="s">
        <v>191</v>
      </c>
      <c r="I196" t="s">
        <v>21</v>
      </c>
      <c r="J196" t="str">
        <f>IFERROR(VLOOKUP(I196,[1]AUTOS!$C:$G,2,0),"")</f>
        <v/>
      </c>
      <c r="K196" t="str">
        <f>IFERROR(VLOOKUP(I196,[1]AUTOS!$C:$G,3,0),"")</f>
        <v/>
      </c>
      <c r="L196" t="str">
        <f>IFERROR(VLOOKUP(I196,[1]AUTOS!$C:$G,4,0),"")</f>
        <v/>
      </c>
      <c r="M196" t="s">
        <v>22</v>
      </c>
      <c r="P196" s="3">
        <v>-110</v>
      </c>
    </row>
    <row r="197" spans="1:16" hidden="1" x14ac:dyDescent="0.3">
      <c r="A197">
        <v>13</v>
      </c>
      <c r="B197" t="str">
        <f>VLOOKUP($A197,[1]LISTA!$B:$C,2,0)</f>
        <v>MARZO</v>
      </c>
      <c r="C197" s="1">
        <v>2025</v>
      </c>
      <c r="D197" s="1" t="str">
        <f>IF($A197&lt;=[1]RESULTADOS!$D$6,"YTD","YTG")</f>
        <v>YTD</v>
      </c>
      <c r="E197" t="s">
        <v>17</v>
      </c>
      <c r="F197" t="s">
        <v>18</v>
      </c>
      <c r="G197" t="s">
        <v>19</v>
      </c>
      <c r="H197" t="s">
        <v>187</v>
      </c>
      <c r="I197" t="s">
        <v>21</v>
      </c>
      <c r="J197" t="str">
        <f>IFERROR(VLOOKUP(I197,[1]AUTOS!$C:$G,2,0),"")</f>
        <v/>
      </c>
      <c r="K197" t="str">
        <f>IFERROR(VLOOKUP(I197,[1]AUTOS!$C:$G,3,0),"")</f>
        <v/>
      </c>
      <c r="L197" t="str">
        <f>IFERROR(VLOOKUP(I197,[1]AUTOS!$C:$G,4,0),"")</f>
        <v/>
      </c>
      <c r="M197" t="s">
        <v>22</v>
      </c>
      <c r="P197" s="3">
        <v>-300</v>
      </c>
    </row>
    <row r="198" spans="1:16" x14ac:dyDescent="0.3">
      <c r="A198">
        <v>13</v>
      </c>
      <c r="B198" t="str">
        <f>VLOOKUP($A198,[1]LISTA!$B:$C,2,0)</f>
        <v>MARZO</v>
      </c>
      <c r="C198" s="1">
        <v>2025</v>
      </c>
      <c r="D198" s="1" t="str">
        <f>IF($A198&lt;=[1]RESULTADOS!$D$6,"YTD","YTG")</f>
        <v>YTD</v>
      </c>
      <c r="E198" t="s">
        <v>31</v>
      </c>
      <c r="F198" t="s">
        <v>18</v>
      </c>
      <c r="G198" t="s">
        <v>19</v>
      </c>
      <c r="H198" t="s">
        <v>25</v>
      </c>
      <c r="I198" t="s">
        <v>72</v>
      </c>
      <c r="J198" t="str">
        <f>IFERROR(VLOOKUP(I198,[1]AUTOS!$C:$G,2,0),"")</f>
        <v>VENTO</v>
      </c>
      <c r="K198">
        <f>IFERROR(VLOOKUP(I198,[1]AUTOS!$C:$G,3,0),"")</f>
        <v>2020</v>
      </c>
      <c r="L198" t="str">
        <f>IFERROR(VLOOKUP(I198,[1]AUTOS!$C:$G,4,0),"")</f>
        <v>GRIS</v>
      </c>
      <c r="M198" t="s">
        <v>43</v>
      </c>
      <c r="P198" s="3">
        <v>-30</v>
      </c>
    </row>
    <row r="199" spans="1:16" hidden="1" x14ac:dyDescent="0.3">
      <c r="A199">
        <v>13</v>
      </c>
      <c r="B199" t="str">
        <f>VLOOKUP($A199,[1]LISTA!$B:$C,2,0)</f>
        <v>MARZO</v>
      </c>
      <c r="C199" s="1">
        <v>2025</v>
      </c>
      <c r="D199" s="1" t="str">
        <f>IF($A199&lt;=[1]RESULTADOS!$D$6,"YTD","YTG")</f>
        <v>YTD</v>
      </c>
      <c r="E199" t="s">
        <v>17</v>
      </c>
      <c r="F199" t="s">
        <v>18</v>
      </c>
      <c r="G199" t="s">
        <v>19</v>
      </c>
      <c r="H199" t="s">
        <v>187</v>
      </c>
      <c r="I199" t="s">
        <v>21</v>
      </c>
      <c r="J199" t="str">
        <f>IFERROR(VLOOKUP(I199,[1]AUTOS!$C:$G,2,0),"")</f>
        <v/>
      </c>
      <c r="K199" t="str">
        <f>IFERROR(VLOOKUP(I199,[1]AUTOS!$C:$G,3,0),"")</f>
        <v/>
      </c>
      <c r="L199" t="str">
        <f>IFERROR(VLOOKUP(I199,[1]AUTOS!$C:$G,4,0),"")</f>
        <v/>
      </c>
      <c r="M199" t="s">
        <v>22</v>
      </c>
      <c r="P199" s="3">
        <v>-600</v>
      </c>
    </row>
    <row r="200" spans="1:16" hidden="1" x14ac:dyDescent="0.3">
      <c r="A200">
        <v>13</v>
      </c>
      <c r="B200" t="str">
        <f>VLOOKUP($A200,[1]LISTA!$B:$C,2,0)</f>
        <v>MARZO</v>
      </c>
      <c r="C200" s="1">
        <v>2025</v>
      </c>
      <c r="D200" s="1" t="str">
        <f>IF($A200&lt;=[1]RESULTADOS!$D$6,"YTD","YTG")</f>
        <v>YTD</v>
      </c>
      <c r="E200" t="s">
        <v>31</v>
      </c>
      <c r="F200" t="s">
        <v>18</v>
      </c>
      <c r="G200" t="s">
        <v>19</v>
      </c>
      <c r="H200" t="s">
        <v>25</v>
      </c>
      <c r="I200" t="s">
        <v>185</v>
      </c>
      <c r="J200" t="str">
        <f>IFERROR(VLOOKUP(I200,[1]AUTOS!$C:$G,2,0),"")</f>
        <v>MARCH</v>
      </c>
      <c r="K200">
        <f>IFERROR(VLOOKUP(I200,[1]AUTOS!$C:$G,3,0),"")</f>
        <v>2021</v>
      </c>
      <c r="L200" t="str">
        <f>IFERROR(VLOOKUP(I200,[1]AUTOS!$C:$G,4,0),"")</f>
        <v>ROJO</v>
      </c>
      <c r="M200" t="s">
        <v>43</v>
      </c>
      <c r="P200" s="3">
        <v>-30</v>
      </c>
    </row>
    <row r="201" spans="1:16" hidden="1" x14ac:dyDescent="0.3">
      <c r="A201">
        <v>14</v>
      </c>
      <c r="B201" t="str">
        <f>VLOOKUP($A201,[1]LISTA!$B:$C,2,0)</f>
        <v>ABRIL</v>
      </c>
      <c r="C201" s="1">
        <v>2025</v>
      </c>
      <c r="D201" s="1" t="str">
        <f>IF($A201&lt;=[1]RESULTADOS!$D$6,"YTD","YTG")</f>
        <v>YTD</v>
      </c>
      <c r="E201" t="s">
        <v>17</v>
      </c>
      <c r="F201" t="s">
        <v>18</v>
      </c>
      <c r="G201" t="s">
        <v>69</v>
      </c>
      <c r="H201" t="s">
        <v>192</v>
      </c>
      <c r="I201" t="s">
        <v>21</v>
      </c>
      <c r="J201" t="str">
        <f>IFERROR(VLOOKUP(I201,[1]AUTOS!$C:$G,2,0),"")</f>
        <v/>
      </c>
      <c r="K201" t="str">
        <f>IFERROR(VLOOKUP(I201,[1]AUTOS!$C:$G,3,0),"")</f>
        <v/>
      </c>
      <c r="L201" t="str">
        <f>IFERROR(VLOOKUP(I201,[1]AUTOS!$C:$G,4,0),"")</f>
        <v/>
      </c>
      <c r="M201" t="s">
        <v>22</v>
      </c>
      <c r="P201" s="3">
        <v>-1210</v>
      </c>
    </row>
    <row r="202" spans="1:16" hidden="1" x14ac:dyDescent="0.3">
      <c r="A202">
        <v>14</v>
      </c>
      <c r="B202" t="str">
        <f>VLOOKUP($A202,[1]LISTA!$B:$C,2,0)</f>
        <v>ABRIL</v>
      </c>
      <c r="C202" s="1">
        <v>2025</v>
      </c>
      <c r="D202" s="1" t="str">
        <f>IF($A202&lt;=[1]RESULTADOS!$D$6,"YTD","YTG")</f>
        <v>YTD</v>
      </c>
      <c r="E202" t="s">
        <v>31</v>
      </c>
      <c r="F202" t="s">
        <v>18</v>
      </c>
      <c r="G202" t="s">
        <v>38</v>
      </c>
      <c r="H202" t="s">
        <v>193</v>
      </c>
      <c r="I202" t="s">
        <v>73</v>
      </c>
      <c r="J202" t="str">
        <f>IFERROR(VLOOKUP(I202,[1]AUTOS!$C:$G,2,0),"")</f>
        <v>VERSA</v>
      </c>
      <c r="K202">
        <f>IFERROR(VLOOKUP(I202,[1]AUTOS!$C:$G,3,0),"")</f>
        <v>2023</v>
      </c>
      <c r="L202" t="str">
        <f>IFERROR(VLOOKUP(I202,[1]AUTOS!$C:$G,4,0),"")</f>
        <v>PLATA</v>
      </c>
      <c r="M202" t="s">
        <v>43</v>
      </c>
      <c r="P202" s="3">
        <v>-68</v>
      </c>
    </row>
    <row r="203" spans="1:16" hidden="1" x14ac:dyDescent="0.3">
      <c r="A203">
        <v>14</v>
      </c>
      <c r="B203" t="str">
        <f>VLOOKUP($A203,[1]LISTA!$B:$C,2,0)</f>
        <v>ABRIL</v>
      </c>
      <c r="C203" s="1">
        <v>2025</v>
      </c>
      <c r="D203" s="1" t="str">
        <f>IF($A203&lt;=[1]RESULTADOS!$D$6,"YTD","YTG")</f>
        <v>YTD</v>
      </c>
      <c r="E203" t="s">
        <v>31</v>
      </c>
      <c r="F203" t="s">
        <v>18</v>
      </c>
      <c r="G203" t="s">
        <v>38</v>
      </c>
      <c r="H203" t="s">
        <v>194</v>
      </c>
      <c r="I203" t="s">
        <v>73</v>
      </c>
      <c r="J203" t="str">
        <f>IFERROR(VLOOKUP(I203,[1]AUTOS!$C:$G,2,0),"")</f>
        <v>VERSA</v>
      </c>
      <c r="K203">
        <f>IFERROR(VLOOKUP(I203,[1]AUTOS!$C:$G,3,0),"")</f>
        <v>2023</v>
      </c>
      <c r="L203" t="str">
        <f>IFERROR(VLOOKUP(I203,[1]AUTOS!$C:$G,4,0),"")</f>
        <v>PLATA</v>
      </c>
      <c r="M203" t="s">
        <v>43</v>
      </c>
      <c r="P203" s="3">
        <v>-95</v>
      </c>
    </row>
    <row r="204" spans="1:16" hidden="1" x14ac:dyDescent="0.3">
      <c r="A204">
        <v>14</v>
      </c>
      <c r="B204" t="str">
        <f>VLOOKUP($A204,[1]LISTA!$B:$C,2,0)</f>
        <v>ABRIL</v>
      </c>
      <c r="C204" s="1">
        <v>2025</v>
      </c>
      <c r="D204" s="1" t="str">
        <f>IF($A204&lt;=[1]RESULTADOS!$D$6,"YTD","YTG")</f>
        <v>YTD</v>
      </c>
      <c r="E204" t="s">
        <v>31</v>
      </c>
      <c r="F204" t="s">
        <v>18</v>
      </c>
      <c r="G204" t="s">
        <v>38</v>
      </c>
      <c r="H204" t="s">
        <v>195</v>
      </c>
      <c r="I204" t="s">
        <v>73</v>
      </c>
      <c r="J204" t="str">
        <f>IFERROR(VLOOKUP(I204,[1]AUTOS!$C:$G,2,0),"")</f>
        <v>VERSA</v>
      </c>
      <c r="K204">
        <f>IFERROR(VLOOKUP(I204,[1]AUTOS!$C:$G,3,0),"")</f>
        <v>2023</v>
      </c>
      <c r="L204" t="str">
        <f>IFERROR(VLOOKUP(I204,[1]AUTOS!$C:$G,4,0),"")</f>
        <v>PLATA</v>
      </c>
      <c r="M204" t="s">
        <v>43</v>
      </c>
      <c r="P204" s="3">
        <v>-585</v>
      </c>
    </row>
    <row r="205" spans="1:16" hidden="1" x14ac:dyDescent="0.3">
      <c r="A205">
        <v>14</v>
      </c>
      <c r="B205" t="str">
        <f>VLOOKUP($A205,[1]LISTA!$B:$C,2,0)</f>
        <v>ABRIL</v>
      </c>
      <c r="C205" s="1">
        <v>2025</v>
      </c>
      <c r="D205" s="1" t="str">
        <f>IF($A205&lt;=[1]RESULTADOS!$D$6,"YTD","YTG")</f>
        <v>YTD</v>
      </c>
      <c r="E205" t="s">
        <v>31</v>
      </c>
      <c r="F205" t="s">
        <v>18</v>
      </c>
      <c r="G205" t="s">
        <v>57</v>
      </c>
      <c r="H205" t="s">
        <v>196</v>
      </c>
      <c r="I205" t="s">
        <v>131</v>
      </c>
      <c r="J205" t="str">
        <f>IFERROR(VLOOKUP(I205,[1]AUTOS!$C:$G,2,0),"")</f>
        <v>AVEO</v>
      </c>
      <c r="K205">
        <f>IFERROR(VLOOKUP(I205,[1]AUTOS!$C:$G,3,0),"")</f>
        <v>2024</v>
      </c>
      <c r="L205" t="str">
        <f>IFERROR(VLOOKUP(I205,[1]AUTOS!$C:$G,4,0),"")</f>
        <v>GRIS</v>
      </c>
      <c r="M205" t="s">
        <v>43</v>
      </c>
      <c r="P205" s="3">
        <v>-1000</v>
      </c>
    </row>
    <row r="206" spans="1:16" hidden="1" x14ac:dyDescent="0.3">
      <c r="A206">
        <v>14</v>
      </c>
      <c r="B206" t="str">
        <f>VLOOKUP($A206,[1]LISTA!$B:$C,2,0)</f>
        <v>ABRIL</v>
      </c>
      <c r="C206" s="1">
        <v>2025</v>
      </c>
      <c r="D206" s="1" t="str">
        <f>IF($A206&lt;=[1]RESULTADOS!$D$6,"YTD","YTG")</f>
        <v>YTD</v>
      </c>
      <c r="E206" t="s">
        <v>31</v>
      </c>
      <c r="F206" t="s">
        <v>18</v>
      </c>
      <c r="G206" t="s">
        <v>57</v>
      </c>
      <c r="H206" t="s">
        <v>197</v>
      </c>
      <c r="I206" t="s">
        <v>131</v>
      </c>
      <c r="J206" t="str">
        <f>IFERROR(VLOOKUP(I206,[1]AUTOS!$C:$G,2,0),"")</f>
        <v>AVEO</v>
      </c>
      <c r="K206">
        <f>IFERROR(VLOOKUP(I206,[1]AUTOS!$C:$G,3,0),"")</f>
        <v>2024</v>
      </c>
      <c r="L206" t="str">
        <f>IFERROR(VLOOKUP(I206,[1]AUTOS!$C:$G,4,0),"")</f>
        <v>GRIS</v>
      </c>
      <c r="M206" t="s">
        <v>43</v>
      </c>
      <c r="P206" s="3">
        <v>-15</v>
      </c>
    </row>
    <row r="207" spans="1:16" hidden="1" x14ac:dyDescent="0.3">
      <c r="A207">
        <v>14</v>
      </c>
      <c r="B207" t="str">
        <f>VLOOKUP($A207,[1]LISTA!$B:$C,2,0)</f>
        <v>ABRIL</v>
      </c>
      <c r="C207" s="1">
        <v>2025</v>
      </c>
      <c r="D207" s="1" t="str">
        <f>IF($A207&lt;=[1]RESULTADOS!$D$6,"YTD","YTG")</f>
        <v>YTD</v>
      </c>
      <c r="E207" t="s">
        <v>31</v>
      </c>
      <c r="F207" t="s">
        <v>18</v>
      </c>
      <c r="G207" t="s">
        <v>57</v>
      </c>
      <c r="H207" t="s">
        <v>198</v>
      </c>
      <c r="I207" t="s">
        <v>131</v>
      </c>
      <c r="J207" t="str">
        <f>IFERROR(VLOOKUP(I207,[1]AUTOS!$C:$G,2,0),"")</f>
        <v>AVEO</v>
      </c>
      <c r="K207">
        <f>IFERROR(VLOOKUP(I207,[1]AUTOS!$C:$G,3,0),"")</f>
        <v>2024</v>
      </c>
      <c r="L207" t="str">
        <f>IFERROR(VLOOKUP(I207,[1]AUTOS!$C:$G,4,0),"")</f>
        <v>GRIS</v>
      </c>
      <c r="M207" t="s">
        <v>43</v>
      </c>
      <c r="P207" s="3">
        <v>-40</v>
      </c>
    </row>
    <row r="208" spans="1:16" hidden="1" x14ac:dyDescent="0.3">
      <c r="A208">
        <v>14</v>
      </c>
      <c r="B208" t="str">
        <f>VLOOKUP($A208,[1]LISTA!$B:$C,2,0)</f>
        <v>ABRIL</v>
      </c>
      <c r="C208" s="1">
        <v>2025</v>
      </c>
      <c r="D208" s="1" t="str">
        <f>IF($A208&lt;=[1]RESULTADOS!$D$6,"YTD","YTG")</f>
        <v>YTD</v>
      </c>
      <c r="E208" t="s">
        <v>17</v>
      </c>
      <c r="F208" t="s">
        <v>18</v>
      </c>
      <c r="G208" t="s">
        <v>57</v>
      </c>
      <c r="H208" t="s">
        <v>199</v>
      </c>
      <c r="I208" t="s">
        <v>21</v>
      </c>
      <c r="J208" t="str">
        <f>IFERROR(VLOOKUP(I208,[1]AUTOS!$C:$G,2,0),"")</f>
        <v/>
      </c>
      <c r="K208" t="str">
        <f>IFERROR(VLOOKUP(I208,[1]AUTOS!$C:$G,3,0),"")</f>
        <v/>
      </c>
      <c r="L208" t="str">
        <f>IFERROR(VLOOKUP(I208,[1]AUTOS!$C:$G,4,0),"")</f>
        <v/>
      </c>
      <c r="M208" t="s">
        <v>22</v>
      </c>
      <c r="P208" s="3">
        <v>-24</v>
      </c>
    </row>
    <row r="209" spans="1:16" hidden="1" x14ac:dyDescent="0.3">
      <c r="A209">
        <v>14</v>
      </c>
      <c r="B209" t="str">
        <f>VLOOKUP($A209,[1]LISTA!$B:$C,2,0)</f>
        <v>ABRIL</v>
      </c>
      <c r="C209" s="1">
        <v>2025</v>
      </c>
      <c r="D209" s="1" t="str">
        <f>IF($A209&lt;=[1]RESULTADOS!$D$6,"YTD","YTG")</f>
        <v>YTD</v>
      </c>
      <c r="E209" t="s">
        <v>31</v>
      </c>
      <c r="F209" t="s">
        <v>18</v>
      </c>
      <c r="G209" t="s">
        <v>137</v>
      </c>
      <c r="H209" t="s">
        <v>138</v>
      </c>
      <c r="I209" t="s">
        <v>51</v>
      </c>
      <c r="J209" t="str">
        <f>IFERROR(VLOOKUP(I209,[1]AUTOS!$C:$G,2,0),"")</f>
        <v>VENTO</v>
      </c>
      <c r="K209">
        <f>IFERROR(VLOOKUP(I209,[1]AUTOS!$C:$G,3,0),"")</f>
        <v>2017</v>
      </c>
      <c r="L209" t="str">
        <f>IFERROR(VLOOKUP(I209,[1]AUTOS!$C:$G,4,0),"")</f>
        <v>GRIS</v>
      </c>
      <c r="M209" t="s">
        <v>22</v>
      </c>
      <c r="P209" s="3">
        <v>-1900</v>
      </c>
    </row>
    <row r="210" spans="1:16" x14ac:dyDescent="0.3">
      <c r="A210">
        <v>14</v>
      </c>
      <c r="B210" t="str">
        <f>VLOOKUP($A210,[1]LISTA!$B:$C,2,0)</f>
        <v>ABRIL</v>
      </c>
      <c r="C210" s="1">
        <v>2025</v>
      </c>
      <c r="D210" s="1" t="str">
        <f>IF($A210&lt;=[1]RESULTADOS!$D$6,"YTD","YTG")</f>
        <v>YTD</v>
      </c>
      <c r="E210" t="s">
        <v>31</v>
      </c>
      <c r="F210" t="s">
        <v>18</v>
      </c>
      <c r="G210" t="s">
        <v>19</v>
      </c>
      <c r="H210" t="s">
        <v>25</v>
      </c>
      <c r="I210" t="s">
        <v>72</v>
      </c>
      <c r="J210" t="str">
        <f>IFERROR(VLOOKUP(I210,[1]AUTOS!$C:$G,2,0),"")</f>
        <v>VENTO</v>
      </c>
      <c r="K210">
        <f>IFERROR(VLOOKUP(I210,[1]AUTOS!$C:$G,3,0),"")</f>
        <v>2020</v>
      </c>
      <c r="L210" t="str">
        <f>IFERROR(VLOOKUP(I210,[1]AUTOS!$C:$G,4,0),"")</f>
        <v>GRIS</v>
      </c>
      <c r="M210" t="s">
        <v>43</v>
      </c>
      <c r="P210" s="3">
        <v>-20</v>
      </c>
    </row>
    <row r="211" spans="1:16" hidden="1" x14ac:dyDescent="0.3">
      <c r="A211">
        <v>14</v>
      </c>
      <c r="B211" t="str">
        <f>VLOOKUP($A211,[1]LISTA!$B:$C,2,0)</f>
        <v>ABRIL</v>
      </c>
      <c r="C211" s="1">
        <v>2025</v>
      </c>
      <c r="D211" s="1" t="str">
        <f>IF($A211&lt;=[1]RESULTADOS!$D$6,"YTD","YTG")</f>
        <v>YTD</v>
      </c>
      <c r="E211" t="s">
        <v>31</v>
      </c>
      <c r="F211" t="s">
        <v>18</v>
      </c>
      <c r="G211" t="s">
        <v>57</v>
      </c>
      <c r="H211" t="s">
        <v>200</v>
      </c>
      <c r="I211" t="s">
        <v>131</v>
      </c>
      <c r="J211" t="str">
        <f>IFERROR(VLOOKUP(I211,[1]AUTOS!$C:$G,2,0),"")</f>
        <v>AVEO</v>
      </c>
      <c r="K211">
        <f>IFERROR(VLOOKUP(I211,[1]AUTOS!$C:$G,3,0),"")</f>
        <v>2024</v>
      </c>
      <c r="L211" t="str">
        <f>IFERROR(VLOOKUP(I211,[1]AUTOS!$C:$G,4,0),"")</f>
        <v>GRIS</v>
      </c>
      <c r="M211" t="s">
        <v>43</v>
      </c>
      <c r="P211" s="3">
        <v>-1500</v>
      </c>
    </row>
    <row r="212" spans="1:16" hidden="1" x14ac:dyDescent="0.3">
      <c r="A212">
        <v>14</v>
      </c>
      <c r="B212" t="str">
        <f>VLOOKUP($A212,[1]LISTA!$B:$C,2,0)</f>
        <v>ABRIL</v>
      </c>
      <c r="C212" s="1">
        <v>2025</v>
      </c>
      <c r="D212" s="1" t="str">
        <f>IF($A212&lt;=[1]RESULTADOS!$D$6,"YTD","YTG")</f>
        <v>YTD</v>
      </c>
      <c r="E212" t="s">
        <v>31</v>
      </c>
      <c r="F212" t="s">
        <v>18</v>
      </c>
      <c r="G212" t="s">
        <v>160</v>
      </c>
      <c r="H212" t="s">
        <v>160</v>
      </c>
      <c r="I212" t="s">
        <v>144</v>
      </c>
      <c r="J212" t="str">
        <f>IFERROR(VLOOKUP(I212,[1]AUTOS!$C:$G,2,0),"")</f>
        <v>VERSA</v>
      </c>
      <c r="K212">
        <f>IFERROR(VLOOKUP(I212,[1]AUTOS!$C:$G,3,0),"")</f>
        <v>2020</v>
      </c>
      <c r="L212" t="str">
        <f>IFERROR(VLOOKUP(I212,[1]AUTOS!$C:$G,4,0),"")</f>
        <v>ROJO</v>
      </c>
      <c r="M212" t="s">
        <v>43</v>
      </c>
      <c r="P212" s="3">
        <v>-500</v>
      </c>
    </row>
    <row r="213" spans="1:16" hidden="1" x14ac:dyDescent="0.3">
      <c r="A213">
        <v>14</v>
      </c>
      <c r="B213" t="str">
        <f>VLOOKUP($A213,[1]LISTA!$B:$C,2,0)</f>
        <v>ABRIL</v>
      </c>
      <c r="C213" s="1">
        <v>2025</v>
      </c>
      <c r="D213" s="1" t="str">
        <f>IF($A213&lt;=[1]RESULTADOS!$D$6,"YTD","YTG")</f>
        <v>YTD</v>
      </c>
      <c r="E213" t="s">
        <v>31</v>
      </c>
      <c r="F213" t="s">
        <v>18</v>
      </c>
      <c r="G213" t="s">
        <v>57</v>
      </c>
      <c r="H213" t="s">
        <v>201</v>
      </c>
      <c r="I213" t="s">
        <v>144</v>
      </c>
      <c r="J213" t="str">
        <f>IFERROR(VLOOKUP(I213,[1]AUTOS!$C:$G,2,0),"")</f>
        <v>VERSA</v>
      </c>
      <c r="K213">
        <f>IFERROR(VLOOKUP(I213,[1]AUTOS!$C:$G,3,0),"")</f>
        <v>2020</v>
      </c>
      <c r="L213" t="str">
        <f>IFERROR(VLOOKUP(I213,[1]AUTOS!$C:$G,4,0),"")</f>
        <v>ROJO</v>
      </c>
      <c r="M213" t="s">
        <v>43</v>
      </c>
      <c r="P213" s="3">
        <v>-550</v>
      </c>
    </row>
    <row r="214" spans="1:16" hidden="1" x14ac:dyDescent="0.3">
      <c r="A214">
        <v>14</v>
      </c>
      <c r="B214" t="str">
        <f>VLOOKUP($A214,[1]LISTA!$B:$C,2,0)</f>
        <v>ABRIL</v>
      </c>
      <c r="C214" s="1">
        <v>2025</v>
      </c>
      <c r="D214" s="1" t="str">
        <f>IF($A214&lt;=[1]RESULTADOS!$D$6,"YTD","YTG")</f>
        <v>YTD</v>
      </c>
      <c r="E214" t="s">
        <v>17</v>
      </c>
      <c r="F214" t="s">
        <v>18</v>
      </c>
      <c r="G214" t="s">
        <v>19</v>
      </c>
      <c r="H214" t="s">
        <v>187</v>
      </c>
      <c r="I214" t="s">
        <v>21</v>
      </c>
      <c r="J214" t="str">
        <f>IFERROR(VLOOKUP(I214,[1]AUTOS!$C:$G,2,0),"")</f>
        <v/>
      </c>
      <c r="K214" t="str">
        <f>IFERROR(VLOOKUP(I214,[1]AUTOS!$C:$G,3,0),"")</f>
        <v/>
      </c>
      <c r="L214" t="str">
        <f>IFERROR(VLOOKUP(I214,[1]AUTOS!$C:$G,4,0),"")</f>
        <v/>
      </c>
      <c r="M214" t="s">
        <v>22</v>
      </c>
      <c r="P214" s="3">
        <v>-600</v>
      </c>
    </row>
    <row r="215" spans="1:16" hidden="1" x14ac:dyDescent="0.3">
      <c r="A215">
        <v>14</v>
      </c>
      <c r="B215" t="str">
        <f>VLOOKUP($A215,[1]LISTA!$B:$C,2,0)</f>
        <v>ABRIL</v>
      </c>
      <c r="C215" s="1">
        <v>2025</v>
      </c>
      <c r="D215" s="1" t="str">
        <f>IF($A215&lt;=[1]RESULTADOS!$D$6,"YTD","YTG")</f>
        <v>YTD</v>
      </c>
      <c r="E215" t="s">
        <v>31</v>
      </c>
      <c r="F215" t="s">
        <v>18</v>
      </c>
      <c r="G215" t="s">
        <v>176</v>
      </c>
      <c r="H215" t="s">
        <v>202</v>
      </c>
      <c r="I215" t="s">
        <v>37</v>
      </c>
      <c r="J215" t="str">
        <f>IFERROR(VLOOKUP(I215,[1]AUTOS!$C:$G,2,0),"")</f>
        <v>BEAT</v>
      </c>
      <c r="K215">
        <f>IFERROR(VLOOKUP(I215,[1]AUTOS!$C:$G,3,0),"")</f>
        <v>2020</v>
      </c>
      <c r="L215" t="str">
        <f>IFERROR(VLOOKUP(I215,[1]AUTOS!$C:$G,4,0),"")</f>
        <v>GRIS</v>
      </c>
      <c r="M215" t="s">
        <v>35</v>
      </c>
      <c r="P215" s="3">
        <v>-70</v>
      </c>
    </row>
    <row r="216" spans="1:16" hidden="1" x14ac:dyDescent="0.3">
      <c r="A216">
        <v>14</v>
      </c>
      <c r="B216" t="str">
        <f>VLOOKUP($A216,[1]LISTA!$B:$C,2,0)</f>
        <v>ABRIL</v>
      </c>
      <c r="C216" s="1">
        <v>2025</v>
      </c>
      <c r="D216" s="1" t="str">
        <f>IF($A216&lt;=[1]RESULTADOS!$D$6,"YTD","YTG")</f>
        <v>YTD</v>
      </c>
      <c r="E216" t="s">
        <v>17</v>
      </c>
      <c r="F216" t="s">
        <v>18</v>
      </c>
      <c r="G216" t="s">
        <v>57</v>
      </c>
      <c r="H216" t="s">
        <v>203</v>
      </c>
      <c r="I216" t="s">
        <v>21</v>
      </c>
      <c r="J216" t="str">
        <f>IFERROR(VLOOKUP(I216,[1]AUTOS!$C:$G,2,0),"")</f>
        <v/>
      </c>
      <c r="K216" t="str">
        <f>IFERROR(VLOOKUP(I216,[1]AUTOS!$C:$G,3,0),"")</f>
        <v/>
      </c>
      <c r="L216" t="str">
        <f>IFERROR(VLOOKUP(I216,[1]AUTOS!$C:$G,4,0),"")</f>
        <v/>
      </c>
      <c r="M216" t="s">
        <v>22</v>
      </c>
      <c r="P216" s="3">
        <v>-1360</v>
      </c>
    </row>
    <row r="217" spans="1:16" hidden="1" x14ac:dyDescent="0.3">
      <c r="A217">
        <v>14</v>
      </c>
      <c r="B217" t="str">
        <f>VLOOKUP($A217,[1]LISTA!$B:$C,2,0)</f>
        <v>ABRIL</v>
      </c>
      <c r="C217" s="1">
        <v>2025</v>
      </c>
      <c r="D217" s="1" t="str">
        <f>IF($A217&lt;=[1]RESULTADOS!$D$6,"YTD","YTG")</f>
        <v>YTD</v>
      </c>
      <c r="E217" t="s">
        <v>17</v>
      </c>
      <c r="F217" t="s">
        <v>18</v>
      </c>
      <c r="G217" t="s">
        <v>57</v>
      </c>
      <c r="H217" t="s">
        <v>203</v>
      </c>
      <c r="I217" t="s">
        <v>21</v>
      </c>
      <c r="J217" t="str">
        <f>IFERROR(VLOOKUP(I217,[1]AUTOS!$C:$G,2,0),"")</f>
        <v/>
      </c>
      <c r="K217" t="str">
        <f>IFERROR(VLOOKUP(I217,[1]AUTOS!$C:$G,3,0),"")</f>
        <v/>
      </c>
      <c r="L217" t="str">
        <f>IFERROR(VLOOKUP(I217,[1]AUTOS!$C:$G,4,0),"")</f>
        <v/>
      </c>
      <c r="M217" t="s">
        <v>22</v>
      </c>
      <c r="P217" s="3">
        <v>-1360</v>
      </c>
    </row>
    <row r="218" spans="1:16" hidden="1" x14ac:dyDescent="0.3">
      <c r="A218">
        <v>12</v>
      </c>
      <c r="B218" t="str">
        <f>VLOOKUP($A218,[1]LISTA!$B:$C,2,0)</f>
        <v>MARZO</v>
      </c>
      <c r="C218" s="1">
        <v>2025</v>
      </c>
      <c r="D218" s="1" t="str">
        <f>IF($A218&lt;=[1]RESULTADOS!$D$6,"YTD","YTG")</f>
        <v>YTD</v>
      </c>
      <c r="E218" t="s">
        <v>31</v>
      </c>
      <c r="F218" t="s">
        <v>18</v>
      </c>
      <c r="G218" t="s">
        <v>19</v>
      </c>
      <c r="H218" t="s">
        <v>25</v>
      </c>
      <c r="I218" t="s">
        <v>46</v>
      </c>
      <c r="J218" t="str">
        <f>IFERROR(VLOOKUP(I218,[1]AUTOS!$C:$G,2,0),"")</f>
        <v>MARCH</v>
      </c>
      <c r="K218">
        <f>IFERROR(VLOOKUP(I218,[1]AUTOS!$C:$G,3,0),"")</f>
        <v>2020</v>
      </c>
      <c r="L218" t="str">
        <f>IFERROR(VLOOKUP(I218,[1]AUTOS!$C:$G,4,0),"")</f>
        <v>TURQ</v>
      </c>
      <c r="M218" t="s">
        <v>43</v>
      </c>
      <c r="P218" s="3">
        <v>-30</v>
      </c>
    </row>
    <row r="219" spans="1:16" hidden="1" x14ac:dyDescent="0.3">
      <c r="A219">
        <v>11</v>
      </c>
      <c r="B219" t="str">
        <f>VLOOKUP($A219,[1]LISTA!$B:$C,2,0)</f>
        <v>MARZO</v>
      </c>
      <c r="C219" s="1">
        <v>2025</v>
      </c>
      <c r="D219" s="1" t="str">
        <f>IF($A219&lt;=[1]RESULTADOS!$D$6,"YTD","YTG")</f>
        <v>YTD</v>
      </c>
      <c r="E219" t="s">
        <v>31</v>
      </c>
      <c r="F219" t="s">
        <v>18</v>
      </c>
      <c r="G219" t="s">
        <v>19</v>
      </c>
      <c r="H219" t="s">
        <v>25</v>
      </c>
      <c r="I219" t="s">
        <v>37</v>
      </c>
      <c r="J219" t="str">
        <f>IFERROR(VLOOKUP(I219,[1]AUTOS!$C:$G,2,0),"")</f>
        <v>BEAT</v>
      </c>
      <c r="K219">
        <f>IFERROR(VLOOKUP(I219,[1]AUTOS!$C:$G,3,0),"")</f>
        <v>2020</v>
      </c>
      <c r="L219" t="str">
        <f>IFERROR(VLOOKUP(I219,[1]AUTOS!$C:$G,4,0),"")</f>
        <v>GRIS</v>
      </c>
      <c r="M219" t="s">
        <v>35</v>
      </c>
      <c r="P219" s="3">
        <v>-30</v>
      </c>
    </row>
    <row r="220" spans="1:16" x14ac:dyDescent="0.3">
      <c r="A220">
        <v>11</v>
      </c>
      <c r="B220" t="str">
        <f>VLOOKUP($A220,[1]LISTA!$B:$C,2,0)</f>
        <v>MARZO</v>
      </c>
      <c r="C220" s="1">
        <v>2025</v>
      </c>
      <c r="D220" s="1" t="str">
        <f>IF($A220&lt;=[1]RESULTADOS!$D$6,"YTD","YTG")</f>
        <v>YTD</v>
      </c>
      <c r="E220" t="s">
        <v>31</v>
      </c>
      <c r="F220" t="s">
        <v>18</v>
      </c>
      <c r="G220" t="s">
        <v>19</v>
      </c>
      <c r="H220" t="s">
        <v>25</v>
      </c>
      <c r="I220" t="s">
        <v>72</v>
      </c>
      <c r="J220" t="str">
        <f>IFERROR(VLOOKUP(I220,[1]AUTOS!$C:$G,2,0),"")</f>
        <v>VENTO</v>
      </c>
      <c r="K220">
        <f>IFERROR(VLOOKUP(I220,[1]AUTOS!$C:$G,3,0),"")</f>
        <v>2020</v>
      </c>
      <c r="L220" t="str">
        <f>IFERROR(VLOOKUP(I220,[1]AUTOS!$C:$G,4,0),"")</f>
        <v>GRIS</v>
      </c>
      <c r="M220" t="s">
        <v>43</v>
      </c>
      <c r="P220" s="3">
        <v>-30</v>
      </c>
    </row>
    <row r="221" spans="1:16" hidden="1" x14ac:dyDescent="0.3">
      <c r="A221">
        <v>11</v>
      </c>
      <c r="B221" t="str">
        <f>VLOOKUP($A221,[1]LISTA!$B:$C,2,0)</f>
        <v>MARZO</v>
      </c>
      <c r="C221" s="1">
        <v>2025</v>
      </c>
      <c r="D221" s="1" t="str">
        <f>IF($A221&lt;=[1]RESULTADOS!$D$6,"YTD","YTG")</f>
        <v>YTD</v>
      </c>
      <c r="E221" t="s">
        <v>31</v>
      </c>
      <c r="F221" t="s">
        <v>18</v>
      </c>
      <c r="G221" t="s">
        <v>19</v>
      </c>
      <c r="H221" t="s">
        <v>25</v>
      </c>
      <c r="I221" t="s">
        <v>59</v>
      </c>
      <c r="J221" t="str">
        <f>IFERROR(VLOOKUP(I221,[1]AUTOS!$C:$G,2,0),"")</f>
        <v>AVEO</v>
      </c>
      <c r="K221">
        <f>IFERROR(VLOOKUP(I221,[1]AUTOS!$C:$G,3,0),"")</f>
        <v>2019</v>
      </c>
      <c r="L221" t="str">
        <f>IFERROR(VLOOKUP(I221,[1]AUTOS!$C:$G,4,0),"")</f>
        <v>BLANCO</v>
      </c>
      <c r="M221" t="s">
        <v>43</v>
      </c>
      <c r="P221" s="3">
        <v>-30</v>
      </c>
    </row>
    <row r="222" spans="1:16" hidden="1" x14ac:dyDescent="0.3">
      <c r="A222">
        <v>11</v>
      </c>
      <c r="B222" t="str">
        <f>VLOOKUP($A222,[1]LISTA!$B:$C,2,0)</f>
        <v>MARZO</v>
      </c>
      <c r="C222" s="1">
        <v>2025</v>
      </c>
      <c r="D222" s="1" t="str">
        <f>IF($A222&lt;=[1]RESULTADOS!$D$6,"YTD","YTG")</f>
        <v>YTD</v>
      </c>
      <c r="E222" t="s">
        <v>31</v>
      </c>
      <c r="F222" t="s">
        <v>18</v>
      </c>
      <c r="G222" t="s">
        <v>19</v>
      </c>
      <c r="H222" t="s">
        <v>25</v>
      </c>
      <c r="I222" t="s">
        <v>51</v>
      </c>
      <c r="J222" t="str">
        <f>IFERROR(VLOOKUP(I222,[1]AUTOS!$C:$G,2,0),"")</f>
        <v>VENTO</v>
      </c>
      <c r="K222">
        <f>IFERROR(VLOOKUP(I222,[1]AUTOS!$C:$G,3,0),"")</f>
        <v>2017</v>
      </c>
      <c r="L222" t="str">
        <f>IFERROR(VLOOKUP(I222,[1]AUTOS!$C:$G,4,0),"")</f>
        <v>GRIS</v>
      </c>
      <c r="M222" t="s">
        <v>22</v>
      </c>
      <c r="P222" s="3">
        <v>-30</v>
      </c>
    </row>
    <row r="223" spans="1:16" hidden="1" x14ac:dyDescent="0.3">
      <c r="A223">
        <v>11</v>
      </c>
      <c r="B223" t="str">
        <f>VLOOKUP($A223,[1]LISTA!$B:$C,2,0)</f>
        <v>MARZO</v>
      </c>
      <c r="C223" s="1">
        <v>2025</v>
      </c>
      <c r="D223" s="1" t="str">
        <f>IF($A223&lt;=[1]RESULTADOS!$D$6,"YTD","YTG")</f>
        <v>YTD</v>
      </c>
      <c r="E223" t="s">
        <v>31</v>
      </c>
      <c r="F223" t="s">
        <v>18</v>
      </c>
      <c r="G223" t="s">
        <v>19</v>
      </c>
      <c r="H223" t="s">
        <v>25</v>
      </c>
      <c r="I223" t="s">
        <v>73</v>
      </c>
      <c r="J223" t="str">
        <f>IFERROR(VLOOKUP(I223,[1]AUTOS!$C:$G,2,0),"")</f>
        <v>VERSA</v>
      </c>
      <c r="K223">
        <f>IFERROR(VLOOKUP(I223,[1]AUTOS!$C:$G,3,0),"")</f>
        <v>2023</v>
      </c>
      <c r="L223" t="str">
        <f>IFERROR(VLOOKUP(I223,[1]AUTOS!$C:$G,4,0),"")</f>
        <v>PLATA</v>
      </c>
      <c r="M223" t="s">
        <v>43</v>
      </c>
      <c r="P223" s="3">
        <v>-30</v>
      </c>
    </row>
    <row r="224" spans="1:16" hidden="1" x14ac:dyDescent="0.3">
      <c r="A224">
        <v>11</v>
      </c>
      <c r="B224" t="str">
        <f>VLOOKUP($A224,[1]LISTA!$B:$C,2,0)</f>
        <v>MARZO</v>
      </c>
      <c r="C224" s="1">
        <v>2025</v>
      </c>
      <c r="D224" s="1" t="str">
        <f>IF($A224&lt;=[1]RESULTADOS!$D$6,"YTD","YTG")</f>
        <v>YTD</v>
      </c>
      <c r="E224" t="s">
        <v>31</v>
      </c>
      <c r="F224" t="s">
        <v>18</v>
      </c>
      <c r="G224" t="s">
        <v>19</v>
      </c>
      <c r="H224" t="s">
        <v>25</v>
      </c>
      <c r="I224" t="s">
        <v>67</v>
      </c>
      <c r="J224" t="str">
        <f>IFERROR(VLOOKUP(I224,[1]AUTOS!$C:$G,2,0),"")</f>
        <v>KIA RIO</v>
      </c>
      <c r="K224">
        <f>IFERROR(VLOOKUP(I224,[1]AUTOS!$C:$G,3,0),"")</f>
        <v>2020</v>
      </c>
      <c r="L224" t="str">
        <f>IFERROR(VLOOKUP(I224,[1]AUTOS!$C:$G,4,0),"")</f>
        <v>GRIS</v>
      </c>
      <c r="M224" t="s">
        <v>43</v>
      </c>
      <c r="P224" s="3">
        <v>-30</v>
      </c>
    </row>
    <row r="225" spans="1:16" hidden="1" x14ac:dyDescent="0.3">
      <c r="A225">
        <v>11</v>
      </c>
      <c r="B225" t="str">
        <f>VLOOKUP($A225,[1]LISTA!$B:$C,2,0)</f>
        <v>MARZO</v>
      </c>
      <c r="C225" s="1">
        <v>2025</v>
      </c>
      <c r="D225" s="1" t="str">
        <f>IF($A225&lt;=[1]RESULTADOS!$D$6,"YTD","YTG")</f>
        <v>YTD</v>
      </c>
      <c r="E225" t="s">
        <v>31</v>
      </c>
      <c r="F225" t="s">
        <v>18</v>
      </c>
      <c r="G225" t="s">
        <v>19</v>
      </c>
      <c r="H225" t="s">
        <v>25</v>
      </c>
      <c r="I225" t="s">
        <v>40</v>
      </c>
      <c r="J225" t="str">
        <f>IFERROR(VLOOKUP(I225,[1]AUTOS!$C:$G,2,0),"")</f>
        <v>VERSA</v>
      </c>
      <c r="K225">
        <f>IFERROR(VLOOKUP(I225,[1]AUTOS!$C:$G,3,0),"")</f>
        <v>2017</v>
      </c>
      <c r="L225" t="str">
        <f>IFERROR(VLOOKUP(I225,[1]AUTOS!$C:$G,4,0),"")</f>
        <v>ACERO</v>
      </c>
      <c r="M225" t="s">
        <v>35</v>
      </c>
      <c r="P225" s="3">
        <v>-30</v>
      </c>
    </row>
    <row r="226" spans="1:16" hidden="1" x14ac:dyDescent="0.3">
      <c r="A226">
        <v>11</v>
      </c>
      <c r="B226" t="str">
        <f>VLOOKUP($A226,[1]LISTA!$B:$C,2,0)</f>
        <v>MARZO</v>
      </c>
      <c r="C226" s="1">
        <v>2025</v>
      </c>
      <c r="D226" s="1" t="str">
        <f>IF($A226&lt;=[1]RESULTADOS!$D$6,"YTD","YTG")</f>
        <v>YTD</v>
      </c>
      <c r="E226" t="s">
        <v>31</v>
      </c>
      <c r="F226" t="s">
        <v>18</v>
      </c>
      <c r="G226" t="s">
        <v>19</v>
      </c>
      <c r="H226" t="s">
        <v>25</v>
      </c>
      <c r="I226" t="s">
        <v>67</v>
      </c>
      <c r="J226" t="str">
        <f>IFERROR(VLOOKUP(I226,[1]AUTOS!$C:$G,2,0),"")</f>
        <v>KIA RIO</v>
      </c>
      <c r="K226">
        <f>IFERROR(VLOOKUP(I226,[1]AUTOS!$C:$G,3,0),"")</f>
        <v>2020</v>
      </c>
      <c r="L226" t="str">
        <f>IFERROR(VLOOKUP(I226,[1]AUTOS!$C:$G,4,0),"")</f>
        <v>GRIS</v>
      </c>
      <c r="M226" t="s">
        <v>43</v>
      </c>
      <c r="P226" s="3">
        <v>-30</v>
      </c>
    </row>
    <row r="227" spans="1:16" hidden="1" x14ac:dyDescent="0.3">
      <c r="A227">
        <v>11</v>
      </c>
      <c r="B227" t="str">
        <f>VLOOKUP($A227,[1]LISTA!$B:$C,2,0)</f>
        <v>MARZO</v>
      </c>
      <c r="C227" s="1">
        <v>2025</v>
      </c>
      <c r="D227" s="1" t="str">
        <f>IF($A227&lt;=[1]RESULTADOS!$D$6,"YTD","YTG")</f>
        <v>YTD</v>
      </c>
      <c r="E227" t="s">
        <v>31</v>
      </c>
      <c r="F227" t="s">
        <v>18</v>
      </c>
      <c r="G227" t="s">
        <v>19</v>
      </c>
      <c r="H227" t="s">
        <v>25</v>
      </c>
      <c r="I227" t="s">
        <v>61</v>
      </c>
      <c r="J227" t="str">
        <f>IFERROR(VLOOKUP(I227,[1]AUTOS!$C:$G,2,0),"")</f>
        <v>KIA RIO</v>
      </c>
      <c r="K227">
        <f>IFERROR(VLOOKUP(I227,[1]AUTOS!$C:$G,3,0),"")</f>
        <v>2017</v>
      </c>
      <c r="L227" t="str">
        <f>IFERROR(VLOOKUP(I227,[1]AUTOS!$C:$G,4,0),"")</f>
        <v>ROJO</v>
      </c>
      <c r="M227" t="s">
        <v>35</v>
      </c>
      <c r="P227" s="3">
        <v>-30</v>
      </c>
    </row>
    <row r="228" spans="1:16" x14ac:dyDescent="0.3">
      <c r="A228">
        <v>11</v>
      </c>
      <c r="B228" t="str">
        <f>VLOOKUP($A228,[1]LISTA!$B:$C,2,0)</f>
        <v>MARZO</v>
      </c>
      <c r="C228" s="1">
        <v>2025</v>
      </c>
      <c r="D228" s="1" t="str">
        <f>IF($A228&lt;=[1]RESULTADOS!$D$6,"YTD","YTG")</f>
        <v>YTD</v>
      </c>
      <c r="E228" t="s">
        <v>31</v>
      </c>
      <c r="F228" t="s">
        <v>18</v>
      </c>
      <c r="G228" t="s">
        <v>19</v>
      </c>
      <c r="H228" t="s">
        <v>25</v>
      </c>
      <c r="I228" t="s">
        <v>72</v>
      </c>
      <c r="J228" t="str">
        <f>IFERROR(VLOOKUP(I228,[1]AUTOS!$C:$G,2,0),"")</f>
        <v>VENTO</v>
      </c>
      <c r="K228">
        <f>IFERROR(VLOOKUP(I228,[1]AUTOS!$C:$G,3,0),"")</f>
        <v>2020</v>
      </c>
      <c r="L228" t="str">
        <f>IFERROR(VLOOKUP(I228,[1]AUTOS!$C:$G,4,0),"")</f>
        <v>GRIS</v>
      </c>
      <c r="M228" t="s">
        <v>43</v>
      </c>
      <c r="P228" s="3">
        <v>-30</v>
      </c>
    </row>
    <row r="229" spans="1:16" hidden="1" x14ac:dyDescent="0.3">
      <c r="A229">
        <v>11</v>
      </c>
      <c r="B229" t="str">
        <f>VLOOKUP($A229,[1]LISTA!$B:$C,2,0)</f>
        <v>MARZO</v>
      </c>
      <c r="C229" s="1">
        <v>2025</v>
      </c>
      <c r="D229" s="1" t="str">
        <f>IF($A229&lt;=[1]RESULTADOS!$D$6,"YTD","YTG")</f>
        <v>YTD</v>
      </c>
      <c r="E229" t="s">
        <v>31</v>
      </c>
      <c r="F229" t="s">
        <v>18</v>
      </c>
      <c r="G229" t="s">
        <v>19</v>
      </c>
      <c r="H229" t="s">
        <v>25</v>
      </c>
      <c r="I229" t="s">
        <v>61</v>
      </c>
      <c r="J229" t="str">
        <f>IFERROR(VLOOKUP(I229,[1]AUTOS!$C:$G,2,0),"")</f>
        <v>KIA RIO</v>
      </c>
      <c r="K229">
        <f>IFERROR(VLOOKUP(I229,[1]AUTOS!$C:$G,3,0),"")</f>
        <v>2017</v>
      </c>
      <c r="L229" t="str">
        <f>IFERROR(VLOOKUP(I229,[1]AUTOS!$C:$G,4,0),"")</f>
        <v>ROJO</v>
      </c>
      <c r="M229" t="s">
        <v>35</v>
      </c>
      <c r="P229" s="3">
        <v>-30</v>
      </c>
    </row>
    <row r="230" spans="1:16" hidden="1" x14ac:dyDescent="0.3">
      <c r="A230">
        <v>11</v>
      </c>
      <c r="B230" t="str">
        <f>VLOOKUP($A230,[1]LISTA!$B:$C,2,0)</f>
        <v>MARZO</v>
      </c>
      <c r="C230" s="1">
        <v>2025</v>
      </c>
      <c r="D230" s="1" t="str">
        <f>IF($A230&lt;=[1]RESULTADOS!$D$6,"YTD","YTG")</f>
        <v>YTD</v>
      </c>
      <c r="E230" t="s">
        <v>31</v>
      </c>
      <c r="F230" t="s">
        <v>18</v>
      </c>
      <c r="G230" t="s">
        <v>19</v>
      </c>
      <c r="H230" t="s">
        <v>25</v>
      </c>
      <c r="I230" t="s">
        <v>59</v>
      </c>
      <c r="J230" t="str">
        <f>IFERROR(VLOOKUP(I230,[1]AUTOS!$C:$G,2,0),"")</f>
        <v>AVEO</v>
      </c>
      <c r="K230">
        <f>IFERROR(VLOOKUP(I230,[1]AUTOS!$C:$G,3,0),"")</f>
        <v>2019</v>
      </c>
      <c r="L230" t="str">
        <f>IFERROR(VLOOKUP(I230,[1]AUTOS!$C:$G,4,0),"")</f>
        <v>BLANCO</v>
      </c>
      <c r="M230" t="s">
        <v>43</v>
      </c>
      <c r="P230" s="3">
        <v>-30</v>
      </c>
    </row>
    <row r="231" spans="1:16" hidden="1" x14ac:dyDescent="0.3">
      <c r="A231">
        <v>11</v>
      </c>
      <c r="B231" t="str">
        <f>VLOOKUP($A231,[1]LISTA!$B:$C,2,0)</f>
        <v>MARZO</v>
      </c>
      <c r="C231" s="1">
        <v>2025</v>
      </c>
      <c r="D231" s="1" t="str">
        <f>IF($A231&lt;=[1]RESULTADOS!$D$6,"YTD","YTG")</f>
        <v>YTD</v>
      </c>
      <c r="E231" t="s">
        <v>31</v>
      </c>
      <c r="F231" t="s">
        <v>18</v>
      </c>
      <c r="G231" t="s">
        <v>19</v>
      </c>
      <c r="H231" t="s">
        <v>25</v>
      </c>
      <c r="I231" t="s">
        <v>46</v>
      </c>
      <c r="J231" t="str">
        <f>IFERROR(VLOOKUP(I231,[1]AUTOS!$C:$G,2,0),"")</f>
        <v>MARCH</v>
      </c>
      <c r="K231">
        <f>IFERROR(VLOOKUP(I231,[1]AUTOS!$C:$G,3,0),"")</f>
        <v>2020</v>
      </c>
      <c r="L231" t="str">
        <f>IFERROR(VLOOKUP(I231,[1]AUTOS!$C:$G,4,0),"")</f>
        <v>TURQ</v>
      </c>
      <c r="M231" t="s">
        <v>43</v>
      </c>
      <c r="P231" s="3">
        <v>-30</v>
      </c>
    </row>
    <row r="232" spans="1:16" hidden="1" x14ac:dyDescent="0.3">
      <c r="A232">
        <v>11</v>
      </c>
      <c r="B232" t="str">
        <f>VLOOKUP($A232,[1]LISTA!$B:$C,2,0)</f>
        <v>MARZO</v>
      </c>
      <c r="C232" s="1">
        <v>2025</v>
      </c>
      <c r="D232" s="1" t="str">
        <f>IF($A232&lt;=[1]RESULTADOS!$D$6,"YTD","YTG")</f>
        <v>YTD</v>
      </c>
      <c r="E232" t="s">
        <v>31</v>
      </c>
      <c r="F232" t="s">
        <v>18</v>
      </c>
      <c r="G232" t="s">
        <v>19</v>
      </c>
      <c r="H232" t="s">
        <v>25</v>
      </c>
      <c r="I232" t="s">
        <v>79</v>
      </c>
      <c r="J232" t="str">
        <f>IFERROR(VLOOKUP(I232,[1]AUTOS!$C:$G,2,0),"")</f>
        <v>AVEO</v>
      </c>
      <c r="K232">
        <f>IFERROR(VLOOKUP(I232,[1]AUTOS!$C:$G,3,0),"")</f>
        <v>2021</v>
      </c>
      <c r="L232" t="str">
        <f>IFERROR(VLOOKUP(I232,[1]AUTOS!$C:$G,4,0),"")</f>
        <v>OCRE</v>
      </c>
      <c r="M232" t="s">
        <v>43</v>
      </c>
      <c r="P232" s="3">
        <v>-30</v>
      </c>
    </row>
    <row r="233" spans="1:16" hidden="1" x14ac:dyDescent="0.3">
      <c r="A233">
        <v>11</v>
      </c>
      <c r="B233" t="str">
        <f>VLOOKUP($A233,[1]LISTA!$B:$C,2,0)</f>
        <v>MARZO</v>
      </c>
      <c r="C233" s="1">
        <v>2025</v>
      </c>
      <c r="D233" s="1" t="str">
        <f>IF($A233&lt;=[1]RESULTADOS!$D$6,"YTD","YTG")</f>
        <v>YTD</v>
      </c>
      <c r="E233" t="s">
        <v>31</v>
      </c>
      <c r="F233" t="s">
        <v>18</v>
      </c>
      <c r="G233" t="s">
        <v>19</v>
      </c>
      <c r="H233" t="s">
        <v>25</v>
      </c>
      <c r="I233" t="s">
        <v>79</v>
      </c>
      <c r="J233" t="str">
        <f>IFERROR(VLOOKUP(I233,[1]AUTOS!$C:$G,2,0),"")</f>
        <v>AVEO</v>
      </c>
      <c r="K233">
        <f>IFERROR(VLOOKUP(I233,[1]AUTOS!$C:$G,3,0),"")</f>
        <v>2021</v>
      </c>
      <c r="L233" t="str">
        <f>IFERROR(VLOOKUP(I233,[1]AUTOS!$C:$G,4,0),"")</f>
        <v>OCRE</v>
      </c>
      <c r="M233" t="s">
        <v>43</v>
      </c>
      <c r="P233" s="3">
        <v>-30</v>
      </c>
    </row>
    <row r="234" spans="1:16" hidden="1" x14ac:dyDescent="0.3">
      <c r="A234">
        <v>10</v>
      </c>
      <c r="B234" t="str">
        <f>VLOOKUP($A234,[1]LISTA!$B:$C,2,0)</f>
        <v>MARZO</v>
      </c>
      <c r="C234" s="1">
        <v>2025</v>
      </c>
      <c r="D234" s="1" t="str">
        <f>IF($A234&lt;=[1]RESULTADOS!$D$6,"YTD","YTG")</f>
        <v>YTD</v>
      </c>
      <c r="E234" t="s">
        <v>31</v>
      </c>
      <c r="F234" t="s">
        <v>18</v>
      </c>
      <c r="G234" t="s">
        <v>19</v>
      </c>
      <c r="H234" t="s">
        <v>25</v>
      </c>
      <c r="I234" t="s">
        <v>37</v>
      </c>
      <c r="J234" t="str">
        <f>IFERROR(VLOOKUP(I234,[1]AUTOS!$C:$G,2,0),"")</f>
        <v>BEAT</v>
      </c>
      <c r="K234">
        <f>IFERROR(VLOOKUP(I234,[1]AUTOS!$C:$G,3,0),"")</f>
        <v>2020</v>
      </c>
      <c r="L234" t="str">
        <f>IFERROR(VLOOKUP(I234,[1]AUTOS!$C:$G,4,0),"")</f>
        <v>GRIS</v>
      </c>
      <c r="M234" t="s">
        <v>35</v>
      </c>
      <c r="P234" s="3">
        <v>-30</v>
      </c>
    </row>
    <row r="235" spans="1:16" x14ac:dyDescent="0.3">
      <c r="A235">
        <v>10</v>
      </c>
      <c r="B235" t="str">
        <f>VLOOKUP($A235,[1]LISTA!$B:$C,2,0)</f>
        <v>MARZO</v>
      </c>
      <c r="C235" s="1">
        <v>2025</v>
      </c>
      <c r="D235" s="1" t="str">
        <f>IF($A235&lt;=[1]RESULTADOS!$D$6,"YTD","YTG")</f>
        <v>YTD</v>
      </c>
      <c r="E235" t="s">
        <v>31</v>
      </c>
      <c r="F235" t="s">
        <v>18</v>
      </c>
      <c r="G235" t="s">
        <v>19</v>
      </c>
      <c r="H235" t="s">
        <v>25</v>
      </c>
      <c r="I235" t="s">
        <v>72</v>
      </c>
      <c r="J235" t="str">
        <f>IFERROR(VLOOKUP(I235,[1]AUTOS!$C:$G,2,0),"")</f>
        <v>VENTO</v>
      </c>
      <c r="K235">
        <f>IFERROR(VLOOKUP(I235,[1]AUTOS!$C:$G,3,0),"")</f>
        <v>2020</v>
      </c>
      <c r="L235" t="str">
        <f>IFERROR(VLOOKUP(I235,[1]AUTOS!$C:$G,4,0),"")</f>
        <v>GRIS</v>
      </c>
      <c r="M235" t="s">
        <v>43</v>
      </c>
      <c r="P235" s="3">
        <v>-30</v>
      </c>
    </row>
    <row r="236" spans="1:16" hidden="1" x14ac:dyDescent="0.3">
      <c r="A236">
        <v>10</v>
      </c>
      <c r="B236" t="str">
        <f>VLOOKUP($A236,[1]LISTA!$B:$C,2,0)</f>
        <v>MARZO</v>
      </c>
      <c r="C236" s="1">
        <v>2025</v>
      </c>
      <c r="D236" s="1" t="str">
        <f>IF($A236&lt;=[1]RESULTADOS!$D$6,"YTD","YTG")</f>
        <v>YTD</v>
      </c>
      <c r="E236" t="s">
        <v>31</v>
      </c>
      <c r="F236" t="s">
        <v>18</v>
      </c>
      <c r="G236" t="s">
        <v>19</v>
      </c>
      <c r="H236" t="s">
        <v>25</v>
      </c>
      <c r="I236" t="s">
        <v>59</v>
      </c>
      <c r="J236" t="str">
        <f>IFERROR(VLOOKUP(I236,[1]AUTOS!$C:$G,2,0),"")</f>
        <v>AVEO</v>
      </c>
      <c r="K236">
        <f>IFERROR(VLOOKUP(I236,[1]AUTOS!$C:$G,3,0),"")</f>
        <v>2019</v>
      </c>
      <c r="L236" t="str">
        <f>IFERROR(VLOOKUP(I236,[1]AUTOS!$C:$G,4,0),"")</f>
        <v>BLANCO</v>
      </c>
      <c r="M236" t="s">
        <v>43</v>
      </c>
      <c r="P236" s="3">
        <v>-30</v>
      </c>
    </row>
    <row r="237" spans="1:16" hidden="1" x14ac:dyDescent="0.3">
      <c r="A237">
        <v>10</v>
      </c>
      <c r="B237" t="str">
        <f>VLOOKUP($A237,[1]LISTA!$B:$C,2,0)</f>
        <v>MARZO</v>
      </c>
      <c r="C237" s="1">
        <v>2025</v>
      </c>
      <c r="D237" s="1" t="str">
        <f>IF($A237&lt;=[1]RESULTADOS!$D$6,"YTD","YTG")</f>
        <v>YTD</v>
      </c>
      <c r="E237" t="s">
        <v>31</v>
      </c>
      <c r="F237" t="s">
        <v>18</v>
      </c>
      <c r="G237" t="s">
        <v>19</v>
      </c>
      <c r="H237" t="s">
        <v>25</v>
      </c>
      <c r="I237" t="s">
        <v>51</v>
      </c>
      <c r="J237" t="str">
        <f>IFERROR(VLOOKUP(I237,[1]AUTOS!$C:$G,2,0),"")</f>
        <v>VENTO</v>
      </c>
      <c r="K237">
        <f>IFERROR(VLOOKUP(I237,[1]AUTOS!$C:$G,3,0),"")</f>
        <v>2017</v>
      </c>
      <c r="L237" t="str">
        <f>IFERROR(VLOOKUP(I237,[1]AUTOS!$C:$G,4,0),"")</f>
        <v>GRIS</v>
      </c>
      <c r="M237" t="s">
        <v>22</v>
      </c>
      <c r="P237" s="3">
        <v>-30</v>
      </c>
    </row>
    <row r="238" spans="1:16" hidden="1" x14ac:dyDescent="0.3">
      <c r="A238">
        <v>10</v>
      </c>
      <c r="B238" t="str">
        <f>VLOOKUP($A238,[1]LISTA!$B:$C,2,0)</f>
        <v>MARZO</v>
      </c>
      <c r="C238" s="1">
        <v>2025</v>
      </c>
      <c r="D238" s="1" t="str">
        <f>IF($A238&lt;=[1]RESULTADOS!$D$6,"YTD","YTG")</f>
        <v>YTD</v>
      </c>
      <c r="E238" t="s">
        <v>31</v>
      </c>
      <c r="F238" t="s">
        <v>18</v>
      </c>
      <c r="G238" t="s">
        <v>19</v>
      </c>
      <c r="H238" t="s">
        <v>25</v>
      </c>
      <c r="I238" t="s">
        <v>73</v>
      </c>
      <c r="J238" t="str">
        <f>IFERROR(VLOOKUP(I238,[1]AUTOS!$C:$G,2,0),"")</f>
        <v>VERSA</v>
      </c>
      <c r="K238">
        <f>IFERROR(VLOOKUP(I238,[1]AUTOS!$C:$G,3,0),"")</f>
        <v>2023</v>
      </c>
      <c r="L238" t="str">
        <f>IFERROR(VLOOKUP(I238,[1]AUTOS!$C:$G,4,0),"")</f>
        <v>PLATA</v>
      </c>
      <c r="M238" t="s">
        <v>43</v>
      </c>
      <c r="P238" s="3">
        <v>-30</v>
      </c>
    </row>
    <row r="239" spans="1:16" hidden="1" x14ac:dyDescent="0.3">
      <c r="A239">
        <v>10</v>
      </c>
      <c r="B239" t="str">
        <f>VLOOKUP($A239,[1]LISTA!$B:$C,2,0)</f>
        <v>MARZO</v>
      </c>
      <c r="C239" s="1">
        <v>2025</v>
      </c>
      <c r="D239" s="1" t="str">
        <f>IF($A239&lt;=[1]RESULTADOS!$D$6,"YTD","YTG")</f>
        <v>YTD</v>
      </c>
      <c r="E239" t="s">
        <v>31</v>
      </c>
      <c r="F239" t="s">
        <v>18</v>
      </c>
      <c r="G239" t="s">
        <v>19</v>
      </c>
      <c r="H239" t="s">
        <v>25</v>
      </c>
      <c r="I239" t="s">
        <v>67</v>
      </c>
      <c r="J239" t="str">
        <f>IFERROR(VLOOKUP(I239,[1]AUTOS!$C:$G,2,0),"")</f>
        <v>KIA RIO</v>
      </c>
      <c r="K239">
        <f>IFERROR(VLOOKUP(I239,[1]AUTOS!$C:$G,3,0),"")</f>
        <v>2020</v>
      </c>
      <c r="L239" t="str">
        <f>IFERROR(VLOOKUP(I239,[1]AUTOS!$C:$G,4,0),"")</f>
        <v>GRIS</v>
      </c>
      <c r="M239" t="s">
        <v>43</v>
      </c>
      <c r="P239" s="3">
        <v>-30</v>
      </c>
    </row>
    <row r="240" spans="1:16" hidden="1" x14ac:dyDescent="0.3">
      <c r="A240">
        <v>10</v>
      </c>
      <c r="B240" t="str">
        <f>VLOOKUP($A240,[1]LISTA!$B:$C,2,0)</f>
        <v>MARZO</v>
      </c>
      <c r="C240" s="1">
        <v>2025</v>
      </c>
      <c r="D240" s="1" t="str">
        <f>IF($A240&lt;=[1]RESULTADOS!$D$6,"YTD","YTG")</f>
        <v>YTD</v>
      </c>
      <c r="E240" t="s">
        <v>31</v>
      </c>
      <c r="F240" t="s">
        <v>18</v>
      </c>
      <c r="G240" t="s">
        <v>19</v>
      </c>
      <c r="H240" t="s">
        <v>25</v>
      </c>
      <c r="I240" t="s">
        <v>40</v>
      </c>
      <c r="J240" t="str">
        <f>IFERROR(VLOOKUP(I240,[1]AUTOS!$C:$G,2,0),"")</f>
        <v>VERSA</v>
      </c>
      <c r="K240">
        <f>IFERROR(VLOOKUP(I240,[1]AUTOS!$C:$G,3,0),"")</f>
        <v>2017</v>
      </c>
      <c r="L240" t="str">
        <f>IFERROR(VLOOKUP(I240,[1]AUTOS!$C:$G,4,0),"")</f>
        <v>ACERO</v>
      </c>
      <c r="M240" t="s">
        <v>35</v>
      </c>
      <c r="P240" s="3">
        <v>-30</v>
      </c>
    </row>
    <row r="241" spans="1:16" hidden="1" x14ac:dyDescent="0.3">
      <c r="A241">
        <v>10</v>
      </c>
      <c r="B241" t="str">
        <f>VLOOKUP($A241,[1]LISTA!$B:$C,2,0)</f>
        <v>MARZO</v>
      </c>
      <c r="C241" s="1">
        <v>2025</v>
      </c>
      <c r="D241" s="1" t="str">
        <f>IF($A241&lt;=[1]RESULTADOS!$D$6,"YTD","YTG")</f>
        <v>YTD</v>
      </c>
      <c r="E241" t="s">
        <v>31</v>
      </c>
      <c r="F241" t="s">
        <v>18</v>
      </c>
      <c r="G241" t="s">
        <v>19</v>
      </c>
      <c r="H241" t="s">
        <v>25</v>
      </c>
      <c r="I241" t="s">
        <v>67</v>
      </c>
      <c r="J241" t="str">
        <f>IFERROR(VLOOKUP(I241,[1]AUTOS!$C:$G,2,0),"")</f>
        <v>KIA RIO</v>
      </c>
      <c r="K241">
        <f>IFERROR(VLOOKUP(I241,[1]AUTOS!$C:$G,3,0),"")</f>
        <v>2020</v>
      </c>
      <c r="L241" t="str">
        <f>IFERROR(VLOOKUP(I241,[1]AUTOS!$C:$G,4,0),"")</f>
        <v>GRIS</v>
      </c>
      <c r="M241" t="s">
        <v>43</v>
      </c>
      <c r="P241" s="3">
        <v>-30</v>
      </c>
    </row>
    <row r="242" spans="1:16" hidden="1" x14ac:dyDescent="0.3">
      <c r="A242">
        <v>10</v>
      </c>
      <c r="B242" t="str">
        <f>VLOOKUP($A242,[1]LISTA!$B:$C,2,0)</f>
        <v>MARZO</v>
      </c>
      <c r="C242" s="1">
        <v>2025</v>
      </c>
      <c r="D242" s="1" t="str">
        <f>IF($A242&lt;=[1]RESULTADOS!$D$6,"YTD","YTG")</f>
        <v>YTD</v>
      </c>
      <c r="E242" t="s">
        <v>31</v>
      </c>
      <c r="F242" t="s">
        <v>18</v>
      </c>
      <c r="G242" t="s">
        <v>19</v>
      </c>
      <c r="H242" t="s">
        <v>25</v>
      </c>
      <c r="I242" t="s">
        <v>61</v>
      </c>
      <c r="J242" t="str">
        <f>IFERROR(VLOOKUP(I242,[1]AUTOS!$C:$G,2,0),"")</f>
        <v>KIA RIO</v>
      </c>
      <c r="K242">
        <f>IFERROR(VLOOKUP(I242,[1]AUTOS!$C:$G,3,0),"")</f>
        <v>2017</v>
      </c>
      <c r="L242" t="str">
        <f>IFERROR(VLOOKUP(I242,[1]AUTOS!$C:$G,4,0),"")</f>
        <v>ROJO</v>
      </c>
      <c r="M242" t="s">
        <v>35</v>
      </c>
      <c r="P242" s="3">
        <v>-30</v>
      </c>
    </row>
    <row r="243" spans="1:16" x14ac:dyDescent="0.3">
      <c r="A243">
        <v>10</v>
      </c>
      <c r="B243" t="str">
        <f>VLOOKUP($A243,[1]LISTA!$B:$C,2,0)</f>
        <v>MARZO</v>
      </c>
      <c r="C243" s="1">
        <v>2025</v>
      </c>
      <c r="D243" s="1" t="str">
        <f>IF($A243&lt;=[1]RESULTADOS!$D$6,"YTD","YTG")</f>
        <v>YTD</v>
      </c>
      <c r="E243" t="s">
        <v>31</v>
      </c>
      <c r="F243" t="s">
        <v>18</v>
      </c>
      <c r="G243" t="s">
        <v>19</v>
      </c>
      <c r="H243" t="s">
        <v>25</v>
      </c>
      <c r="I243" t="s">
        <v>72</v>
      </c>
      <c r="J243" t="str">
        <f>IFERROR(VLOOKUP(I243,[1]AUTOS!$C:$G,2,0),"")</f>
        <v>VENTO</v>
      </c>
      <c r="K243">
        <f>IFERROR(VLOOKUP(I243,[1]AUTOS!$C:$G,3,0),"")</f>
        <v>2020</v>
      </c>
      <c r="L243" t="str">
        <f>IFERROR(VLOOKUP(I243,[1]AUTOS!$C:$G,4,0),"")</f>
        <v>GRIS</v>
      </c>
      <c r="M243" t="s">
        <v>43</v>
      </c>
      <c r="P243" s="3">
        <v>-30</v>
      </c>
    </row>
    <row r="244" spans="1:16" hidden="1" x14ac:dyDescent="0.3">
      <c r="A244">
        <v>10</v>
      </c>
      <c r="B244" t="str">
        <f>VLOOKUP($A244,[1]LISTA!$B:$C,2,0)</f>
        <v>MARZO</v>
      </c>
      <c r="C244" s="1">
        <v>2025</v>
      </c>
      <c r="D244" s="1" t="str">
        <f>IF($A244&lt;=[1]RESULTADOS!$D$6,"YTD","YTG")</f>
        <v>YTD</v>
      </c>
      <c r="E244" t="s">
        <v>31</v>
      </c>
      <c r="F244" t="s">
        <v>18</v>
      </c>
      <c r="G244" t="s">
        <v>19</v>
      </c>
      <c r="H244" t="s">
        <v>25</v>
      </c>
      <c r="I244" t="s">
        <v>61</v>
      </c>
      <c r="J244" t="str">
        <f>IFERROR(VLOOKUP(I244,[1]AUTOS!$C:$G,2,0),"")</f>
        <v>KIA RIO</v>
      </c>
      <c r="K244">
        <f>IFERROR(VLOOKUP(I244,[1]AUTOS!$C:$G,3,0),"")</f>
        <v>2017</v>
      </c>
      <c r="L244" t="str">
        <f>IFERROR(VLOOKUP(I244,[1]AUTOS!$C:$G,4,0),"")</f>
        <v>ROJO</v>
      </c>
      <c r="M244" t="s">
        <v>35</v>
      </c>
      <c r="P244" s="3">
        <v>-30</v>
      </c>
    </row>
    <row r="245" spans="1:16" hidden="1" x14ac:dyDescent="0.3">
      <c r="A245">
        <v>10</v>
      </c>
      <c r="B245" t="str">
        <f>VLOOKUP($A245,[1]LISTA!$B:$C,2,0)</f>
        <v>MARZO</v>
      </c>
      <c r="C245" s="1">
        <v>2025</v>
      </c>
      <c r="D245" s="1" t="str">
        <f>IF($A245&lt;=[1]RESULTADOS!$D$6,"YTD","YTG")</f>
        <v>YTD</v>
      </c>
      <c r="E245" t="s">
        <v>31</v>
      </c>
      <c r="F245" t="s">
        <v>18</v>
      </c>
      <c r="G245" t="s">
        <v>19</v>
      </c>
      <c r="H245" t="s">
        <v>25</v>
      </c>
      <c r="I245" t="s">
        <v>59</v>
      </c>
      <c r="J245" t="str">
        <f>IFERROR(VLOOKUP(I245,[1]AUTOS!$C:$G,2,0),"")</f>
        <v>AVEO</v>
      </c>
      <c r="K245">
        <f>IFERROR(VLOOKUP(I245,[1]AUTOS!$C:$G,3,0),"")</f>
        <v>2019</v>
      </c>
      <c r="L245" t="str">
        <f>IFERROR(VLOOKUP(I245,[1]AUTOS!$C:$G,4,0),"")</f>
        <v>BLANCO</v>
      </c>
      <c r="M245" t="s">
        <v>43</v>
      </c>
      <c r="P245" s="3">
        <v>-30</v>
      </c>
    </row>
    <row r="246" spans="1:16" hidden="1" x14ac:dyDescent="0.3">
      <c r="A246">
        <v>10</v>
      </c>
      <c r="B246" t="str">
        <f>VLOOKUP($A246,[1]LISTA!$B:$C,2,0)</f>
        <v>MARZO</v>
      </c>
      <c r="C246" s="1">
        <v>2025</v>
      </c>
      <c r="D246" s="1" t="str">
        <f>IF($A246&lt;=[1]RESULTADOS!$D$6,"YTD","YTG")</f>
        <v>YTD</v>
      </c>
      <c r="E246" t="s">
        <v>31</v>
      </c>
      <c r="F246" t="s">
        <v>18</v>
      </c>
      <c r="G246" t="s">
        <v>19</v>
      </c>
      <c r="H246" t="s">
        <v>25</v>
      </c>
      <c r="I246" t="s">
        <v>46</v>
      </c>
      <c r="J246" t="str">
        <f>IFERROR(VLOOKUP(I246,[1]AUTOS!$C:$G,2,0),"")</f>
        <v>MARCH</v>
      </c>
      <c r="K246">
        <f>IFERROR(VLOOKUP(I246,[1]AUTOS!$C:$G,3,0),"")</f>
        <v>2020</v>
      </c>
      <c r="L246" t="str">
        <f>IFERROR(VLOOKUP(I246,[1]AUTOS!$C:$G,4,0),"")</f>
        <v>TURQ</v>
      </c>
      <c r="M246" t="s">
        <v>43</v>
      </c>
      <c r="P246" s="3">
        <v>-30</v>
      </c>
    </row>
    <row r="247" spans="1:16" hidden="1" x14ac:dyDescent="0.3">
      <c r="A247">
        <v>10</v>
      </c>
      <c r="B247" t="str">
        <f>VLOOKUP($A247,[1]LISTA!$B:$C,2,0)</f>
        <v>MARZO</v>
      </c>
      <c r="C247" s="1">
        <v>2025</v>
      </c>
      <c r="D247" s="1" t="str">
        <f>IF($A247&lt;=[1]RESULTADOS!$D$6,"YTD","YTG")</f>
        <v>YTD</v>
      </c>
      <c r="E247" t="s">
        <v>31</v>
      </c>
      <c r="F247" t="s">
        <v>18</v>
      </c>
      <c r="G247" t="s">
        <v>19</v>
      </c>
      <c r="H247" t="s">
        <v>25</v>
      </c>
      <c r="I247" t="s">
        <v>79</v>
      </c>
      <c r="J247" t="str">
        <f>IFERROR(VLOOKUP(I247,[1]AUTOS!$C:$G,2,0),"")</f>
        <v>AVEO</v>
      </c>
      <c r="K247">
        <f>IFERROR(VLOOKUP(I247,[1]AUTOS!$C:$G,3,0),"")</f>
        <v>2021</v>
      </c>
      <c r="L247" t="str">
        <f>IFERROR(VLOOKUP(I247,[1]AUTOS!$C:$G,4,0),"")</f>
        <v>OCRE</v>
      </c>
      <c r="M247" t="s">
        <v>43</v>
      </c>
      <c r="P247" s="3">
        <v>-30</v>
      </c>
    </row>
    <row r="248" spans="1:16" hidden="1" x14ac:dyDescent="0.3">
      <c r="A248">
        <v>15</v>
      </c>
      <c r="B248" t="str">
        <f>VLOOKUP($A248,[1]LISTA!$B:$C,2,0)</f>
        <v>ABRIL</v>
      </c>
      <c r="C248" s="1">
        <v>2025</v>
      </c>
      <c r="D248" s="1" t="str">
        <f>IF($A248&lt;=[1]RESULTADOS!$D$6,"YTD","YTG")</f>
        <v>YTD</v>
      </c>
      <c r="E248" t="s">
        <v>31</v>
      </c>
      <c r="F248" t="s">
        <v>18</v>
      </c>
      <c r="G248" t="s">
        <v>57</v>
      </c>
      <c r="H248" t="s">
        <v>204</v>
      </c>
      <c r="I248" t="s">
        <v>144</v>
      </c>
      <c r="J248" t="str">
        <f>IFERROR(VLOOKUP(I248,[1]AUTOS!$C:$G,2,0),"")</f>
        <v>VERSA</v>
      </c>
      <c r="K248">
        <f>IFERROR(VLOOKUP(I248,[1]AUTOS!$C:$G,3,0),"")</f>
        <v>2020</v>
      </c>
      <c r="L248" t="str">
        <f>IFERROR(VLOOKUP(I248,[1]AUTOS!$C:$G,4,0),"")</f>
        <v>ROJO</v>
      </c>
      <c r="M248" t="s">
        <v>43</v>
      </c>
      <c r="P248" s="3">
        <v>-460</v>
      </c>
    </row>
    <row r="249" spans="1:16" hidden="1" x14ac:dyDescent="0.3">
      <c r="A249">
        <v>14</v>
      </c>
      <c r="B249" t="str">
        <f>VLOOKUP($A249,[1]LISTA!$B:$C,2,0)</f>
        <v>ABRIL</v>
      </c>
      <c r="C249" s="1">
        <v>2025</v>
      </c>
      <c r="D249" s="1" t="str">
        <f>IF($A249&lt;=[1]RESULTADOS!$D$6,"YTD","YTG")</f>
        <v>YTD</v>
      </c>
      <c r="E249" t="s">
        <v>17</v>
      </c>
      <c r="F249" t="s">
        <v>18</v>
      </c>
      <c r="G249" t="s">
        <v>23</v>
      </c>
      <c r="H249" t="s">
        <v>205</v>
      </c>
      <c r="I249" t="s">
        <v>21</v>
      </c>
      <c r="J249" t="str">
        <f>IFERROR(VLOOKUP(I249,[1]AUTOS!$C:$G,2,0),"")</f>
        <v/>
      </c>
      <c r="K249" t="str">
        <f>IFERROR(VLOOKUP(I249,[1]AUTOS!$C:$G,3,0),"")</f>
        <v/>
      </c>
      <c r="L249" t="str">
        <f>IFERROR(VLOOKUP(I249,[1]AUTOS!$C:$G,4,0),"")</f>
        <v/>
      </c>
      <c r="M249" t="s">
        <v>22</v>
      </c>
      <c r="P249" s="3">
        <v>-200</v>
      </c>
    </row>
    <row r="250" spans="1:16" hidden="1" x14ac:dyDescent="0.3">
      <c r="A250">
        <v>15</v>
      </c>
      <c r="B250" t="str">
        <f>VLOOKUP($A250,[1]LISTA!$B:$C,2,0)</f>
        <v>ABRIL</v>
      </c>
      <c r="C250" s="1">
        <v>2025</v>
      </c>
      <c r="D250" s="1" t="str">
        <f>IF($A250&lt;=[1]RESULTADOS!$D$6,"YTD","YTG")</f>
        <v>YTD</v>
      </c>
      <c r="E250" t="s">
        <v>17</v>
      </c>
      <c r="F250" t="s">
        <v>18</v>
      </c>
      <c r="G250" t="s">
        <v>57</v>
      </c>
      <c r="H250" t="s">
        <v>206</v>
      </c>
      <c r="I250" t="s">
        <v>21</v>
      </c>
      <c r="J250" t="str">
        <f>IFERROR(VLOOKUP(I250,[1]AUTOS!$C:$G,2,0),"")</f>
        <v/>
      </c>
      <c r="K250" t="str">
        <f>IFERROR(VLOOKUP(I250,[1]AUTOS!$C:$G,3,0),"")</f>
        <v/>
      </c>
      <c r="L250" t="str">
        <f>IFERROR(VLOOKUP(I250,[1]AUTOS!$C:$G,4,0),"")</f>
        <v/>
      </c>
      <c r="M250" t="s">
        <v>22</v>
      </c>
      <c r="P250" s="3">
        <v>-179</v>
      </c>
    </row>
    <row r="251" spans="1:16" hidden="1" x14ac:dyDescent="0.3">
      <c r="A251">
        <v>15</v>
      </c>
      <c r="B251" t="str">
        <f>VLOOKUP($A251,[1]LISTA!$B:$C,2,0)</f>
        <v>ABRIL</v>
      </c>
      <c r="C251" s="1">
        <v>2025</v>
      </c>
      <c r="D251" s="1" t="str">
        <f>IF($A251&lt;=[1]RESULTADOS!$D$6,"YTD","YTG")</f>
        <v>YTD</v>
      </c>
      <c r="E251" t="s">
        <v>17</v>
      </c>
      <c r="F251" t="s">
        <v>18</v>
      </c>
      <c r="G251" t="s">
        <v>57</v>
      </c>
      <c r="H251" t="s">
        <v>206</v>
      </c>
      <c r="I251" t="s">
        <v>21</v>
      </c>
      <c r="J251" t="str">
        <f>IFERROR(VLOOKUP(I251,[1]AUTOS!$C:$G,2,0),"")</f>
        <v/>
      </c>
      <c r="K251" t="str">
        <f>IFERROR(VLOOKUP(I251,[1]AUTOS!$C:$G,3,0),"")</f>
        <v/>
      </c>
      <c r="L251" t="str">
        <f>IFERROR(VLOOKUP(I251,[1]AUTOS!$C:$G,4,0),"")</f>
        <v/>
      </c>
      <c r="M251" t="s">
        <v>22</v>
      </c>
      <c r="P251" s="3">
        <v>-140</v>
      </c>
    </row>
    <row r="252" spans="1:16" hidden="1" x14ac:dyDescent="0.3">
      <c r="A252">
        <v>15</v>
      </c>
      <c r="B252" t="str">
        <f>VLOOKUP($A252,[1]LISTA!$B:$C,2,0)</f>
        <v>ABRIL</v>
      </c>
      <c r="C252" s="1">
        <v>2025</v>
      </c>
      <c r="D252" s="1" t="str">
        <f>IF($A252&lt;=[1]RESULTADOS!$D$6,"YTD","YTG")</f>
        <v>YTD</v>
      </c>
      <c r="E252" t="s">
        <v>31</v>
      </c>
      <c r="F252" t="s">
        <v>18</v>
      </c>
      <c r="G252" t="s">
        <v>57</v>
      </c>
      <c r="H252" t="s">
        <v>207</v>
      </c>
      <c r="I252" t="s">
        <v>131</v>
      </c>
      <c r="J252" t="str">
        <f>IFERROR(VLOOKUP(I252,[1]AUTOS!$C:$G,2,0),"")</f>
        <v>AVEO</v>
      </c>
      <c r="K252">
        <f>IFERROR(VLOOKUP(I252,[1]AUTOS!$C:$G,3,0),"")</f>
        <v>2024</v>
      </c>
      <c r="L252" t="str">
        <f>IFERROR(VLOOKUP(I252,[1]AUTOS!$C:$G,4,0),"")</f>
        <v>GRIS</v>
      </c>
      <c r="M252" t="s">
        <v>43</v>
      </c>
      <c r="P252" s="3">
        <v>-2500</v>
      </c>
    </row>
    <row r="253" spans="1:16" hidden="1" x14ac:dyDescent="0.3">
      <c r="A253">
        <v>15</v>
      </c>
      <c r="B253" t="str">
        <f>VLOOKUP($A253,[1]LISTA!$B:$C,2,0)</f>
        <v>ABRIL</v>
      </c>
      <c r="C253" s="1">
        <v>2025</v>
      </c>
      <c r="D253" s="1" t="str">
        <f>IF($A253&lt;=[1]RESULTADOS!$D$6,"YTD","YTG")</f>
        <v>YTD</v>
      </c>
      <c r="E253" t="s">
        <v>31</v>
      </c>
      <c r="F253" t="s">
        <v>18</v>
      </c>
      <c r="G253" t="s">
        <v>57</v>
      </c>
      <c r="H253" t="s">
        <v>208</v>
      </c>
      <c r="I253" t="s">
        <v>131</v>
      </c>
      <c r="J253" t="str">
        <f>IFERROR(VLOOKUP(I253,[1]AUTOS!$C:$G,2,0),"")</f>
        <v>AVEO</v>
      </c>
      <c r="K253">
        <f>IFERROR(VLOOKUP(I253,[1]AUTOS!$C:$G,3,0),"")</f>
        <v>2024</v>
      </c>
      <c r="L253" t="str">
        <f>IFERROR(VLOOKUP(I253,[1]AUTOS!$C:$G,4,0),"")</f>
        <v>GRIS</v>
      </c>
      <c r="M253" t="s">
        <v>43</v>
      </c>
      <c r="P253" s="3">
        <v>-700</v>
      </c>
    </row>
    <row r="254" spans="1:16" hidden="1" x14ac:dyDescent="0.3">
      <c r="A254">
        <v>15</v>
      </c>
      <c r="B254" t="str">
        <f>VLOOKUP($A254,[1]LISTA!$B:$C,2,0)</f>
        <v>ABRIL</v>
      </c>
      <c r="C254" s="1">
        <v>2025</v>
      </c>
      <c r="D254" s="1" t="str">
        <f>IF($A254&lt;=[1]RESULTADOS!$D$6,"YTD","YTG")</f>
        <v>YTD</v>
      </c>
      <c r="E254" t="s">
        <v>31</v>
      </c>
      <c r="F254" t="s">
        <v>18</v>
      </c>
      <c r="G254" t="s">
        <v>57</v>
      </c>
      <c r="H254" t="s">
        <v>209</v>
      </c>
      <c r="I254" t="s">
        <v>34</v>
      </c>
      <c r="J254" t="str">
        <f>IFERROR(VLOOKUP(I254,[1]AUTOS!$C:$G,2,0),"")</f>
        <v>AVEO</v>
      </c>
      <c r="K254">
        <f>IFERROR(VLOOKUP(I254,[1]AUTOS!$C:$G,3,0),"")</f>
        <v>2018</v>
      </c>
      <c r="L254" t="str">
        <f>IFERROR(VLOOKUP(I254,[1]AUTOS!$C:$G,4,0),"")</f>
        <v>ROJO</v>
      </c>
      <c r="M254" t="s">
        <v>35</v>
      </c>
      <c r="P254" s="3">
        <v>-2000</v>
      </c>
    </row>
    <row r="255" spans="1:16" hidden="1" x14ac:dyDescent="0.3">
      <c r="A255">
        <v>15</v>
      </c>
      <c r="B255" t="str">
        <f>VLOOKUP($A255,[1]LISTA!$B:$C,2,0)</f>
        <v>ABRIL</v>
      </c>
      <c r="C255" s="1">
        <v>2025</v>
      </c>
      <c r="D255" s="1" t="str">
        <f>IF($A255&lt;=[1]RESULTADOS!$D$6,"YTD","YTG")</f>
        <v>YTD</v>
      </c>
      <c r="E255" t="s">
        <v>17</v>
      </c>
      <c r="F255" t="s">
        <v>18</v>
      </c>
      <c r="G255" t="s">
        <v>29</v>
      </c>
      <c r="H255" t="s">
        <v>113</v>
      </c>
      <c r="I255" t="s">
        <v>21</v>
      </c>
      <c r="J255" t="str">
        <f>IFERROR(VLOOKUP(I255,[1]AUTOS!$C:$G,2,0),"")</f>
        <v/>
      </c>
      <c r="K255" t="str">
        <f>IFERROR(VLOOKUP(I255,[1]AUTOS!$C:$G,3,0),"")</f>
        <v/>
      </c>
      <c r="L255" t="str">
        <f>IFERROR(VLOOKUP(I255,[1]AUTOS!$C:$G,4,0),"")</f>
        <v/>
      </c>
      <c r="M255" t="s">
        <v>22</v>
      </c>
      <c r="P255" s="3">
        <v>-100</v>
      </c>
    </row>
    <row r="256" spans="1:16" hidden="1" x14ac:dyDescent="0.3">
      <c r="A256">
        <v>15</v>
      </c>
      <c r="B256" t="str">
        <f>VLOOKUP($A256,[1]LISTA!$B:$C,2,0)</f>
        <v>ABRIL</v>
      </c>
      <c r="C256" s="1">
        <v>2025</v>
      </c>
      <c r="D256" s="1" t="str">
        <f>IF($A256&lt;=[1]RESULTADOS!$D$6,"YTD","YTG")</f>
        <v>YTD</v>
      </c>
      <c r="E256" t="s">
        <v>31</v>
      </c>
      <c r="F256" t="s">
        <v>18</v>
      </c>
      <c r="G256" t="s">
        <v>19</v>
      </c>
      <c r="H256" t="s">
        <v>25</v>
      </c>
      <c r="I256" t="s">
        <v>82</v>
      </c>
      <c r="J256" t="str">
        <f>IFERROR(VLOOKUP(I256,[1]AUTOS!$C:$G,2,0),"")</f>
        <v>AVEO</v>
      </c>
      <c r="K256">
        <f>IFERROR(VLOOKUP(I256,[1]AUTOS!$C:$G,3,0),"")</f>
        <v>2019</v>
      </c>
      <c r="L256" t="str">
        <f>IFERROR(VLOOKUP(I256,[1]AUTOS!$C:$G,4,0),"")</f>
        <v>PLATA</v>
      </c>
      <c r="M256" t="s">
        <v>43</v>
      </c>
      <c r="P256" s="3">
        <v>-20</v>
      </c>
    </row>
    <row r="257" spans="1:16" hidden="1" x14ac:dyDescent="0.3">
      <c r="A257">
        <v>15</v>
      </c>
      <c r="B257" t="str">
        <f>VLOOKUP($A257,[1]LISTA!$B:$C,2,0)</f>
        <v>ABRIL</v>
      </c>
      <c r="C257" s="1">
        <v>2025</v>
      </c>
      <c r="D257" s="1" t="str">
        <f>IF($A257&lt;=[1]RESULTADOS!$D$6,"YTD","YTG")</f>
        <v>YTD</v>
      </c>
      <c r="E257" t="s">
        <v>31</v>
      </c>
      <c r="F257" t="s">
        <v>18</v>
      </c>
      <c r="G257" t="s">
        <v>57</v>
      </c>
      <c r="H257" t="s">
        <v>210</v>
      </c>
      <c r="I257" t="s">
        <v>131</v>
      </c>
      <c r="J257" t="str">
        <f>IFERROR(VLOOKUP(I257,[1]AUTOS!$C:$G,2,0),"")</f>
        <v>AVEO</v>
      </c>
      <c r="K257">
        <f>IFERROR(VLOOKUP(I257,[1]AUTOS!$C:$G,3,0),"")</f>
        <v>2024</v>
      </c>
      <c r="L257" t="str">
        <f>IFERROR(VLOOKUP(I257,[1]AUTOS!$C:$G,4,0),"")</f>
        <v>GRIS</v>
      </c>
      <c r="M257" t="s">
        <v>43</v>
      </c>
      <c r="P257" s="3">
        <v>-17.5</v>
      </c>
    </row>
    <row r="258" spans="1:16" hidden="1" x14ac:dyDescent="0.3">
      <c r="A258">
        <v>15</v>
      </c>
      <c r="B258" t="str">
        <f>VLOOKUP($A258,[1]LISTA!$B:$C,2,0)</f>
        <v>ABRIL</v>
      </c>
      <c r="C258" s="1">
        <v>2025</v>
      </c>
      <c r="D258" s="1" t="str">
        <f>IF($A258&lt;=[1]RESULTADOS!$D$6,"YTD","YTG")</f>
        <v>YTD</v>
      </c>
      <c r="E258" t="s">
        <v>31</v>
      </c>
      <c r="F258" t="s">
        <v>18</v>
      </c>
      <c r="G258" t="s">
        <v>57</v>
      </c>
      <c r="H258" t="s">
        <v>211</v>
      </c>
      <c r="I258" t="s">
        <v>131</v>
      </c>
      <c r="J258" t="str">
        <f>IFERROR(VLOOKUP(I258,[1]AUTOS!$C:$G,2,0),"")</f>
        <v>AVEO</v>
      </c>
      <c r="K258">
        <f>IFERROR(VLOOKUP(I258,[1]AUTOS!$C:$G,3,0),"")</f>
        <v>2024</v>
      </c>
      <c r="L258" t="str">
        <f>IFERROR(VLOOKUP(I258,[1]AUTOS!$C:$G,4,0),"")</f>
        <v>GRIS</v>
      </c>
      <c r="M258" t="s">
        <v>43</v>
      </c>
      <c r="P258" s="3">
        <v>-32.5</v>
      </c>
    </row>
    <row r="259" spans="1:16" hidden="1" x14ac:dyDescent="0.3">
      <c r="A259">
        <v>15</v>
      </c>
      <c r="B259" t="str">
        <f>VLOOKUP($A259,[1]LISTA!$B:$C,2,0)</f>
        <v>ABRIL</v>
      </c>
      <c r="C259" s="1">
        <v>2025</v>
      </c>
      <c r="D259" s="1" t="str">
        <f>IF($A259&lt;=[1]RESULTADOS!$D$6,"YTD","YTG")</f>
        <v>YTD</v>
      </c>
      <c r="E259" t="s">
        <v>17</v>
      </c>
      <c r="F259" t="s">
        <v>18</v>
      </c>
      <c r="G259" t="s">
        <v>57</v>
      </c>
      <c r="H259" t="s">
        <v>212</v>
      </c>
      <c r="I259" t="s">
        <v>21</v>
      </c>
      <c r="J259" t="str">
        <f>IFERROR(VLOOKUP(I259,[1]AUTOS!$C:$G,2,0),"")</f>
        <v/>
      </c>
      <c r="K259" t="str">
        <f>IFERROR(VLOOKUP(I259,[1]AUTOS!$C:$G,3,0),"")</f>
        <v/>
      </c>
      <c r="L259" t="str">
        <f>IFERROR(VLOOKUP(I259,[1]AUTOS!$C:$G,4,0),"")</f>
        <v/>
      </c>
      <c r="M259" t="s">
        <v>22</v>
      </c>
      <c r="P259" s="3">
        <v>-549</v>
      </c>
    </row>
    <row r="260" spans="1:16" hidden="1" x14ac:dyDescent="0.3">
      <c r="A260">
        <v>15</v>
      </c>
      <c r="B260" t="str">
        <f>VLOOKUP($A260,[1]LISTA!$B:$C,2,0)</f>
        <v>ABRIL</v>
      </c>
      <c r="C260" s="1">
        <v>2025</v>
      </c>
      <c r="D260" s="1" t="str">
        <f>IF($A260&lt;=[1]RESULTADOS!$D$6,"YTD","YTG")</f>
        <v>YTD</v>
      </c>
      <c r="E260" t="s">
        <v>31</v>
      </c>
      <c r="F260" t="s">
        <v>18</v>
      </c>
      <c r="G260" t="s">
        <v>19</v>
      </c>
      <c r="H260" t="s">
        <v>25</v>
      </c>
      <c r="I260" t="s">
        <v>82</v>
      </c>
      <c r="J260" t="str">
        <f>IFERROR(VLOOKUP(I260,[1]AUTOS!$C:$G,2,0),"")</f>
        <v>AVEO</v>
      </c>
      <c r="K260">
        <f>IFERROR(VLOOKUP(I260,[1]AUTOS!$C:$G,3,0),"")</f>
        <v>2019</v>
      </c>
      <c r="L260" t="str">
        <f>IFERROR(VLOOKUP(I260,[1]AUTOS!$C:$G,4,0),"")</f>
        <v>PLATA</v>
      </c>
      <c r="M260" t="s">
        <v>43</v>
      </c>
      <c r="P260" s="3">
        <v>-20</v>
      </c>
    </row>
    <row r="261" spans="1:16" hidden="1" x14ac:dyDescent="0.3">
      <c r="A261">
        <v>15</v>
      </c>
      <c r="B261" t="str">
        <f>VLOOKUP($A261,[1]LISTA!$B:$C,2,0)</f>
        <v>ABRIL</v>
      </c>
      <c r="C261" s="1">
        <v>2025</v>
      </c>
      <c r="D261" s="1" t="str">
        <f>IF($A261&lt;=[1]RESULTADOS!$D$6,"YTD","YTG")</f>
        <v>YTD</v>
      </c>
      <c r="E261" t="s">
        <v>31</v>
      </c>
      <c r="F261" t="s">
        <v>18</v>
      </c>
      <c r="G261" t="s">
        <v>19</v>
      </c>
      <c r="H261" t="s">
        <v>213</v>
      </c>
      <c r="I261" t="s">
        <v>214</v>
      </c>
      <c r="J261" t="str">
        <f>IFERROR(VLOOKUP(I261,[1]AUTOS!$C:$G,2,0),"")</f>
        <v>VENTO</v>
      </c>
      <c r="K261">
        <f>IFERROR(VLOOKUP(I261,[1]AUTOS!$C:$G,3,0),"")</f>
        <v>2019</v>
      </c>
      <c r="L261" t="str">
        <f>IFERROR(VLOOKUP(I261,[1]AUTOS!$C:$G,4,0),"")</f>
        <v>BLANCO</v>
      </c>
      <c r="M261" t="s">
        <v>215</v>
      </c>
      <c r="P261" s="3">
        <v>-76</v>
      </c>
    </row>
    <row r="262" spans="1:16" hidden="1" x14ac:dyDescent="0.3">
      <c r="A262">
        <v>15</v>
      </c>
      <c r="B262" t="str">
        <f>VLOOKUP($A262,[1]LISTA!$B:$C,2,0)</f>
        <v>ABRIL</v>
      </c>
      <c r="C262" s="1">
        <v>2025</v>
      </c>
      <c r="D262" s="1" t="str">
        <f>IF($A262&lt;=[1]RESULTADOS!$D$6,"YTD","YTG")</f>
        <v>YTD</v>
      </c>
      <c r="E262" t="s">
        <v>31</v>
      </c>
      <c r="F262" t="s">
        <v>18</v>
      </c>
      <c r="G262" t="s">
        <v>80</v>
      </c>
      <c r="H262" t="s">
        <v>80</v>
      </c>
      <c r="I262" t="s">
        <v>182</v>
      </c>
      <c r="J262" t="str">
        <f>IFERROR(VLOOKUP(I262,[1]AUTOS!$C:$G,2,0),"")</f>
        <v>AVEO</v>
      </c>
      <c r="K262">
        <f>IFERROR(VLOOKUP(I262,[1]AUTOS!$C:$G,3,0),"")</f>
        <v>2020</v>
      </c>
      <c r="L262" t="str">
        <f>IFERROR(VLOOKUP(I262,[1]AUTOS!$C:$G,4,0),"")</f>
        <v>AZUL</v>
      </c>
      <c r="M262" t="s">
        <v>43</v>
      </c>
      <c r="P262" s="3">
        <v>-3670</v>
      </c>
    </row>
    <row r="263" spans="1:16" hidden="1" x14ac:dyDescent="0.3">
      <c r="A263">
        <v>13</v>
      </c>
      <c r="B263" t="str">
        <f>VLOOKUP($A263,[1]LISTA!$B:$C,2,0)</f>
        <v>MARZO</v>
      </c>
      <c r="C263" s="1">
        <v>2025</v>
      </c>
      <c r="D263" s="1" t="str">
        <f>IF($A263&lt;=[1]RESULTADOS!$D$6,"YTD","YTG")</f>
        <v>YTD</v>
      </c>
      <c r="E263" t="s">
        <v>31</v>
      </c>
      <c r="F263" t="s">
        <v>18</v>
      </c>
      <c r="G263" t="s">
        <v>77</v>
      </c>
      <c r="H263" t="s">
        <v>216</v>
      </c>
      <c r="I263" t="s">
        <v>182</v>
      </c>
      <c r="J263" t="str">
        <f>IFERROR(VLOOKUP(I263,[1]AUTOS!$C:$G,2,0),"")</f>
        <v>AVEO</v>
      </c>
      <c r="K263">
        <f>IFERROR(VLOOKUP(I263,[1]AUTOS!$C:$G,3,0),"")</f>
        <v>2020</v>
      </c>
      <c r="L263" t="str">
        <f>IFERROR(VLOOKUP(I263,[1]AUTOS!$C:$G,4,0),"")</f>
        <v>AZUL</v>
      </c>
      <c r="M263" t="s">
        <v>43</v>
      </c>
      <c r="P263" s="3">
        <v>-417</v>
      </c>
    </row>
    <row r="264" spans="1:16" hidden="1" x14ac:dyDescent="0.3">
      <c r="A264">
        <v>15</v>
      </c>
      <c r="B264" t="str">
        <f>VLOOKUP($A264,[1]LISTA!$B:$C,2,0)</f>
        <v>ABRIL</v>
      </c>
      <c r="C264" s="1">
        <v>2025</v>
      </c>
      <c r="D264" s="1" t="str">
        <f>IF($A264&lt;=[1]RESULTADOS!$D$6,"YTD","YTG")</f>
        <v>YTD</v>
      </c>
      <c r="E264" t="s">
        <v>31</v>
      </c>
      <c r="F264" t="s">
        <v>18</v>
      </c>
      <c r="G264" t="s">
        <v>142</v>
      </c>
      <c r="H264" t="s">
        <v>217</v>
      </c>
      <c r="I264" t="s">
        <v>73</v>
      </c>
      <c r="J264" t="str">
        <f>IFERROR(VLOOKUP(I264,[1]AUTOS!$C:$G,2,0),"")</f>
        <v>VERSA</v>
      </c>
      <c r="K264">
        <f>IFERROR(VLOOKUP(I264,[1]AUTOS!$C:$G,3,0),"")</f>
        <v>2023</v>
      </c>
      <c r="L264" t="str">
        <f>IFERROR(VLOOKUP(I264,[1]AUTOS!$C:$G,4,0),"")</f>
        <v>PLATA</v>
      </c>
      <c r="M264" t="s">
        <v>43</v>
      </c>
      <c r="P264" s="3">
        <v>-4000</v>
      </c>
    </row>
    <row r="265" spans="1:16" hidden="1" x14ac:dyDescent="0.3">
      <c r="A265">
        <v>15</v>
      </c>
      <c r="B265" t="str">
        <f>VLOOKUP($A265,[1]LISTA!$B:$C,2,0)</f>
        <v>ABRIL</v>
      </c>
      <c r="C265" s="1">
        <v>2025</v>
      </c>
      <c r="D265" s="1" t="str">
        <f>IF($A265&lt;=[1]RESULTADOS!$D$6,"YTD","YTG")</f>
        <v>YTD</v>
      </c>
      <c r="E265" t="s">
        <v>31</v>
      </c>
      <c r="F265" t="s">
        <v>18</v>
      </c>
      <c r="G265" t="s">
        <v>115</v>
      </c>
      <c r="H265" t="s">
        <v>115</v>
      </c>
      <c r="I265" t="s">
        <v>131</v>
      </c>
      <c r="J265" t="str">
        <f>IFERROR(VLOOKUP(I265,[1]AUTOS!$C:$G,2,0),"")</f>
        <v>AVEO</v>
      </c>
      <c r="K265">
        <f>IFERROR(VLOOKUP(I265,[1]AUTOS!$C:$G,3,0),"")</f>
        <v>2024</v>
      </c>
      <c r="L265" t="str">
        <f>IFERROR(VLOOKUP(I265,[1]AUTOS!$C:$G,4,0),"")</f>
        <v>GRIS</v>
      </c>
      <c r="M265" t="s">
        <v>43</v>
      </c>
      <c r="P265" s="3">
        <v>-6082</v>
      </c>
    </row>
    <row r="266" spans="1:16" hidden="1" x14ac:dyDescent="0.3">
      <c r="A266">
        <v>16</v>
      </c>
      <c r="B266" t="str">
        <f>VLOOKUP($A266,[1]LISTA!$B:$C,2,0)</f>
        <v>ABRIL</v>
      </c>
      <c r="C266" s="1">
        <v>2025</v>
      </c>
      <c r="D266" s="1" t="str">
        <f>IF($A266&lt;=[1]RESULTADOS!$D$6,"YTD","YTG")</f>
        <v>YTD</v>
      </c>
      <c r="E266" t="s">
        <v>31</v>
      </c>
      <c r="F266" t="s">
        <v>18</v>
      </c>
      <c r="G266" t="s">
        <v>115</v>
      </c>
      <c r="H266" t="s">
        <v>218</v>
      </c>
      <c r="I266" t="s">
        <v>131</v>
      </c>
      <c r="J266" t="str">
        <f>IFERROR(VLOOKUP(I266,[1]AUTOS!$C:$G,2,0),"")</f>
        <v>AVEO</v>
      </c>
      <c r="K266">
        <f>IFERROR(VLOOKUP(I266,[1]AUTOS!$C:$G,3,0),"")</f>
        <v>2024</v>
      </c>
      <c r="L266" t="str">
        <f>IFERROR(VLOOKUP(I266,[1]AUTOS!$C:$G,4,0),"")</f>
        <v>GRIS</v>
      </c>
      <c r="M266" t="s">
        <v>43</v>
      </c>
      <c r="P266" s="3">
        <v>-1300</v>
      </c>
    </row>
    <row r="267" spans="1:16" x14ac:dyDescent="0.3">
      <c r="A267">
        <v>15</v>
      </c>
      <c r="B267" t="str">
        <f>VLOOKUP($A267,[1]LISTA!$B:$C,2,0)</f>
        <v>ABRIL</v>
      </c>
      <c r="C267" s="1">
        <v>2025</v>
      </c>
      <c r="D267" s="1" t="str">
        <f>IF($A267&lt;=[1]RESULTADOS!$D$6,"YTD","YTG")</f>
        <v>YTD</v>
      </c>
      <c r="E267" t="s">
        <v>31</v>
      </c>
      <c r="F267" t="s">
        <v>18</v>
      </c>
      <c r="G267" t="s">
        <v>19</v>
      </c>
      <c r="H267" t="s">
        <v>25</v>
      </c>
      <c r="I267" t="s">
        <v>72</v>
      </c>
      <c r="J267" t="str">
        <f>IFERROR(VLOOKUP(I267,[1]AUTOS!$C:$G,2,0),"")</f>
        <v>VENTO</v>
      </c>
      <c r="K267">
        <f>IFERROR(VLOOKUP(I267,[1]AUTOS!$C:$G,3,0),"")</f>
        <v>2020</v>
      </c>
      <c r="L267" t="str">
        <f>IFERROR(VLOOKUP(I267,[1]AUTOS!$C:$G,4,0),"")</f>
        <v>GRIS</v>
      </c>
      <c r="M267" t="s">
        <v>43</v>
      </c>
      <c r="P267" s="3">
        <v>-20</v>
      </c>
    </row>
    <row r="268" spans="1:16" hidden="1" x14ac:dyDescent="0.3">
      <c r="A268">
        <v>16</v>
      </c>
      <c r="B268" t="str">
        <f>VLOOKUP($A268,[1]LISTA!$B:$C,2,0)</f>
        <v>ABRIL</v>
      </c>
      <c r="C268" s="1">
        <v>2025</v>
      </c>
      <c r="D268" s="1" t="str">
        <f>IF($A268&lt;=[1]RESULTADOS!$D$6,"YTD","YTG")</f>
        <v>YTD</v>
      </c>
      <c r="E268" t="s">
        <v>17</v>
      </c>
      <c r="F268" t="s">
        <v>18</v>
      </c>
      <c r="G268" t="s">
        <v>19</v>
      </c>
      <c r="H268" t="s">
        <v>187</v>
      </c>
      <c r="I268" t="s">
        <v>21</v>
      </c>
      <c r="J268" t="str">
        <f>IFERROR(VLOOKUP(I268,[1]AUTOS!$C:$G,2,0),"")</f>
        <v/>
      </c>
      <c r="K268" t="str">
        <f>IFERROR(VLOOKUP(I268,[1]AUTOS!$C:$G,3,0),"")</f>
        <v/>
      </c>
      <c r="L268" t="str">
        <f>IFERROR(VLOOKUP(I268,[1]AUTOS!$C:$G,4,0),"")</f>
        <v/>
      </c>
      <c r="M268" t="s">
        <v>22</v>
      </c>
      <c r="P268" s="3">
        <v>-600</v>
      </c>
    </row>
    <row r="269" spans="1:16" hidden="1" x14ac:dyDescent="0.3">
      <c r="A269">
        <v>16</v>
      </c>
      <c r="B269" t="str">
        <f>VLOOKUP($A269,[1]LISTA!$B:$C,2,0)</f>
        <v>ABRIL</v>
      </c>
      <c r="C269" s="1">
        <v>2025</v>
      </c>
      <c r="D269" s="1" t="str">
        <f>IF($A269&lt;=[1]RESULTADOS!$D$6,"YTD","YTG")</f>
        <v>YTD</v>
      </c>
      <c r="E269" t="s">
        <v>17</v>
      </c>
      <c r="F269" t="s">
        <v>18</v>
      </c>
      <c r="G269" t="s">
        <v>29</v>
      </c>
      <c r="H269" t="s">
        <v>188</v>
      </c>
      <c r="I269" t="s">
        <v>21</v>
      </c>
      <c r="J269" t="str">
        <f>IFERROR(VLOOKUP(I269,[1]AUTOS!$C:$G,2,0),"")</f>
        <v/>
      </c>
      <c r="K269" t="str">
        <f>IFERROR(VLOOKUP(I269,[1]AUTOS!$C:$G,3,0),"")</f>
        <v/>
      </c>
      <c r="L269" t="str">
        <f>IFERROR(VLOOKUP(I269,[1]AUTOS!$C:$G,4,0),"")</f>
        <v/>
      </c>
      <c r="M269" t="s">
        <v>22</v>
      </c>
      <c r="P269" s="3">
        <v>-1000</v>
      </c>
    </row>
    <row r="270" spans="1:16" hidden="1" x14ac:dyDescent="0.3">
      <c r="A270">
        <v>16</v>
      </c>
      <c r="B270" t="str">
        <f>VLOOKUP($A270,[1]LISTA!$B:$C,2,0)</f>
        <v>ABRIL</v>
      </c>
      <c r="C270" s="1">
        <v>2025</v>
      </c>
      <c r="D270" s="1" t="str">
        <f>IF($A270&lt;=[1]RESULTADOS!$D$6,"YTD","YTG")</f>
        <v>YTD</v>
      </c>
      <c r="E270" t="s">
        <v>31</v>
      </c>
      <c r="F270" t="s">
        <v>18</v>
      </c>
      <c r="G270" t="s">
        <v>57</v>
      </c>
      <c r="H270" t="s">
        <v>219</v>
      </c>
      <c r="I270" t="s">
        <v>73</v>
      </c>
      <c r="J270" t="str">
        <f>IFERROR(VLOOKUP(I270,[1]AUTOS!$C:$G,2,0),"")</f>
        <v>VERSA</v>
      </c>
      <c r="K270">
        <f>IFERROR(VLOOKUP(I270,[1]AUTOS!$C:$G,3,0),"")</f>
        <v>2023</v>
      </c>
      <c r="L270" t="str">
        <f>IFERROR(VLOOKUP(I270,[1]AUTOS!$C:$G,4,0),"")</f>
        <v>PLATA</v>
      </c>
      <c r="M270" t="s">
        <v>43</v>
      </c>
      <c r="P270" s="3">
        <v>-270</v>
      </c>
    </row>
    <row r="271" spans="1:16" hidden="1" x14ac:dyDescent="0.3">
      <c r="A271">
        <v>16</v>
      </c>
      <c r="B271" t="str">
        <f>VLOOKUP($A271,[1]LISTA!$B:$C,2,0)</f>
        <v>ABRIL</v>
      </c>
      <c r="C271" s="1">
        <v>2025</v>
      </c>
      <c r="D271" s="1" t="str">
        <f>IF($A271&lt;=[1]RESULTADOS!$D$6,"YTD","YTG")</f>
        <v>YTD</v>
      </c>
      <c r="E271" t="s">
        <v>31</v>
      </c>
      <c r="F271" t="s">
        <v>18</v>
      </c>
      <c r="G271" t="s">
        <v>57</v>
      </c>
      <c r="H271" t="s">
        <v>220</v>
      </c>
      <c r="I271" t="s">
        <v>73</v>
      </c>
      <c r="J271" t="str">
        <f>IFERROR(VLOOKUP(I271,[1]AUTOS!$C:$G,2,0),"")</f>
        <v>VERSA</v>
      </c>
      <c r="K271">
        <f>IFERROR(VLOOKUP(I271,[1]AUTOS!$C:$G,3,0),"")</f>
        <v>2023</v>
      </c>
      <c r="L271" t="str">
        <f>IFERROR(VLOOKUP(I271,[1]AUTOS!$C:$G,4,0),"")</f>
        <v>PLATA</v>
      </c>
      <c r="M271" t="s">
        <v>43</v>
      </c>
      <c r="P271" s="3">
        <v>-767</v>
      </c>
    </row>
    <row r="272" spans="1:16" hidden="1" x14ac:dyDescent="0.3">
      <c r="A272">
        <v>16</v>
      </c>
      <c r="B272" t="str">
        <f>VLOOKUP($A272,[1]LISTA!$B:$C,2,0)</f>
        <v>ABRIL</v>
      </c>
      <c r="C272" s="1">
        <v>2025</v>
      </c>
      <c r="D272" s="1" t="str">
        <f>IF($A272&lt;=[1]RESULTADOS!$D$6,"YTD","YTG")</f>
        <v>YTD</v>
      </c>
      <c r="E272" t="s">
        <v>17</v>
      </c>
      <c r="F272" t="s">
        <v>18</v>
      </c>
      <c r="G272" t="s">
        <v>147</v>
      </c>
      <c r="H272" t="s">
        <v>221</v>
      </c>
      <c r="I272" t="s">
        <v>21</v>
      </c>
      <c r="J272" t="str">
        <f>IFERROR(VLOOKUP(I272,[1]AUTOS!$C:$G,2,0),"")</f>
        <v/>
      </c>
      <c r="K272" t="str">
        <f>IFERROR(VLOOKUP(I272,[1]AUTOS!$C:$G,3,0),"")</f>
        <v/>
      </c>
      <c r="L272" t="str">
        <f>IFERROR(VLOOKUP(I272,[1]AUTOS!$C:$G,4,0),"")</f>
        <v/>
      </c>
      <c r="M272" t="s">
        <v>22</v>
      </c>
      <c r="P272" s="3">
        <v>-501</v>
      </c>
    </row>
    <row r="273" spans="1:16" hidden="1" x14ac:dyDescent="0.3">
      <c r="A273">
        <v>16</v>
      </c>
      <c r="B273" t="str">
        <f>VLOOKUP($A273,[1]LISTA!$B:$C,2,0)</f>
        <v>ABRIL</v>
      </c>
      <c r="C273" s="1">
        <v>2025</v>
      </c>
      <c r="D273" s="1" t="str">
        <f>IF($A273&lt;=[1]RESULTADOS!$D$6,"YTD","YTG")</f>
        <v>YTD</v>
      </c>
      <c r="E273" t="s">
        <v>31</v>
      </c>
      <c r="F273" t="s">
        <v>18</v>
      </c>
      <c r="G273" t="s">
        <v>41</v>
      </c>
      <c r="H273" t="s">
        <v>41</v>
      </c>
      <c r="I273" t="s">
        <v>131</v>
      </c>
      <c r="J273" t="str">
        <f>IFERROR(VLOOKUP(I273,[1]AUTOS!$C:$G,2,0),"")</f>
        <v>AVEO</v>
      </c>
      <c r="K273">
        <f>IFERROR(VLOOKUP(I273,[1]AUTOS!$C:$G,3,0),"")</f>
        <v>2024</v>
      </c>
      <c r="L273" t="str">
        <f>IFERROR(VLOOKUP(I273,[1]AUTOS!$C:$G,4,0),"")</f>
        <v>GRIS</v>
      </c>
      <c r="M273" t="s">
        <v>43</v>
      </c>
      <c r="P273" s="3">
        <v>-1530</v>
      </c>
    </row>
    <row r="274" spans="1:16" hidden="1" x14ac:dyDescent="0.3">
      <c r="A274">
        <v>16</v>
      </c>
      <c r="B274" t="str">
        <f>VLOOKUP($A274,[1]LISTA!$B:$C,2,0)</f>
        <v>ABRIL</v>
      </c>
      <c r="C274" s="1">
        <v>2025</v>
      </c>
      <c r="D274" s="1" t="str">
        <f>IF($A274&lt;=[1]RESULTADOS!$D$6,"YTD","YTG")</f>
        <v>YTD</v>
      </c>
      <c r="E274" t="s">
        <v>17</v>
      </c>
      <c r="F274" t="s">
        <v>18</v>
      </c>
      <c r="G274" t="s">
        <v>29</v>
      </c>
      <c r="H274" t="s">
        <v>113</v>
      </c>
      <c r="I274" t="s">
        <v>21</v>
      </c>
      <c r="J274" t="str">
        <f>IFERROR(VLOOKUP(I274,[1]AUTOS!$C:$G,2,0),"")</f>
        <v/>
      </c>
      <c r="K274" t="str">
        <f>IFERROR(VLOOKUP(I274,[1]AUTOS!$C:$G,3,0),"")</f>
        <v/>
      </c>
      <c r="L274" t="str">
        <f>IFERROR(VLOOKUP(I274,[1]AUTOS!$C:$G,4,0),"")</f>
        <v/>
      </c>
      <c r="M274" t="s">
        <v>22</v>
      </c>
      <c r="P274" s="3">
        <v>-481</v>
      </c>
    </row>
    <row r="275" spans="1:16" hidden="1" x14ac:dyDescent="0.3">
      <c r="A275">
        <v>17</v>
      </c>
      <c r="B275" t="str">
        <f>VLOOKUP($A275,[1]LISTA!$B:$C,2,0)</f>
        <v>ABRIL</v>
      </c>
      <c r="C275" s="1">
        <v>2025</v>
      </c>
      <c r="D275" s="1" t="str">
        <f>IF($A275&lt;=[1]RESULTADOS!$D$6,"YTD","YTG")</f>
        <v>YTD</v>
      </c>
      <c r="E275" t="s">
        <v>17</v>
      </c>
      <c r="F275" t="s">
        <v>18</v>
      </c>
      <c r="G275" t="s">
        <v>19</v>
      </c>
      <c r="H275" t="s">
        <v>187</v>
      </c>
      <c r="I275" t="s">
        <v>21</v>
      </c>
      <c r="J275" t="str">
        <f>IFERROR(VLOOKUP(I275,[1]AUTOS!$C:$G,2,0),"")</f>
        <v/>
      </c>
      <c r="K275" t="str">
        <f>IFERROR(VLOOKUP(I275,[1]AUTOS!$C:$G,3,0),"")</f>
        <v/>
      </c>
      <c r="L275" t="str">
        <f>IFERROR(VLOOKUP(I275,[1]AUTOS!$C:$G,4,0),"")</f>
        <v/>
      </c>
      <c r="M275" t="s">
        <v>22</v>
      </c>
      <c r="P275" s="3">
        <v>-400</v>
      </c>
    </row>
    <row r="276" spans="1:16" hidden="1" x14ac:dyDescent="0.3">
      <c r="A276">
        <v>16</v>
      </c>
      <c r="B276" t="str">
        <f>VLOOKUP($A276,[1]LISTA!$B:$C,2,0)</f>
        <v>ABRIL</v>
      </c>
      <c r="C276" s="1">
        <v>2025</v>
      </c>
      <c r="D276" s="1" t="str">
        <f>IF($A276&lt;=[1]RESULTADOS!$D$6,"YTD","YTG")</f>
        <v>YTD</v>
      </c>
      <c r="E276" t="s">
        <v>17</v>
      </c>
      <c r="F276" t="s">
        <v>18</v>
      </c>
      <c r="G276" t="s">
        <v>29</v>
      </c>
      <c r="H276" t="s">
        <v>188</v>
      </c>
      <c r="I276" t="s">
        <v>21</v>
      </c>
      <c r="J276" t="str">
        <f>IFERROR(VLOOKUP(I276,[1]AUTOS!$C:$G,2,0),"")</f>
        <v/>
      </c>
      <c r="K276" t="str">
        <f>IFERROR(VLOOKUP(I276,[1]AUTOS!$C:$G,3,0),"")</f>
        <v/>
      </c>
      <c r="L276" t="str">
        <f>IFERROR(VLOOKUP(I276,[1]AUTOS!$C:$G,4,0),"")</f>
        <v/>
      </c>
      <c r="M276" t="s">
        <v>22</v>
      </c>
      <c r="P276" s="3">
        <v>-500</v>
      </c>
    </row>
    <row r="277" spans="1:16" hidden="1" x14ac:dyDescent="0.3">
      <c r="A277">
        <v>17</v>
      </c>
      <c r="B277" t="str">
        <f>VLOOKUP($A277,[1]LISTA!$B:$C,2,0)</f>
        <v>ABRIL</v>
      </c>
      <c r="C277" s="1">
        <v>2025</v>
      </c>
      <c r="D277" s="1" t="str">
        <f>IF($A277&lt;=[1]RESULTADOS!$D$6,"YTD","YTG")</f>
        <v>YTD</v>
      </c>
      <c r="E277" t="s">
        <v>31</v>
      </c>
      <c r="F277" t="s">
        <v>18</v>
      </c>
      <c r="G277" t="s">
        <v>77</v>
      </c>
      <c r="H277" t="s">
        <v>78</v>
      </c>
      <c r="I277" t="s">
        <v>40</v>
      </c>
      <c r="J277" t="str">
        <f>IFERROR(VLOOKUP(I277,[1]AUTOS!$C:$G,2,0),"")</f>
        <v>VERSA</v>
      </c>
      <c r="K277">
        <f>IFERROR(VLOOKUP(I277,[1]AUTOS!$C:$G,3,0),"")</f>
        <v>2017</v>
      </c>
      <c r="L277" t="str">
        <f>IFERROR(VLOOKUP(I277,[1]AUTOS!$C:$G,4,0),"")</f>
        <v>ACERO</v>
      </c>
      <c r="M277" t="s">
        <v>35</v>
      </c>
      <c r="P277" s="3">
        <v>-850</v>
      </c>
    </row>
    <row r="278" spans="1:16" hidden="1" x14ac:dyDescent="0.3">
      <c r="A278">
        <v>17</v>
      </c>
      <c r="B278" t="str">
        <f>VLOOKUP($A278,[1]LISTA!$B:$C,2,0)</f>
        <v>ABRIL</v>
      </c>
      <c r="C278" s="1">
        <v>2025</v>
      </c>
      <c r="D278" s="1" t="str">
        <f>IF($A278&lt;=[1]RESULTADOS!$D$6,"YTD","YTG")</f>
        <v>YTD</v>
      </c>
      <c r="E278" t="s">
        <v>31</v>
      </c>
      <c r="F278" t="s">
        <v>18</v>
      </c>
      <c r="G278" t="s">
        <v>29</v>
      </c>
      <c r="H278" t="s">
        <v>113</v>
      </c>
      <c r="I278" t="s">
        <v>40</v>
      </c>
      <c r="J278" t="str">
        <f>IFERROR(VLOOKUP(I278,[1]AUTOS!$C:$G,2,0),"")</f>
        <v>VERSA</v>
      </c>
      <c r="K278">
        <f>IFERROR(VLOOKUP(I278,[1]AUTOS!$C:$G,3,0),"")</f>
        <v>2017</v>
      </c>
      <c r="L278" t="str">
        <f>IFERROR(VLOOKUP(I278,[1]AUTOS!$C:$G,4,0),"")</f>
        <v>ACERO</v>
      </c>
      <c r="M278" t="s">
        <v>35</v>
      </c>
      <c r="P278" s="3">
        <v>-200</v>
      </c>
    </row>
    <row r="279" spans="1:16" hidden="1" x14ac:dyDescent="0.3">
      <c r="A279">
        <v>17</v>
      </c>
      <c r="B279" t="str">
        <f>VLOOKUP($A279,[1]LISTA!$B:$C,2,0)</f>
        <v>ABRIL</v>
      </c>
      <c r="C279" s="1">
        <v>2025</v>
      </c>
      <c r="D279" s="1" t="str">
        <f>IF($A279&lt;=[1]RESULTADOS!$D$6,"YTD","YTG")</f>
        <v>YTD</v>
      </c>
      <c r="E279" t="s">
        <v>31</v>
      </c>
      <c r="F279" t="s">
        <v>18</v>
      </c>
      <c r="G279" t="s">
        <v>158</v>
      </c>
      <c r="H279" t="s">
        <v>222</v>
      </c>
      <c r="I279" t="s">
        <v>40</v>
      </c>
      <c r="J279" t="str">
        <f>IFERROR(VLOOKUP(I279,[1]AUTOS!$C:$G,2,0),"")</f>
        <v>VERSA</v>
      </c>
      <c r="K279">
        <f>IFERROR(VLOOKUP(I279,[1]AUTOS!$C:$G,3,0),"")</f>
        <v>2017</v>
      </c>
      <c r="L279" t="str">
        <f>IFERROR(VLOOKUP(I279,[1]AUTOS!$C:$G,4,0),"")</f>
        <v>ACERO</v>
      </c>
      <c r="M279" t="s">
        <v>35</v>
      </c>
      <c r="P279" s="3">
        <v>-400</v>
      </c>
    </row>
    <row r="280" spans="1:16" hidden="1" x14ac:dyDescent="0.3">
      <c r="A280">
        <v>17</v>
      </c>
      <c r="B280" t="str">
        <f>VLOOKUP($A280,[1]LISTA!$B:$C,2,0)</f>
        <v>ABRIL</v>
      </c>
      <c r="C280" s="1">
        <v>2025</v>
      </c>
      <c r="D280" s="1" t="str">
        <f>IF($A280&lt;=[1]RESULTADOS!$D$6,"YTD","YTG")</f>
        <v>YTD</v>
      </c>
      <c r="E280" t="s">
        <v>31</v>
      </c>
      <c r="F280" t="s">
        <v>18</v>
      </c>
      <c r="G280" t="s">
        <v>57</v>
      </c>
      <c r="H280" t="s">
        <v>223</v>
      </c>
      <c r="I280" t="s">
        <v>40</v>
      </c>
      <c r="J280" t="str">
        <f>IFERROR(VLOOKUP(I280,[1]AUTOS!$C:$G,2,0),"")</f>
        <v>VERSA</v>
      </c>
      <c r="K280">
        <f>IFERROR(VLOOKUP(I280,[1]AUTOS!$C:$G,3,0),"")</f>
        <v>2017</v>
      </c>
      <c r="L280" t="str">
        <f>IFERROR(VLOOKUP(I280,[1]AUTOS!$C:$G,4,0),"")</f>
        <v>ACERO</v>
      </c>
      <c r="M280" t="s">
        <v>35</v>
      </c>
      <c r="P280" s="3">
        <v>-120</v>
      </c>
    </row>
    <row r="281" spans="1:16" hidden="1" x14ac:dyDescent="0.3">
      <c r="A281">
        <v>18</v>
      </c>
      <c r="B281" t="str">
        <f>VLOOKUP($A281,[1]LISTA!$B:$C,2,0)</f>
        <v>MAYO</v>
      </c>
      <c r="C281" s="1">
        <v>2025</v>
      </c>
      <c r="D281" s="1" t="str">
        <f>IF($A281&lt;=[1]RESULTADOS!$D$6,"YTD","YTG")</f>
        <v>YTD</v>
      </c>
      <c r="E281" t="s">
        <v>31</v>
      </c>
      <c r="F281" t="s">
        <v>18</v>
      </c>
      <c r="G281" t="s">
        <v>153</v>
      </c>
      <c r="H281" t="s">
        <v>224</v>
      </c>
      <c r="I281" t="s">
        <v>185</v>
      </c>
      <c r="J281" t="str">
        <f>IFERROR(VLOOKUP(I281,[1]AUTOS!$C:$G,2,0),"")</f>
        <v>MARCH</v>
      </c>
      <c r="K281">
        <f>IFERROR(VLOOKUP(I281,[1]AUTOS!$C:$G,3,0),"")</f>
        <v>2021</v>
      </c>
      <c r="L281" t="str">
        <f>IFERROR(VLOOKUP(I281,[1]AUTOS!$C:$G,4,0),"")</f>
        <v>ROJO</v>
      </c>
      <c r="M281" t="s">
        <v>43</v>
      </c>
      <c r="P281" s="3">
        <v>-480</v>
      </c>
    </row>
    <row r="282" spans="1:16" hidden="1" x14ac:dyDescent="0.3">
      <c r="A282">
        <v>16</v>
      </c>
      <c r="B282" t="str">
        <f>VLOOKUP($A282,[1]LISTA!$B:$C,2,0)</f>
        <v>ABRIL</v>
      </c>
      <c r="C282" s="1">
        <v>2025</v>
      </c>
      <c r="D282" s="1" t="str">
        <f>IF($A282&lt;=[1]RESULTADOS!$D$6,"YTD","YTG")</f>
        <v>YTD</v>
      </c>
      <c r="E282" t="s">
        <v>31</v>
      </c>
      <c r="F282" t="s">
        <v>18</v>
      </c>
      <c r="G282" t="s">
        <v>83</v>
      </c>
      <c r="H282" t="s">
        <v>225</v>
      </c>
      <c r="I282" t="s">
        <v>40</v>
      </c>
      <c r="J282" t="str">
        <f>IFERROR(VLOOKUP(I282,[1]AUTOS!$C:$G,2,0),"")</f>
        <v>VERSA</v>
      </c>
      <c r="K282">
        <f>IFERROR(VLOOKUP(I282,[1]AUTOS!$C:$G,3,0),"")</f>
        <v>2017</v>
      </c>
      <c r="L282" t="str">
        <f>IFERROR(VLOOKUP(I282,[1]AUTOS!$C:$G,4,0),"")</f>
        <v>ACERO</v>
      </c>
      <c r="M282" t="s">
        <v>35</v>
      </c>
      <c r="P282" s="3">
        <v>-2172</v>
      </c>
    </row>
    <row r="283" spans="1:16" hidden="1" x14ac:dyDescent="0.3">
      <c r="A283">
        <v>18</v>
      </c>
      <c r="B283" t="str">
        <f>VLOOKUP($A283,[1]LISTA!$B:$C,2,0)</f>
        <v>MAYO</v>
      </c>
      <c r="C283" s="1">
        <v>2025</v>
      </c>
      <c r="D283" s="1" t="str">
        <f>IF($A283&lt;=[1]RESULTADOS!$D$6,"YTD","YTG")</f>
        <v>YTD</v>
      </c>
      <c r="E283" t="s">
        <v>31</v>
      </c>
      <c r="F283" t="s">
        <v>18</v>
      </c>
      <c r="G283" t="s">
        <v>83</v>
      </c>
      <c r="H283" t="s">
        <v>225</v>
      </c>
      <c r="I283" t="s">
        <v>73</v>
      </c>
      <c r="J283" t="str">
        <f>IFERROR(VLOOKUP(I283,[1]AUTOS!$C:$G,2,0),"")</f>
        <v>VERSA</v>
      </c>
      <c r="K283">
        <f>IFERROR(VLOOKUP(I283,[1]AUTOS!$C:$G,3,0),"")</f>
        <v>2023</v>
      </c>
      <c r="L283" t="str">
        <f>IFERROR(VLOOKUP(I283,[1]AUTOS!$C:$G,4,0),"")</f>
        <v>PLATA</v>
      </c>
      <c r="M283" t="s">
        <v>43</v>
      </c>
      <c r="P283" s="3">
        <v>-2217</v>
      </c>
    </row>
    <row r="284" spans="1:16" hidden="1" x14ac:dyDescent="0.3">
      <c r="A284">
        <v>18</v>
      </c>
      <c r="B284" t="str">
        <f>VLOOKUP($A284,[1]LISTA!$B:$C,2,0)</f>
        <v>MAYO</v>
      </c>
      <c r="C284" s="1">
        <v>2025</v>
      </c>
      <c r="D284" s="1" t="str">
        <f>IF($A284&lt;=[1]RESULTADOS!$D$6,"YTD","YTG")</f>
        <v>YTD</v>
      </c>
      <c r="E284" t="s">
        <v>31</v>
      </c>
      <c r="F284" t="s">
        <v>18</v>
      </c>
      <c r="G284" t="s">
        <v>83</v>
      </c>
      <c r="H284" t="s">
        <v>226</v>
      </c>
      <c r="I284" t="s">
        <v>42</v>
      </c>
      <c r="J284" t="str">
        <f>IFERROR(VLOOKUP(I284,[1]AUTOS!$C:$G,2,0),"")</f>
        <v>VENTO</v>
      </c>
      <c r="K284">
        <f>IFERROR(VLOOKUP(I284,[1]AUTOS!$C:$G,3,0),"")</f>
        <v>2018</v>
      </c>
      <c r="L284" t="str">
        <f>IFERROR(VLOOKUP(I284,[1]AUTOS!$C:$G,4,0),"")</f>
        <v>AMARILLO</v>
      </c>
      <c r="M284" t="s">
        <v>43</v>
      </c>
      <c r="P284" s="3">
        <v>-1131</v>
      </c>
    </row>
    <row r="285" spans="1:16" hidden="1" x14ac:dyDescent="0.3">
      <c r="A285">
        <v>18</v>
      </c>
      <c r="B285" t="str">
        <f>VLOOKUP($A285,[1]LISTA!$B:$C,2,0)</f>
        <v>MAYO</v>
      </c>
      <c r="C285" s="1">
        <v>2025</v>
      </c>
      <c r="D285" s="1" t="str">
        <f>IF($A285&lt;=[1]RESULTADOS!$D$6,"YTD","YTG")</f>
        <v>YTD</v>
      </c>
      <c r="E285" t="s">
        <v>31</v>
      </c>
      <c r="F285" t="s">
        <v>18</v>
      </c>
      <c r="G285" t="s">
        <v>83</v>
      </c>
      <c r="H285" t="s">
        <v>226</v>
      </c>
      <c r="I285" t="s">
        <v>82</v>
      </c>
      <c r="J285" t="str">
        <f>IFERROR(VLOOKUP(I285,[1]AUTOS!$C:$G,2,0),"")</f>
        <v>AVEO</v>
      </c>
      <c r="K285">
        <f>IFERROR(VLOOKUP(I285,[1]AUTOS!$C:$G,3,0),"")</f>
        <v>2019</v>
      </c>
      <c r="L285" t="str">
        <f>IFERROR(VLOOKUP(I285,[1]AUTOS!$C:$G,4,0),"")</f>
        <v>PLATA</v>
      </c>
      <c r="M285" t="s">
        <v>43</v>
      </c>
      <c r="P285" s="3">
        <v>-1697</v>
      </c>
    </row>
    <row r="286" spans="1:16" hidden="1" x14ac:dyDescent="0.3">
      <c r="A286">
        <v>17</v>
      </c>
      <c r="B286" t="str">
        <f>VLOOKUP($A286,[1]LISTA!$B:$C,2,0)</f>
        <v>ABRIL</v>
      </c>
      <c r="C286" s="1">
        <v>2025</v>
      </c>
      <c r="D286" s="1" t="str">
        <f>IF($A286&lt;=[1]RESULTADOS!$D$6,"YTD","YTG")</f>
        <v>YTD</v>
      </c>
      <c r="E286" t="s">
        <v>31</v>
      </c>
      <c r="F286" t="s">
        <v>18</v>
      </c>
      <c r="G286" t="s">
        <v>83</v>
      </c>
      <c r="H286" t="s">
        <v>226</v>
      </c>
      <c r="I286" t="s">
        <v>185</v>
      </c>
      <c r="J286" t="str">
        <f>IFERROR(VLOOKUP(I286,[1]AUTOS!$C:$G,2,0),"")</f>
        <v>MARCH</v>
      </c>
      <c r="K286">
        <f>IFERROR(VLOOKUP(I286,[1]AUTOS!$C:$G,3,0),"")</f>
        <v>2021</v>
      </c>
      <c r="L286" t="str">
        <f>IFERROR(VLOOKUP(I286,[1]AUTOS!$C:$G,4,0),"")</f>
        <v>ROJO</v>
      </c>
      <c r="M286" t="s">
        <v>43</v>
      </c>
      <c r="P286" s="3">
        <v>-1037</v>
      </c>
    </row>
    <row r="287" spans="1:16" hidden="1" x14ac:dyDescent="0.3">
      <c r="A287">
        <v>17</v>
      </c>
      <c r="B287" t="str">
        <f>VLOOKUP($A287,[1]LISTA!$B:$C,2,0)</f>
        <v>ABRIL</v>
      </c>
      <c r="C287" s="1">
        <v>2025</v>
      </c>
      <c r="D287" s="1" t="str">
        <f>IF($A287&lt;=[1]RESULTADOS!$D$6,"YTD","YTG")</f>
        <v>YTD</v>
      </c>
      <c r="E287" t="s">
        <v>31</v>
      </c>
      <c r="F287" t="s">
        <v>18</v>
      </c>
      <c r="G287" t="s">
        <v>137</v>
      </c>
      <c r="H287" t="s">
        <v>138</v>
      </c>
      <c r="I287" t="s">
        <v>59</v>
      </c>
      <c r="J287" t="str">
        <f>IFERROR(VLOOKUP(I287,[1]AUTOS!$C:$G,2,0),"")</f>
        <v>AVEO</v>
      </c>
      <c r="K287">
        <f>IFERROR(VLOOKUP(I287,[1]AUTOS!$C:$G,3,0),"")</f>
        <v>2019</v>
      </c>
      <c r="L287" t="str">
        <f>IFERROR(VLOOKUP(I287,[1]AUTOS!$C:$G,4,0),"")</f>
        <v>BLANCO</v>
      </c>
      <c r="M287" t="s">
        <v>43</v>
      </c>
      <c r="P287" s="3">
        <v>-1900</v>
      </c>
    </row>
    <row r="288" spans="1:16" hidden="1" x14ac:dyDescent="0.3">
      <c r="A288">
        <v>17</v>
      </c>
      <c r="B288" t="str">
        <f>VLOOKUP($A288,[1]LISTA!$B:$C,2,0)</f>
        <v>ABRIL</v>
      </c>
      <c r="C288" s="1">
        <v>2025</v>
      </c>
      <c r="D288" s="1" t="str">
        <f>IF($A288&lt;=[1]RESULTADOS!$D$6,"YTD","YTG")</f>
        <v>YTD</v>
      </c>
      <c r="E288" t="s">
        <v>31</v>
      </c>
      <c r="F288" t="s">
        <v>18</v>
      </c>
      <c r="G288" t="s">
        <v>137</v>
      </c>
      <c r="H288" t="s">
        <v>138</v>
      </c>
      <c r="I288" t="s">
        <v>116</v>
      </c>
      <c r="J288" t="str">
        <f>IFERROR(VLOOKUP(I288,[1]AUTOS!$C:$G,2,0),"")</f>
        <v>AVEO</v>
      </c>
      <c r="K288">
        <f>IFERROR(VLOOKUP(I288,[1]AUTOS!$C:$G,3,0),"")</f>
        <v>2022</v>
      </c>
      <c r="L288" t="str">
        <f>IFERROR(VLOOKUP(I288,[1]AUTOS!$C:$G,4,0),"")</f>
        <v>AZUL</v>
      </c>
      <c r="M288" t="s">
        <v>43</v>
      </c>
      <c r="P288" s="3">
        <v>-1900</v>
      </c>
    </row>
    <row r="289" spans="1:16" hidden="1" x14ac:dyDescent="0.3">
      <c r="A289">
        <v>17</v>
      </c>
      <c r="B289" t="str">
        <f>VLOOKUP($A289,[1]LISTA!$B:$C,2,0)</f>
        <v>ABRIL</v>
      </c>
      <c r="C289" s="1">
        <v>2025</v>
      </c>
      <c r="D289" s="1" t="str">
        <f>IF($A289&lt;=[1]RESULTADOS!$D$6,"YTD","YTG")</f>
        <v>YTD</v>
      </c>
      <c r="E289" t="s">
        <v>31</v>
      </c>
      <c r="F289" t="s">
        <v>18</v>
      </c>
      <c r="G289" t="s">
        <v>153</v>
      </c>
      <c r="H289" t="s">
        <v>227</v>
      </c>
      <c r="I289" t="s">
        <v>116</v>
      </c>
      <c r="J289" t="str">
        <f>IFERROR(VLOOKUP(I289,[1]AUTOS!$C:$G,2,0),"")</f>
        <v>AVEO</v>
      </c>
      <c r="K289">
        <f>IFERROR(VLOOKUP(I289,[1]AUTOS!$C:$G,3,0),"")</f>
        <v>2022</v>
      </c>
      <c r="L289" t="str">
        <f>IFERROR(VLOOKUP(I289,[1]AUTOS!$C:$G,4,0),"")</f>
        <v>AZUL</v>
      </c>
      <c r="M289" t="s">
        <v>43</v>
      </c>
      <c r="P289" s="3">
        <v>-397</v>
      </c>
    </row>
    <row r="290" spans="1:16" hidden="1" x14ac:dyDescent="0.3">
      <c r="A290">
        <v>17</v>
      </c>
      <c r="B290" t="str">
        <f>VLOOKUP($A290,[1]LISTA!$B:$C,2,0)</f>
        <v>ABRIL</v>
      </c>
      <c r="C290" s="1">
        <v>2025</v>
      </c>
      <c r="D290" s="1" t="str">
        <f>IF($A290&lt;=[1]RESULTADOS!$D$6,"YTD","YTG")</f>
        <v>YTD</v>
      </c>
      <c r="E290" t="s">
        <v>31</v>
      </c>
      <c r="F290" t="s">
        <v>18</v>
      </c>
      <c r="G290" t="s">
        <v>77</v>
      </c>
      <c r="H290" t="s">
        <v>78</v>
      </c>
      <c r="I290" t="s">
        <v>73</v>
      </c>
      <c r="J290" t="str">
        <f>IFERROR(VLOOKUP(I290,[1]AUTOS!$C:$G,2,0),"")</f>
        <v>VERSA</v>
      </c>
      <c r="K290">
        <f>IFERROR(VLOOKUP(I290,[1]AUTOS!$C:$G,3,0),"")</f>
        <v>2023</v>
      </c>
      <c r="L290" t="str">
        <f>IFERROR(VLOOKUP(I290,[1]AUTOS!$C:$G,4,0),"")</f>
        <v>PLATA</v>
      </c>
      <c r="M290" t="s">
        <v>43</v>
      </c>
      <c r="P290" s="3">
        <v>-820</v>
      </c>
    </row>
    <row r="291" spans="1:16" hidden="1" x14ac:dyDescent="0.3">
      <c r="A291">
        <v>17</v>
      </c>
      <c r="B291" t="str">
        <f>VLOOKUP($A291,[1]LISTA!$B:$C,2,0)</f>
        <v>ABRIL</v>
      </c>
      <c r="C291" s="1">
        <v>2025</v>
      </c>
      <c r="D291" s="1" t="str">
        <f>IF($A291&lt;=[1]RESULTADOS!$D$6,"YTD","YTG")</f>
        <v>YTD</v>
      </c>
      <c r="E291" t="s">
        <v>31</v>
      </c>
      <c r="F291" t="s">
        <v>18</v>
      </c>
      <c r="G291" t="s">
        <v>137</v>
      </c>
      <c r="H291" t="s">
        <v>138</v>
      </c>
      <c r="I291" t="s">
        <v>46</v>
      </c>
      <c r="J291" t="str">
        <f>IFERROR(VLOOKUP(I291,[1]AUTOS!$C:$G,2,0),"")</f>
        <v>MARCH</v>
      </c>
      <c r="K291">
        <f>IFERROR(VLOOKUP(I291,[1]AUTOS!$C:$G,3,0),"")</f>
        <v>2020</v>
      </c>
      <c r="L291" t="str">
        <f>IFERROR(VLOOKUP(I291,[1]AUTOS!$C:$G,4,0),"")</f>
        <v>TURQ</v>
      </c>
      <c r="M291" t="s">
        <v>43</v>
      </c>
      <c r="P291" s="3">
        <v>-1900</v>
      </c>
    </row>
    <row r="292" spans="1:16" hidden="1" x14ac:dyDescent="0.3">
      <c r="A292">
        <v>18</v>
      </c>
      <c r="B292" t="str">
        <f>VLOOKUP($A292,[1]LISTA!$B:$C,2,0)</f>
        <v>MAYO</v>
      </c>
      <c r="C292" s="1">
        <v>2025</v>
      </c>
      <c r="D292" s="1" t="str">
        <f>IF($A292&lt;=[1]RESULTADOS!$D$6,"YTD","YTG")</f>
        <v>YTD</v>
      </c>
      <c r="E292" t="s">
        <v>31</v>
      </c>
      <c r="F292" t="s">
        <v>18</v>
      </c>
      <c r="G292" t="s">
        <v>87</v>
      </c>
      <c r="H292" t="s">
        <v>228</v>
      </c>
      <c r="I292" t="s">
        <v>79</v>
      </c>
      <c r="J292" t="str">
        <f>IFERROR(VLOOKUP(I292,[1]AUTOS!$C:$G,2,0),"")</f>
        <v>AVEO</v>
      </c>
      <c r="K292">
        <f>IFERROR(VLOOKUP(I292,[1]AUTOS!$C:$G,3,0),"")</f>
        <v>2021</v>
      </c>
      <c r="L292" t="str">
        <f>IFERROR(VLOOKUP(I292,[1]AUTOS!$C:$G,4,0),"")</f>
        <v>OCRE</v>
      </c>
      <c r="M292" t="s">
        <v>43</v>
      </c>
      <c r="P292" s="3">
        <v>-400</v>
      </c>
    </row>
    <row r="293" spans="1:16" hidden="1" x14ac:dyDescent="0.3">
      <c r="A293">
        <v>18</v>
      </c>
      <c r="B293" t="str">
        <f>VLOOKUP($A293,[1]LISTA!$B:$C,2,0)</f>
        <v>MAYO</v>
      </c>
      <c r="C293" s="1">
        <v>2025</v>
      </c>
      <c r="D293" s="1" t="str">
        <f>IF($A293&lt;=[1]RESULTADOS!$D$6,"YTD","YTG")</f>
        <v>YTD</v>
      </c>
      <c r="E293" t="s">
        <v>31</v>
      </c>
      <c r="F293" t="s">
        <v>18</v>
      </c>
      <c r="G293" t="s">
        <v>64</v>
      </c>
      <c r="H293" t="s">
        <v>64</v>
      </c>
      <c r="I293" t="s">
        <v>40</v>
      </c>
      <c r="J293" t="str">
        <f>IFERROR(VLOOKUP(I293,[1]AUTOS!$C:$G,2,0),"")</f>
        <v>VERSA</v>
      </c>
      <c r="K293">
        <f>IFERROR(VLOOKUP(I293,[1]AUTOS!$C:$G,3,0),"")</f>
        <v>2017</v>
      </c>
      <c r="L293" t="str">
        <f>IFERROR(VLOOKUP(I293,[1]AUTOS!$C:$G,4,0),"")</f>
        <v>ACERO</v>
      </c>
      <c r="M293" t="s">
        <v>35</v>
      </c>
      <c r="P293" s="3">
        <v>-500</v>
      </c>
    </row>
    <row r="294" spans="1:16" hidden="1" x14ac:dyDescent="0.3">
      <c r="A294">
        <v>18</v>
      </c>
      <c r="B294" t="str">
        <f>VLOOKUP($A294,[1]LISTA!$B:$C,2,0)</f>
        <v>MAYO</v>
      </c>
      <c r="C294" s="1">
        <v>2025</v>
      </c>
      <c r="D294" s="1" t="str">
        <f>IF($A294&lt;=[1]RESULTADOS!$D$6,"YTD","YTG")</f>
        <v>YTD</v>
      </c>
      <c r="E294" t="s">
        <v>31</v>
      </c>
      <c r="F294" t="s">
        <v>18</v>
      </c>
      <c r="G294" t="s">
        <v>32</v>
      </c>
      <c r="H294" t="s">
        <v>229</v>
      </c>
      <c r="I294" t="s">
        <v>131</v>
      </c>
      <c r="J294" t="str">
        <f>IFERROR(VLOOKUP(I294,[1]AUTOS!$C:$G,2,0),"")</f>
        <v>AVEO</v>
      </c>
      <c r="K294">
        <f>IFERROR(VLOOKUP(I294,[1]AUTOS!$C:$G,3,0),"")</f>
        <v>2024</v>
      </c>
      <c r="L294" t="str">
        <f>IFERROR(VLOOKUP(I294,[1]AUTOS!$C:$G,4,0),"")</f>
        <v>GRIS</v>
      </c>
      <c r="M294" t="s">
        <v>43</v>
      </c>
      <c r="P294" s="3">
        <v>-300</v>
      </c>
    </row>
    <row r="295" spans="1:16" hidden="1" x14ac:dyDescent="0.3">
      <c r="A295">
        <v>18</v>
      </c>
      <c r="B295" t="str">
        <f>VLOOKUP($A295,[1]LISTA!$B:$C,2,0)</f>
        <v>MAYO</v>
      </c>
      <c r="C295" s="1">
        <v>2025</v>
      </c>
      <c r="D295" s="1" t="str">
        <f>IF($A295&lt;=[1]RESULTADOS!$D$6,"YTD","YTG")</f>
        <v>YTD</v>
      </c>
      <c r="E295" t="s">
        <v>31</v>
      </c>
      <c r="F295" t="s">
        <v>18</v>
      </c>
      <c r="G295" t="s">
        <v>29</v>
      </c>
      <c r="H295" t="s">
        <v>113</v>
      </c>
      <c r="I295" t="s">
        <v>131</v>
      </c>
      <c r="J295" t="str">
        <f>IFERROR(VLOOKUP(I295,[1]AUTOS!$C:$G,2,0),"")</f>
        <v>AVEO</v>
      </c>
      <c r="K295">
        <f>IFERROR(VLOOKUP(I295,[1]AUTOS!$C:$G,3,0),"")</f>
        <v>2024</v>
      </c>
      <c r="L295" t="str">
        <f>IFERROR(VLOOKUP(I295,[1]AUTOS!$C:$G,4,0),"")</f>
        <v>GRIS</v>
      </c>
      <c r="M295" t="s">
        <v>43</v>
      </c>
      <c r="P295" s="3">
        <v>-240</v>
      </c>
    </row>
    <row r="296" spans="1:16" hidden="1" x14ac:dyDescent="0.3">
      <c r="A296">
        <v>18</v>
      </c>
      <c r="B296" t="str">
        <f>VLOOKUP($A296,[1]LISTA!$B:$C,2,0)</f>
        <v>MAYO</v>
      </c>
      <c r="C296" s="1">
        <v>2025</v>
      </c>
      <c r="D296" s="1" t="str">
        <f>IF($A296&lt;=[1]RESULTADOS!$D$6,"YTD","YTG")</f>
        <v>YTD</v>
      </c>
      <c r="E296" t="s">
        <v>31</v>
      </c>
      <c r="F296" t="s">
        <v>18</v>
      </c>
      <c r="G296" t="s">
        <v>57</v>
      </c>
      <c r="H296" t="s">
        <v>230</v>
      </c>
      <c r="I296" t="s">
        <v>131</v>
      </c>
      <c r="J296" t="str">
        <f>IFERROR(VLOOKUP(I296,[1]AUTOS!$C:$G,2,0),"")</f>
        <v>AVEO</v>
      </c>
      <c r="K296">
        <f>IFERROR(VLOOKUP(I296,[1]AUTOS!$C:$G,3,0),"")</f>
        <v>2024</v>
      </c>
      <c r="L296" t="str">
        <f>IFERROR(VLOOKUP(I296,[1]AUTOS!$C:$G,4,0),"")</f>
        <v>GRIS</v>
      </c>
      <c r="M296" t="s">
        <v>43</v>
      </c>
      <c r="P296" s="3">
        <v>-25</v>
      </c>
    </row>
    <row r="297" spans="1:16" hidden="1" x14ac:dyDescent="0.3">
      <c r="A297">
        <v>18</v>
      </c>
      <c r="B297" t="str">
        <f>VLOOKUP($A297,[1]LISTA!$B:$C,2,0)</f>
        <v>MAYO</v>
      </c>
      <c r="C297" s="1">
        <v>2025</v>
      </c>
      <c r="D297" s="1" t="str">
        <f>IF($A297&lt;=[1]RESULTADOS!$D$6,"YTD","YTG")</f>
        <v>YTD</v>
      </c>
      <c r="E297" t="s">
        <v>17</v>
      </c>
      <c r="F297" t="s">
        <v>18</v>
      </c>
      <c r="G297" t="s">
        <v>29</v>
      </c>
      <c r="H297" t="s">
        <v>231</v>
      </c>
      <c r="I297" t="s">
        <v>21</v>
      </c>
      <c r="J297" t="str">
        <f>IFERROR(VLOOKUP(I297,[1]AUTOS!$C:$G,2,0),"")</f>
        <v/>
      </c>
      <c r="K297" t="str">
        <f>IFERROR(VLOOKUP(I297,[1]AUTOS!$C:$G,3,0),"")</f>
        <v/>
      </c>
      <c r="L297" t="str">
        <f>IFERROR(VLOOKUP(I297,[1]AUTOS!$C:$G,4,0),"")</f>
        <v/>
      </c>
      <c r="M297" t="s">
        <v>22</v>
      </c>
      <c r="P297" s="3">
        <v>-500</v>
      </c>
    </row>
    <row r="298" spans="1:16" hidden="1" x14ac:dyDescent="0.3">
      <c r="A298">
        <v>18</v>
      </c>
      <c r="B298" t="str">
        <f>VLOOKUP($A298,[1]LISTA!$B:$C,2,0)</f>
        <v>MAYO</v>
      </c>
      <c r="C298" s="1">
        <v>2025</v>
      </c>
      <c r="D298" s="1" t="str">
        <f>IF($A298&lt;=[1]RESULTADOS!$D$6,"YTD","YTG")</f>
        <v>YTD</v>
      </c>
      <c r="E298" t="s">
        <v>17</v>
      </c>
      <c r="F298" t="s">
        <v>18</v>
      </c>
      <c r="G298" t="s">
        <v>19</v>
      </c>
      <c r="H298" t="s">
        <v>232</v>
      </c>
      <c r="I298" t="s">
        <v>21</v>
      </c>
      <c r="J298" t="str">
        <f>IFERROR(VLOOKUP(I298,[1]AUTOS!$C:$G,2,0),"")</f>
        <v/>
      </c>
      <c r="K298" t="str">
        <f>IFERROR(VLOOKUP(I298,[1]AUTOS!$C:$G,3,0),"")</f>
        <v/>
      </c>
      <c r="L298" t="str">
        <f>IFERROR(VLOOKUP(I298,[1]AUTOS!$C:$G,4,0),"")</f>
        <v/>
      </c>
      <c r="M298" t="s">
        <v>22</v>
      </c>
      <c r="P298" s="3">
        <v>-450</v>
      </c>
    </row>
    <row r="299" spans="1:16" hidden="1" x14ac:dyDescent="0.3">
      <c r="A299">
        <v>18</v>
      </c>
      <c r="B299" t="str">
        <f>VLOOKUP($A299,[1]LISTA!$B:$C,2,0)</f>
        <v>MAYO</v>
      </c>
      <c r="C299" s="1">
        <v>2025</v>
      </c>
      <c r="D299" s="1" t="str">
        <f>IF($A299&lt;=[1]RESULTADOS!$D$6,"YTD","YTG")</f>
        <v>YTD</v>
      </c>
      <c r="E299" t="s">
        <v>31</v>
      </c>
      <c r="F299" t="s">
        <v>18</v>
      </c>
      <c r="G299" t="s">
        <v>32</v>
      </c>
      <c r="H299" t="s">
        <v>229</v>
      </c>
      <c r="I299" t="s">
        <v>40</v>
      </c>
      <c r="J299" t="str">
        <f>IFERROR(VLOOKUP(I299,[1]AUTOS!$C:$G,2,0),"")</f>
        <v>VERSA</v>
      </c>
      <c r="K299">
        <f>IFERROR(VLOOKUP(I299,[1]AUTOS!$C:$G,3,0),"")</f>
        <v>2017</v>
      </c>
      <c r="L299" t="str">
        <f>IFERROR(VLOOKUP(I299,[1]AUTOS!$C:$G,4,0),"")</f>
        <v>ACERO</v>
      </c>
      <c r="M299" t="s">
        <v>35</v>
      </c>
      <c r="P299" s="3">
        <v>-300</v>
      </c>
    </row>
    <row r="300" spans="1:16" hidden="1" x14ac:dyDescent="0.3">
      <c r="A300">
        <v>18</v>
      </c>
      <c r="B300" t="str">
        <f>VLOOKUP($A300,[1]LISTA!$B:$C,2,0)</f>
        <v>MAYO</v>
      </c>
      <c r="C300" s="1">
        <v>2025</v>
      </c>
      <c r="D300" s="1" t="str">
        <f>IF($A300&lt;=[1]RESULTADOS!$D$6,"YTD","YTG")</f>
        <v>YTD</v>
      </c>
      <c r="E300" t="s">
        <v>31</v>
      </c>
      <c r="F300" t="s">
        <v>18</v>
      </c>
      <c r="G300" t="s">
        <v>53</v>
      </c>
      <c r="H300" t="s">
        <v>233</v>
      </c>
      <c r="I300" t="s">
        <v>182</v>
      </c>
      <c r="J300" t="str">
        <f>IFERROR(VLOOKUP(I300,[1]AUTOS!$C:$G,2,0),"")</f>
        <v>AVEO</v>
      </c>
      <c r="K300">
        <f>IFERROR(VLOOKUP(I300,[1]AUTOS!$C:$G,3,0),"")</f>
        <v>2020</v>
      </c>
      <c r="L300" t="str">
        <f>IFERROR(VLOOKUP(I300,[1]AUTOS!$C:$G,4,0),"")</f>
        <v>AZUL</v>
      </c>
      <c r="M300" t="s">
        <v>43</v>
      </c>
      <c r="P300" s="3">
        <v>-135</v>
      </c>
    </row>
    <row r="301" spans="1:16" hidden="1" x14ac:dyDescent="0.3">
      <c r="A301">
        <v>18</v>
      </c>
      <c r="B301" t="str">
        <f>VLOOKUP($A301,[1]LISTA!$B:$C,2,0)</f>
        <v>MAYO</v>
      </c>
      <c r="C301" s="1">
        <v>2025</v>
      </c>
      <c r="D301" s="1" t="str">
        <f>IF($A301&lt;=[1]RESULTADOS!$D$6,"YTD","YTG")</f>
        <v>YTD</v>
      </c>
      <c r="E301" t="s">
        <v>31</v>
      </c>
      <c r="F301" t="s">
        <v>18</v>
      </c>
      <c r="G301" t="s">
        <v>29</v>
      </c>
      <c r="H301" t="s">
        <v>113</v>
      </c>
      <c r="I301" t="s">
        <v>73</v>
      </c>
      <c r="J301" t="str">
        <f>IFERROR(VLOOKUP(I301,[1]AUTOS!$C:$G,2,0),"")</f>
        <v>VERSA</v>
      </c>
      <c r="K301">
        <f>IFERROR(VLOOKUP(I301,[1]AUTOS!$C:$G,3,0),"")</f>
        <v>2023</v>
      </c>
      <c r="L301" t="str">
        <f>IFERROR(VLOOKUP(I301,[1]AUTOS!$C:$G,4,0),"")</f>
        <v>PLATA</v>
      </c>
      <c r="M301" t="s">
        <v>43</v>
      </c>
      <c r="P301" s="3">
        <v>-150</v>
      </c>
    </row>
    <row r="302" spans="1:16" x14ac:dyDescent="0.3">
      <c r="A302">
        <v>18</v>
      </c>
      <c r="B302" t="str">
        <f>VLOOKUP($A302,[1]LISTA!$B:$C,2,0)</f>
        <v>MAYO</v>
      </c>
      <c r="C302" s="1">
        <v>2025</v>
      </c>
      <c r="D302" s="1" t="str">
        <f>IF($A302&lt;=[1]RESULTADOS!$D$6,"YTD","YTG")</f>
        <v>YTD</v>
      </c>
      <c r="E302" t="s">
        <v>31</v>
      </c>
      <c r="F302" t="s">
        <v>18</v>
      </c>
      <c r="G302" t="s">
        <v>57</v>
      </c>
      <c r="H302" t="s">
        <v>234</v>
      </c>
      <c r="I302" t="s">
        <v>72</v>
      </c>
      <c r="J302" t="str">
        <f>IFERROR(VLOOKUP(I302,[1]AUTOS!$C:$G,2,0),"")</f>
        <v>VENTO</v>
      </c>
      <c r="K302">
        <f>IFERROR(VLOOKUP(I302,[1]AUTOS!$C:$G,3,0),"")</f>
        <v>2020</v>
      </c>
      <c r="L302" t="str">
        <f>IFERROR(VLOOKUP(I302,[1]AUTOS!$C:$G,4,0),"")</f>
        <v>GRIS</v>
      </c>
      <c r="M302" t="s">
        <v>43</v>
      </c>
      <c r="P302" s="3">
        <v>-416</v>
      </c>
    </row>
    <row r="303" spans="1:16" hidden="1" x14ac:dyDescent="0.3">
      <c r="A303">
        <v>18</v>
      </c>
      <c r="B303" t="str">
        <f>VLOOKUP($A303,[1]LISTA!$B:$C,2,0)</f>
        <v>MAYO</v>
      </c>
      <c r="C303" s="1">
        <v>2025</v>
      </c>
      <c r="D303" s="1" t="str">
        <f>IF($A303&lt;=[1]RESULTADOS!$D$6,"YTD","YTG")</f>
        <v>YTD</v>
      </c>
      <c r="E303" t="s">
        <v>31</v>
      </c>
      <c r="F303" t="s">
        <v>18</v>
      </c>
      <c r="G303" t="s">
        <v>57</v>
      </c>
      <c r="H303" t="s">
        <v>235</v>
      </c>
      <c r="I303" t="s">
        <v>40</v>
      </c>
      <c r="J303" t="str">
        <f>IFERROR(VLOOKUP(I303,[1]AUTOS!$C:$G,2,0),"")</f>
        <v>VERSA</v>
      </c>
      <c r="K303">
        <f>IFERROR(VLOOKUP(I303,[1]AUTOS!$C:$G,3,0),"")</f>
        <v>2017</v>
      </c>
      <c r="L303" t="str">
        <f>IFERROR(VLOOKUP(I303,[1]AUTOS!$C:$G,4,0),"")</f>
        <v>ACERO</v>
      </c>
      <c r="M303" t="s">
        <v>35</v>
      </c>
      <c r="P303" s="3">
        <v>-584</v>
      </c>
    </row>
    <row r="304" spans="1:16" hidden="1" x14ac:dyDescent="0.3">
      <c r="A304">
        <v>19</v>
      </c>
      <c r="B304" t="str">
        <f>VLOOKUP($A304,[1]LISTA!$B:$C,2,0)</f>
        <v>MAYO</v>
      </c>
      <c r="C304" s="1">
        <v>2025</v>
      </c>
      <c r="D304" s="1" t="str">
        <f>IF($A304&lt;=[1]RESULTADOS!$D$6,"YTD","YTG")</f>
        <v>YTD</v>
      </c>
      <c r="E304" t="s">
        <v>17</v>
      </c>
      <c r="F304" t="s">
        <v>18</v>
      </c>
      <c r="G304" t="s">
        <v>142</v>
      </c>
      <c r="H304" t="s">
        <v>236</v>
      </c>
      <c r="I304" t="s">
        <v>21</v>
      </c>
      <c r="J304" t="str">
        <f>IFERROR(VLOOKUP(I304,[1]AUTOS!$C:$G,2,0),"")</f>
        <v/>
      </c>
      <c r="K304" t="str">
        <f>IFERROR(VLOOKUP(I304,[1]AUTOS!$C:$G,3,0),"")</f>
        <v/>
      </c>
      <c r="L304" t="str">
        <f>IFERROR(VLOOKUP(I304,[1]AUTOS!$C:$G,4,0),"")</f>
        <v/>
      </c>
      <c r="M304" t="s">
        <v>22</v>
      </c>
      <c r="P304" s="3">
        <v>-160</v>
      </c>
    </row>
    <row r="305" spans="1:16" hidden="1" x14ac:dyDescent="0.3">
      <c r="A305">
        <v>19</v>
      </c>
      <c r="B305" t="str">
        <f>VLOOKUP($A305,[1]LISTA!$B:$C,2,0)</f>
        <v>MAYO</v>
      </c>
      <c r="C305" s="1">
        <v>2025</v>
      </c>
      <c r="D305" s="1" t="str">
        <f>IF($A305&lt;=[1]RESULTADOS!$D$6,"YTD","YTG")</f>
        <v>YTD</v>
      </c>
      <c r="E305" t="s">
        <v>17</v>
      </c>
      <c r="F305" t="s">
        <v>18</v>
      </c>
      <c r="G305" t="s">
        <v>29</v>
      </c>
      <c r="H305" t="s">
        <v>113</v>
      </c>
      <c r="I305" t="s">
        <v>21</v>
      </c>
      <c r="J305" t="str">
        <f>IFERROR(VLOOKUP(I305,[1]AUTOS!$C:$G,2,0),"")</f>
        <v/>
      </c>
      <c r="K305" t="str">
        <f>IFERROR(VLOOKUP(I305,[1]AUTOS!$C:$G,3,0),"")</f>
        <v/>
      </c>
      <c r="L305" t="str">
        <f>IFERROR(VLOOKUP(I305,[1]AUTOS!$C:$G,4,0),"")</f>
        <v/>
      </c>
      <c r="M305" t="s">
        <v>22</v>
      </c>
      <c r="P305" s="3">
        <v>-240</v>
      </c>
    </row>
    <row r="306" spans="1:16" hidden="1" x14ac:dyDescent="0.3">
      <c r="A306">
        <v>19</v>
      </c>
      <c r="B306" t="str">
        <f>VLOOKUP($A306,[1]LISTA!$B:$C,2,0)</f>
        <v>MAYO</v>
      </c>
      <c r="C306" s="1">
        <v>2025</v>
      </c>
      <c r="D306" s="1" t="str">
        <f>IF($A306&lt;=[1]RESULTADOS!$D$6,"YTD","YTG")</f>
        <v>YTD</v>
      </c>
      <c r="E306" t="s">
        <v>31</v>
      </c>
      <c r="F306" t="s">
        <v>18</v>
      </c>
      <c r="G306" t="s">
        <v>53</v>
      </c>
      <c r="H306" t="s">
        <v>233</v>
      </c>
      <c r="I306" t="s">
        <v>182</v>
      </c>
      <c r="J306" t="str">
        <f>IFERROR(VLOOKUP(I306,[1]AUTOS!$C:$G,2,0),"")</f>
        <v>AVEO</v>
      </c>
      <c r="K306">
        <f>IFERROR(VLOOKUP(I306,[1]AUTOS!$C:$G,3,0),"")</f>
        <v>2020</v>
      </c>
      <c r="L306" t="str">
        <f>IFERROR(VLOOKUP(I306,[1]AUTOS!$C:$G,4,0),"")</f>
        <v>AZUL</v>
      </c>
      <c r="M306" t="s">
        <v>43</v>
      </c>
      <c r="P306" s="3">
        <v>-135</v>
      </c>
    </row>
    <row r="307" spans="1:16" hidden="1" x14ac:dyDescent="0.3">
      <c r="A307">
        <v>18</v>
      </c>
      <c r="B307" t="str">
        <f>VLOOKUP($A307,[1]LISTA!$B:$C,2,0)</f>
        <v>MAYO</v>
      </c>
      <c r="C307" s="1">
        <v>2025</v>
      </c>
      <c r="D307" s="1" t="str">
        <f>IF($A307&lt;=[1]RESULTADOS!$D$6,"YTD","YTG")</f>
        <v>YTD</v>
      </c>
      <c r="E307" t="s">
        <v>31</v>
      </c>
      <c r="F307" t="s">
        <v>18</v>
      </c>
      <c r="G307" t="s">
        <v>29</v>
      </c>
      <c r="H307" t="s">
        <v>113</v>
      </c>
      <c r="I307" t="s">
        <v>162</v>
      </c>
      <c r="J307" t="str">
        <f>IFERROR(VLOOKUP(I307,[1]AUTOS!$C:$G,2,0),"")</f>
        <v>HYUNDAI</v>
      </c>
      <c r="K307">
        <f>IFERROR(VLOOKUP(I307,[1]AUTOS!$C:$G,3,0),"")</f>
        <v>2022</v>
      </c>
      <c r="L307" t="str">
        <f>IFERROR(VLOOKUP(I307,[1]AUTOS!$C:$G,4,0),"")</f>
        <v>PLATA</v>
      </c>
      <c r="M307" t="s">
        <v>43</v>
      </c>
      <c r="P307" s="3">
        <v>-200</v>
      </c>
    </row>
    <row r="308" spans="1:16" hidden="1" x14ac:dyDescent="0.3">
      <c r="A308">
        <v>18</v>
      </c>
      <c r="B308" t="str">
        <f>VLOOKUP($A308,[1]LISTA!$B:$C,2,0)</f>
        <v>MAYO</v>
      </c>
      <c r="C308" s="1">
        <v>2025</v>
      </c>
      <c r="D308" s="1" t="str">
        <f>IF($A308&lt;=[1]RESULTADOS!$D$6,"YTD","YTG")</f>
        <v>YTD</v>
      </c>
      <c r="E308" t="s">
        <v>31</v>
      </c>
      <c r="F308" t="s">
        <v>18</v>
      </c>
      <c r="G308" t="s">
        <v>23</v>
      </c>
      <c r="H308" t="s">
        <v>237</v>
      </c>
      <c r="I308" t="s">
        <v>162</v>
      </c>
      <c r="J308" t="str">
        <f>IFERROR(VLOOKUP(I308,[1]AUTOS!$C:$G,2,0),"")</f>
        <v>HYUNDAI</v>
      </c>
      <c r="K308">
        <f>IFERROR(VLOOKUP(I308,[1]AUTOS!$C:$G,3,0),"")</f>
        <v>2022</v>
      </c>
      <c r="L308" t="str">
        <f>IFERROR(VLOOKUP(I308,[1]AUTOS!$C:$G,4,0),"")</f>
        <v>PLATA</v>
      </c>
      <c r="M308" t="s">
        <v>43</v>
      </c>
      <c r="P308" s="3">
        <v>-22</v>
      </c>
    </row>
    <row r="309" spans="1:16" hidden="1" x14ac:dyDescent="0.3">
      <c r="A309">
        <v>19</v>
      </c>
      <c r="B309" t="str">
        <f>VLOOKUP($A309,[1]LISTA!$B:$C,2,0)</f>
        <v>MAYO</v>
      </c>
      <c r="C309" s="1">
        <v>2025</v>
      </c>
      <c r="D309" s="1" t="str">
        <f>IF($A309&lt;=[1]RESULTADOS!$D$6,"YTD","YTG")</f>
        <v>YTD</v>
      </c>
      <c r="E309" t="s">
        <v>17</v>
      </c>
      <c r="F309" t="s">
        <v>18</v>
      </c>
      <c r="G309" t="s">
        <v>23</v>
      </c>
      <c r="H309" t="s">
        <v>238</v>
      </c>
      <c r="I309" t="s">
        <v>21</v>
      </c>
      <c r="J309" t="str">
        <f>IFERROR(VLOOKUP(I309,[1]AUTOS!$C:$G,2,0),"")</f>
        <v/>
      </c>
      <c r="K309" t="str">
        <f>IFERROR(VLOOKUP(I309,[1]AUTOS!$C:$G,3,0),"")</f>
        <v/>
      </c>
      <c r="L309" t="str">
        <f>IFERROR(VLOOKUP(I309,[1]AUTOS!$C:$G,4,0),"")</f>
        <v/>
      </c>
      <c r="M309" t="s">
        <v>22</v>
      </c>
      <c r="P309" s="3">
        <v>-10</v>
      </c>
    </row>
    <row r="310" spans="1:16" hidden="1" x14ac:dyDescent="0.3">
      <c r="A310">
        <v>18</v>
      </c>
      <c r="B310" t="str">
        <f>VLOOKUP($A310,[1]LISTA!$B:$C,2,0)</f>
        <v>MAYO</v>
      </c>
      <c r="C310" s="1">
        <v>2025</v>
      </c>
      <c r="D310" s="1" t="str">
        <f>IF($A310&lt;=[1]RESULTADOS!$D$6,"YTD","YTG")</f>
        <v>YTD</v>
      </c>
      <c r="E310" t="s">
        <v>31</v>
      </c>
      <c r="F310" t="s">
        <v>18</v>
      </c>
      <c r="G310" t="s">
        <v>57</v>
      </c>
      <c r="H310" t="s">
        <v>239</v>
      </c>
      <c r="I310" t="s">
        <v>131</v>
      </c>
      <c r="J310" t="str">
        <f>IFERROR(VLOOKUP(I310,[1]AUTOS!$C:$G,2,0),"")</f>
        <v>AVEO</v>
      </c>
      <c r="K310">
        <f>IFERROR(VLOOKUP(I310,[1]AUTOS!$C:$G,3,0),"")</f>
        <v>2024</v>
      </c>
      <c r="L310" t="str">
        <f>IFERROR(VLOOKUP(I310,[1]AUTOS!$C:$G,4,0),"")</f>
        <v>GRIS</v>
      </c>
      <c r="M310" t="s">
        <v>43</v>
      </c>
      <c r="P310" s="3">
        <v>-350</v>
      </c>
    </row>
    <row r="311" spans="1:16" hidden="1" x14ac:dyDescent="0.3">
      <c r="A311">
        <v>18</v>
      </c>
      <c r="B311" t="str">
        <f>VLOOKUP($A311,[1]LISTA!$B:$C,2,0)</f>
        <v>MAYO</v>
      </c>
      <c r="C311" s="1">
        <v>2025</v>
      </c>
      <c r="D311" s="1" t="str">
        <f>IF($A311&lt;=[1]RESULTADOS!$D$6,"YTD","YTG")</f>
        <v>YTD</v>
      </c>
      <c r="E311" t="s">
        <v>31</v>
      </c>
      <c r="F311" t="s">
        <v>18</v>
      </c>
      <c r="G311" t="s">
        <v>57</v>
      </c>
      <c r="H311" t="s">
        <v>240</v>
      </c>
      <c r="I311" t="s">
        <v>162</v>
      </c>
      <c r="J311" t="str">
        <f>IFERROR(VLOOKUP(I311,[1]AUTOS!$C:$G,2,0),"")</f>
        <v>HYUNDAI</v>
      </c>
      <c r="K311">
        <f>IFERROR(VLOOKUP(I311,[1]AUTOS!$C:$G,3,0),"")</f>
        <v>2022</v>
      </c>
      <c r="L311" t="str">
        <f>IFERROR(VLOOKUP(I311,[1]AUTOS!$C:$G,4,0),"")</f>
        <v>PLATA</v>
      </c>
      <c r="M311" t="s">
        <v>43</v>
      </c>
      <c r="P311" s="3">
        <v>-250</v>
      </c>
    </row>
    <row r="312" spans="1:16" hidden="1" x14ac:dyDescent="0.3">
      <c r="A312">
        <v>18</v>
      </c>
      <c r="B312" t="str">
        <f>VLOOKUP($A312,[1]LISTA!$B:$C,2,0)</f>
        <v>MAYO</v>
      </c>
      <c r="C312" s="1">
        <v>2025</v>
      </c>
      <c r="D312" s="1" t="str">
        <f>IF($A312&lt;=[1]RESULTADOS!$D$6,"YTD","YTG")</f>
        <v>YTD</v>
      </c>
      <c r="E312" t="s">
        <v>31</v>
      </c>
      <c r="F312" t="s">
        <v>18</v>
      </c>
      <c r="G312" t="s">
        <v>57</v>
      </c>
      <c r="H312" t="s">
        <v>239</v>
      </c>
      <c r="I312" t="s">
        <v>42</v>
      </c>
      <c r="J312" t="str">
        <f>IFERROR(VLOOKUP(I312,[1]AUTOS!$C:$G,2,0),"")</f>
        <v>VENTO</v>
      </c>
      <c r="K312">
        <f>IFERROR(VLOOKUP(I312,[1]AUTOS!$C:$G,3,0),"")</f>
        <v>2018</v>
      </c>
      <c r="L312" t="str">
        <f>IFERROR(VLOOKUP(I312,[1]AUTOS!$C:$G,4,0),"")</f>
        <v>AMARILLO</v>
      </c>
      <c r="M312" t="s">
        <v>43</v>
      </c>
      <c r="P312" s="3">
        <v>-250</v>
      </c>
    </row>
    <row r="313" spans="1:16" hidden="1" x14ac:dyDescent="0.3">
      <c r="A313">
        <v>18</v>
      </c>
      <c r="B313" t="str">
        <f>VLOOKUP($A313,[1]LISTA!$B:$C,2,0)</f>
        <v>MAYO</v>
      </c>
      <c r="C313" s="1">
        <v>2025</v>
      </c>
      <c r="D313" s="1" t="str">
        <f>IF($A313&lt;=[1]RESULTADOS!$D$6,"YTD","YTG")</f>
        <v>YTD</v>
      </c>
      <c r="E313" t="s">
        <v>31</v>
      </c>
      <c r="F313" t="s">
        <v>18</v>
      </c>
      <c r="G313" t="s">
        <v>142</v>
      </c>
      <c r="H313" t="s">
        <v>217</v>
      </c>
      <c r="I313" t="s">
        <v>34</v>
      </c>
      <c r="J313" t="str">
        <f>IFERROR(VLOOKUP(I313,[1]AUTOS!$C:$G,2,0),"")</f>
        <v>AVEO</v>
      </c>
      <c r="K313">
        <f>IFERROR(VLOOKUP(I313,[1]AUTOS!$C:$G,3,0),"")</f>
        <v>2018</v>
      </c>
      <c r="L313" t="str">
        <f>IFERROR(VLOOKUP(I313,[1]AUTOS!$C:$G,4,0),"")</f>
        <v>ROJO</v>
      </c>
      <c r="M313" t="s">
        <v>35</v>
      </c>
      <c r="P313" s="3">
        <v>-5000</v>
      </c>
    </row>
    <row r="314" spans="1:16" hidden="1" x14ac:dyDescent="0.3">
      <c r="A314">
        <v>18</v>
      </c>
      <c r="B314" t="str">
        <f>VLOOKUP($A314,[1]LISTA!$B:$C,2,0)</f>
        <v>MAYO</v>
      </c>
      <c r="C314" s="1">
        <v>2025</v>
      </c>
      <c r="D314" s="1" t="str">
        <f>IF($A314&lt;=[1]RESULTADOS!$D$6,"YTD","YTG")</f>
        <v>YTD</v>
      </c>
      <c r="E314" t="s">
        <v>31</v>
      </c>
      <c r="F314" t="s">
        <v>18</v>
      </c>
      <c r="G314" t="s">
        <v>41</v>
      </c>
      <c r="H314" t="s">
        <v>41</v>
      </c>
      <c r="I314" t="s">
        <v>162</v>
      </c>
      <c r="J314" t="str">
        <f>IFERROR(VLOOKUP(I314,[1]AUTOS!$C:$G,2,0),"")</f>
        <v>HYUNDAI</v>
      </c>
      <c r="K314">
        <f>IFERROR(VLOOKUP(I314,[1]AUTOS!$C:$G,3,0),"")</f>
        <v>2022</v>
      </c>
      <c r="L314" t="str">
        <f>IFERROR(VLOOKUP(I314,[1]AUTOS!$C:$G,4,0),"")</f>
        <v>PLATA</v>
      </c>
      <c r="M314" t="s">
        <v>43</v>
      </c>
      <c r="P314" s="3">
        <v>-1530</v>
      </c>
    </row>
    <row r="315" spans="1:16" hidden="1" x14ac:dyDescent="0.3">
      <c r="A315">
        <v>18</v>
      </c>
      <c r="B315" t="str">
        <f>VLOOKUP($A315,[1]LISTA!$B:$C,2,0)</f>
        <v>MAYO</v>
      </c>
      <c r="C315" s="1">
        <v>2025</v>
      </c>
      <c r="D315" s="1" t="str">
        <f>IF($A315&lt;=[1]RESULTADOS!$D$6,"YTD","YTG")</f>
        <v>YTD</v>
      </c>
      <c r="E315" t="s">
        <v>31</v>
      </c>
      <c r="F315" t="s">
        <v>18</v>
      </c>
      <c r="G315" t="s">
        <v>41</v>
      </c>
      <c r="H315" t="s">
        <v>41</v>
      </c>
      <c r="I315" t="s">
        <v>67</v>
      </c>
      <c r="J315" t="str">
        <f>IFERROR(VLOOKUP(I315,[1]AUTOS!$C:$G,2,0),"")</f>
        <v>KIA RIO</v>
      </c>
      <c r="K315">
        <f>IFERROR(VLOOKUP(I315,[1]AUTOS!$C:$G,3,0),"")</f>
        <v>2020</v>
      </c>
      <c r="L315" t="str">
        <f>IFERROR(VLOOKUP(I315,[1]AUTOS!$C:$G,4,0),"")</f>
        <v>GRIS</v>
      </c>
      <c r="M315" t="s">
        <v>43</v>
      </c>
      <c r="P315" s="3">
        <v>-1530</v>
      </c>
    </row>
    <row r="316" spans="1:16" hidden="1" x14ac:dyDescent="0.3">
      <c r="A316">
        <v>18</v>
      </c>
      <c r="B316" t="str">
        <f>VLOOKUP($A316,[1]LISTA!$B:$C,2,0)</f>
        <v>MAYO</v>
      </c>
      <c r="C316" s="1">
        <v>2025</v>
      </c>
      <c r="D316" s="1" t="str">
        <f>IF($A316&lt;=[1]RESULTADOS!$D$6,"YTD","YTG")</f>
        <v>YTD</v>
      </c>
      <c r="E316" t="s">
        <v>31</v>
      </c>
      <c r="F316" t="s">
        <v>18</v>
      </c>
      <c r="G316" t="s">
        <v>62</v>
      </c>
      <c r="H316" t="s">
        <v>241</v>
      </c>
      <c r="I316" t="s">
        <v>59</v>
      </c>
      <c r="J316" t="str">
        <f>IFERROR(VLOOKUP(I316,[1]AUTOS!$C:$G,2,0),"")</f>
        <v>AVEO</v>
      </c>
      <c r="K316">
        <f>IFERROR(VLOOKUP(I316,[1]AUTOS!$C:$G,3,0),"")</f>
        <v>2019</v>
      </c>
      <c r="L316" t="str">
        <f>IFERROR(VLOOKUP(I316,[1]AUTOS!$C:$G,4,0),"")</f>
        <v>BLANCO</v>
      </c>
      <c r="M316" t="s">
        <v>43</v>
      </c>
      <c r="P316" s="3">
        <v>-400</v>
      </c>
    </row>
    <row r="317" spans="1:16" hidden="1" x14ac:dyDescent="0.3">
      <c r="A317">
        <v>18</v>
      </c>
      <c r="B317" t="str">
        <f>VLOOKUP($A317,[1]LISTA!$B:$C,2,0)</f>
        <v>MAYO</v>
      </c>
      <c r="C317" s="1">
        <v>2025</v>
      </c>
      <c r="D317" s="1" t="str">
        <f>IF($A317&lt;=[1]RESULTADOS!$D$6,"YTD","YTG")</f>
        <v>YTD</v>
      </c>
      <c r="E317" t="s">
        <v>31</v>
      </c>
      <c r="F317" t="s">
        <v>18</v>
      </c>
      <c r="G317" t="s">
        <v>48</v>
      </c>
      <c r="H317" t="s">
        <v>242</v>
      </c>
      <c r="I317" t="s">
        <v>116</v>
      </c>
      <c r="J317" t="str">
        <f>IFERROR(VLOOKUP(I317,[1]AUTOS!$C:$G,2,0),"")</f>
        <v>AVEO</v>
      </c>
      <c r="K317">
        <f>IFERROR(VLOOKUP(I317,[1]AUTOS!$C:$G,3,0),"")</f>
        <v>2022</v>
      </c>
      <c r="L317" t="str">
        <f>IFERROR(VLOOKUP(I317,[1]AUTOS!$C:$G,4,0),"")</f>
        <v>AZUL</v>
      </c>
      <c r="M317" t="s">
        <v>43</v>
      </c>
      <c r="P317" s="3">
        <v>-280</v>
      </c>
    </row>
    <row r="318" spans="1:16" x14ac:dyDescent="0.3">
      <c r="A318">
        <v>18</v>
      </c>
      <c r="B318" t="str">
        <f>VLOOKUP($A318,[1]LISTA!$B:$C,2,0)</f>
        <v>MAYO</v>
      </c>
      <c r="C318" s="1">
        <v>2025</v>
      </c>
      <c r="D318" s="1" t="str">
        <f>IF($A318&lt;=[1]RESULTADOS!$D$6,"YTD","YTG")</f>
        <v>YTD</v>
      </c>
      <c r="E318" t="s">
        <v>31</v>
      </c>
      <c r="F318" t="s">
        <v>18</v>
      </c>
      <c r="G318" t="s">
        <v>48</v>
      </c>
      <c r="H318" t="s">
        <v>242</v>
      </c>
      <c r="I318" t="s">
        <v>72</v>
      </c>
      <c r="J318" t="str">
        <f>IFERROR(VLOOKUP(I318,[1]AUTOS!$C:$G,2,0),"")</f>
        <v>VENTO</v>
      </c>
      <c r="K318">
        <f>IFERROR(VLOOKUP(I318,[1]AUTOS!$C:$G,3,0),"")</f>
        <v>2020</v>
      </c>
      <c r="L318" t="str">
        <f>IFERROR(VLOOKUP(I318,[1]AUTOS!$C:$G,4,0),"")</f>
        <v>GRIS</v>
      </c>
      <c r="M318" t="s">
        <v>43</v>
      </c>
      <c r="P318" s="3">
        <v>-280</v>
      </c>
    </row>
    <row r="319" spans="1:16" hidden="1" x14ac:dyDescent="0.3">
      <c r="A319">
        <v>18</v>
      </c>
      <c r="B319" t="str">
        <f>VLOOKUP($A319,[1]LISTA!$B:$C,2,0)</f>
        <v>MAYO</v>
      </c>
      <c r="C319" s="1">
        <v>2025</v>
      </c>
      <c r="D319" s="1" t="str">
        <f>IF($A319&lt;=[1]RESULTADOS!$D$6,"YTD","YTG")</f>
        <v>YTD</v>
      </c>
      <c r="E319" t="s">
        <v>31</v>
      </c>
      <c r="F319" t="s">
        <v>18</v>
      </c>
      <c r="G319" t="s">
        <v>141</v>
      </c>
      <c r="H319" t="s">
        <v>243</v>
      </c>
      <c r="I319" t="s">
        <v>139</v>
      </c>
      <c r="J319" t="str">
        <f>IFERROR(VLOOKUP(I319,[1]AUTOS!$C:$G,2,0),"")</f>
        <v>SWIFT</v>
      </c>
      <c r="K319">
        <f>IFERROR(VLOOKUP(I319,[1]AUTOS!$C:$G,3,0),"")</f>
        <v>2017</v>
      </c>
      <c r="L319" t="str">
        <f>IFERROR(VLOOKUP(I319,[1]AUTOS!$C:$G,4,0),"")</f>
        <v>ROJO</v>
      </c>
      <c r="M319" t="s">
        <v>140</v>
      </c>
      <c r="P319" s="3">
        <v>-1350</v>
      </c>
    </row>
    <row r="320" spans="1:16" hidden="1" x14ac:dyDescent="0.3">
      <c r="A320">
        <v>18</v>
      </c>
      <c r="B320" t="str">
        <f>VLOOKUP($A320,[1]LISTA!$B:$C,2,0)</f>
        <v>MAYO</v>
      </c>
      <c r="C320" s="1">
        <v>2025</v>
      </c>
      <c r="D320" s="1" t="str">
        <f>IF($A320&lt;=[1]RESULTADOS!$D$6,"YTD","YTG")</f>
        <v>YTD</v>
      </c>
      <c r="E320" t="s">
        <v>31</v>
      </c>
      <c r="F320" t="s">
        <v>18</v>
      </c>
      <c r="G320" t="s">
        <v>77</v>
      </c>
      <c r="H320" t="s">
        <v>78</v>
      </c>
      <c r="I320" t="s">
        <v>131</v>
      </c>
      <c r="J320" t="str">
        <f>IFERROR(VLOOKUP(I320,[1]AUTOS!$C:$G,2,0),"")</f>
        <v>AVEO</v>
      </c>
      <c r="K320">
        <f>IFERROR(VLOOKUP(I320,[1]AUTOS!$C:$G,3,0),"")</f>
        <v>2024</v>
      </c>
      <c r="L320" t="str">
        <f>IFERROR(VLOOKUP(I320,[1]AUTOS!$C:$G,4,0),"")</f>
        <v>GRIS</v>
      </c>
      <c r="M320" t="s">
        <v>43</v>
      </c>
      <c r="P320" s="3">
        <v>-700</v>
      </c>
    </row>
    <row r="321" spans="1:16" hidden="1" x14ac:dyDescent="0.3">
      <c r="A321">
        <v>18</v>
      </c>
      <c r="B321" t="str">
        <f>VLOOKUP($A321,[1]LISTA!$B:$C,2,0)</f>
        <v>MAYO</v>
      </c>
      <c r="C321" s="1">
        <v>2025</v>
      </c>
      <c r="D321" s="1" t="str">
        <f>IF($A321&lt;=[1]RESULTADOS!$D$6,"YTD","YTG")</f>
        <v>YTD</v>
      </c>
      <c r="E321" t="s">
        <v>31</v>
      </c>
      <c r="F321" t="s">
        <v>18</v>
      </c>
      <c r="G321" t="s">
        <v>48</v>
      </c>
      <c r="H321" t="s">
        <v>242</v>
      </c>
      <c r="I321" t="s">
        <v>131</v>
      </c>
      <c r="J321" t="str">
        <f>IFERROR(VLOOKUP(I321,[1]AUTOS!$C:$G,2,0),"")</f>
        <v>AVEO</v>
      </c>
      <c r="K321">
        <f>IFERROR(VLOOKUP(I321,[1]AUTOS!$C:$G,3,0),"")</f>
        <v>2024</v>
      </c>
      <c r="L321" t="str">
        <f>IFERROR(VLOOKUP(I321,[1]AUTOS!$C:$G,4,0),"")</f>
        <v>GRIS</v>
      </c>
      <c r="M321" t="s">
        <v>43</v>
      </c>
      <c r="P321" s="3">
        <v>-300</v>
      </c>
    </row>
    <row r="322" spans="1:16" hidden="1" x14ac:dyDescent="0.3">
      <c r="A322">
        <v>18</v>
      </c>
      <c r="B322" t="str">
        <f>VLOOKUP($A322,[1]LISTA!$B:$C,2,0)</f>
        <v>MAYO</v>
      </c>
      <c r="C322" s="1">
        <v>2025</v>
      </c>
      <c r="D322" s="1" t="str">
        <f>IF($A322&lt;=[1]RESULTADOS!$D$6,"YTD","YTG")</f>
        <v>YTD</v>
      </c>
      <c r="E322" t="s">
        <v>31</v>
      </c>
      <c r="F322" t="s">
        <v>18</v>
      </c>
      <c r="G322" t="s">
        <v>57</v>
      </c>
      <c r="H322" t="s">
        <v>234</v>
      </c>
      <c r="I322" t="s">
        <v>73</v>
      </c>
      <c r="J322" t="str">
        <f>IFERROR(VLOOKUP(I322,[1]AUTOS!$C:$G,2,0),"")</f>
        <v>VERSA</v>
      </c>
      <c r="K322">
        <f>IFERROR(VLOOKUP(I322,[1]AUTOS!$C:$G,3,0),"")</f>
        <v>2023</v>
      </c>
      <c r="L322" t="str">
        <f>IFERROR(VLOOKUP(I322,[1]AUTOS!$C:$G,4,0),"")</f>
        <v>PLATA</v>
      </c>
      <c r="M322" t="s">
        <v>43</v>
      </c>
      <c r="P322" s="3">
        <v>-403</v>
      </c>
    </row>
    <row r="323" spans="1:16" hidden="1" x14ac:dyDescent="0.3">
      <c r="A323">
        <v>18</v>
      </c>
      <c r="B323" t="str">
        <f>VLOOKUP($A323,[1]LISTA!$B:$C,2,0)</f>
        <v>MAYO</v>
      </c>
      <c r="C323" s="1">
        <v>2025</v>
      </c>
      <c r="D323" s="1" t="str">
        <f>IF($A323&lt;=[1]RESULTADOS!$D$6,"YTD","YTG")</f>
        <v>YTD</v>
      </c>
      <c r="E323" t="s">
        <v>31</v>
      </c>
      <c r="F323" t="s">
        <v>18</v>
      </c>
      <c r="G323" t="s">
        <v>38</v>
      </c>
      <c r="H323" t="s">
        <v>195</v>
      </c>
      <c r="I323" t="s">
        <v>139</v>
      </c>
      <c r="J323" t="str">
        <f>IFERROR(VLOOKUP(I323,[1]AUTOS!$C:$G,2,0),"")</f>
        <v>SWIFT</v>
      </c>
      <c r="K323">
        <f>IFERROR(VLOOKUP(I323,[1]AUTOS!$C:$G,3,0),"")</f>
        <v>2017</v>
      </c>
      <c r="L323" t="str">
        <f>IFERROR(VLOOKUP(I323,[1]AUTOS!$C:$G,4,0),"")</f>
        <v>ROJO</v>
      </c>
      <c r="M323" t="s">
        <v>140</v>
      </c>
      <c r="P323" s="3">
        <v>-458</v>
      </c>
    </row>
    <row r="324" spans="1:16" hidden="1" x14ac:dyDescent="0.3">
      <c r="A324">
        <v>18</v>
      </c>
      <c r="B324" t="str">
        <f>VLOOKUP($A324,[1]LISTA!$B:$C,2,0)</f>
        <v>MAYO</v>
      </c>
      <c r="C324" s="1">
        <v>2025</v>
      </c>
      <c r="D324" s="1" t="str">
        <f>IF($A324&lt;=[1]RESULTADOS!$D$6,"YTD","YTG")</f>
        <v>YTD</v>
      </c>
      <c r="E324" t="s">
        <v>31</v>
      </c>
      <c r="F324" t="s">
        <v>18</v>
      </c>
      <c r="G324" t="s">
        <v>38</v>
      </c>
      <c r="H324" t="s">
        <v>193</v>
      </c>
      <c r="I324" t="s">
        <v>139</v>
      </c>
      <c r="J324" t="str">
        <f>IFERROR(VLOOKUP(I324,[1]AUTOS!$C:$G,2,0),"")</f>
        <v>SWIFT</v>
      </c>
      <c r="K324">
        <f>IFERROR(VLOOKUP(I324,[1]AUTOS!$C:$G,3,0),"")</f>
        <v>2017</v>
      </c>
      <c r="L324" t="str">
        <f>IFERROR(VLOOKUP(I324,[1]AUTOS!$C:$G,4,0),"")</f>
        <v>ROJO</v>
      </c>
      <c r="M324" t="s">
        <v>140</v>
      </c>
      <c r="P324" s="3">
        <v>-50</v>
      </c>
    </row>
    <row r="325" spans="1:16" hidden="1" x14ac:dyDescent="0.3">
      <c r="A325">
        <v>18</v>
      </c>
      <c r="B325" t="str">
        <f>VLOOKUP($A325,[1]LISTA!$B:$C,2,0)</f>
        <v>MAYO</v>
      </c>
      <c r="C325" s="1">
        <v>2025</v>
      </c>
      <c r="D325" s="1" t="str">
        <f>IF($A325&lt;=[1]RESULTADOS!$D$6,"YTD","YTG")</f>
        <v>YTD</v>
      </c>
      <c r="E325" t="s">
        <v>31</v>
      </c>
      <c r="F325" t="s">
        <v>18</v>
      </c>
      <c r="G325" t="s">
        <v>38</v>
      </c>
      <c r="H325" t="s">
        <v>244</v>
      </c>
      <c r="I325" t="s">
        <v>139</v>
      </c>
      <c r="J325" t="str">
        <f>IFERROR(VLOOKUP(I325,[1]AUTOS!$C:$G,2,0),"")</f>
        <v>SWIFT</v>
      </c>
      <c r="K325">
        <f>IFERROR(VLOOKUP(I325,[1]AUTOS!$C:$G,3,0),"")</f>
        <v>2017</v>
      </c>
      <c r="L325" t="str">
        <f>IFERROR(VLOOKUP(I325,[1]AUTOS!$C:$G,4,0),"")</f>
        <v>ROJO</v>
      </c>
      <c r="M325" t="s">
        <v>140</v>
      </c>
      <c r="P325" s="3">
        <v>-158</v>
      </c>
    </row>
    <row r="326" spans="1:16" hidden="1" x14ac:dyDescent="0.3">
      <c r="A326">
        <v>18</v>
      </c>
      <c r="B326" t="str">
        <f>VLOOKUP($A326,[1]LISTA!$B:$C,2,0)</f>
        <v>MAYO</v>
      </c>
      <c r="C326" s="1">
        <v>2025</v>
      </c>
      <c r="D326" s="1" t="str">
        <f>IF($A326&lt;=[1]RESULTADOS!$D$6,"YTD","YTG")</f>
        <v>YTD</v>
      </c>
      <c r="E326" t="s">
        <v>17</v>
      </c>
      <c r="F326" t="s">
        <v>18</v>
      </c>
      <c r="G326" t="s">
        <v>57</v>
      </c>
      <c r="H326" t="s">
        <v>245</v>
      </c>
      <c r="I326" t="s">
        <v>21</v>
      </c>
      <c r="J326" t="str">
        <f>IFERROR(VLOOKUP(I326,[1]AUTOS!$C:$G,2,0),"")</f>
        <v/>
      </c>
      <c r="K326" t="str">
        <f>IFERROR(VLOOKUP(I326,[1]AUTOS!$C:$G,3,0),"")</f>
        <v/>
      </c>
      <c r="L326" t="str">
        <f>IFERROR(VLOOKUP(I326,[1]AUTOS!$C:$G,4,0),"")</f>
        <v/>
      </c>
      <c r="M326" t="s">
        <v>22</v>
      </c>
      <c r="P326" s="3">
        <v>-820</v>
      </c>
    </row>
    <row r="327" spans="1:16" hidden="1" x14ac:dyDescent="0.3">
      <c r="A327">
        <v>19</v>
      </c>
      <c r="B327" t="str">
        <f>VLOOKUP($A327,[1]LISTA!$B:$C,2,0)</f>
        <v>MAYO</v>
      </c>
      <c r="C327" s="1">
        <v>2025</v>
      </c>
      <c r="D327" s="1" t="str">
        <f>IF($A327&lt;=[1]RESULTADOS!$D$6,"YTD","YTG")</f>
        <v>YTD</v>
      </c>
      <c r="E327" t="s">
        <v>31</v>
      </c>
      <c r="F327" t="s">
        <v>18</v>
      </c>
      <c r="G327" t="s">
        <v>41</v>
      </c>
      <c r="H327" t="s">
        <v>246</v>
      </c>
      <c r="I327" t="s">
        <v>34</v>
      </c>
      <c r="J327" t="str">
        <f>IFERROR(VLOOKUP(I327,[1]AUTOS!$C:$G,2,0),"")</f>
        <v>AVEO</v>
      </c>
      <c r="K327">
        <f>IFERROR(VLOOKUP(I327,[1]AUTOS!$C:$G,3,0),"")</f>
        <v>2018</v>
      </c>
      <c r="L327" t="str">
        <f>IFERROR(VLOOKUP(I327,[1]AUTOS!$C:$G,4,0),"")</f>
        <v>ROJO</v>
      </c>
      <c r="M327" t="s">
        <v>35</v>
      </c>
      <c r="P327" s="3">
        <v>-600</v>
      </c>
    </row>
    <row r="328" spans="1:16" hidden="1" x14ac:dyDescent="0.3">
      <c r="A328">
        <v>19</v>
      </c>
      <c r="B328" t="str">
        <f>VLOOKUP($A328,[1]LISTA!$B:$C,2,0)</f>
        <v>MAYO</v>
      </c>
      <c r="C328" s="1">
        <v>2025</v>
      </c>
      <c r="D328" s="1" t="str">
        <f>IF($A328&lt;=[1]RESULTADOS!$D$6,"YTD","YTG")</f>
        <v>YTD</v>
      </c>
      <c r="E328" t="s">
        <v>31</v>
      </c>
      <c r="F328" t="s">
        <v>18</v>
      </c>
      <c r="G328" t="s">
        <v>41</v>
      </c>
      <c r="H328" t="s">
        <v>246</v>
      </c>
      <c r="I328" t="s">
        <v>82</v>
      </c>
      <c r="J328" t="str">
        <f>IFERROR(VLOOKUP(I328,[1]AUTOS!$C:$G,2,0),"")</f>
        <v>AVEO</v>
      </c>
      <c r="K328">
        <f>IFERROR(VLOOKUP(I328,[1]AUTOS!$C:$G,3,0),"")</f>
        <v>2019</v>
      </c>
      <c r="L328" t="str">
        <f>IFERROR(VLOOKUP(I328,[1]AUTOS!$C:$G,4,0),"")</f>
        <v>PLATA</v>
      </c>
      <c r="M328" t="s">
        <v>43</v>
      </c>
      <c r="P328" s="3">
        <v>-600</v>
      </c>
    </row>
    <row r="329" spans="1:16" hidden="1" x14ac:dyDescent="0.3">
      <c r="A329">
        <v>19</v>
      </c>
      <c r="B329" t="str">
        <f>VLOOKUP($A329,[1]LISTA!$B:$C,2,0)</f>
        <v>MAYO</v>
      </c>
      <c r="C329" s="1">
        <v>2025</v>
      </c>
      <c r="D329" s="1" t="str">
        <f>IF($A329&lt;=[1]RESULTADOS!$D$6,"YTD","YTG")</f>
        <v>YTD</v>
      </c>
      <c r="E329" t="s">
        <v>31</v>
      </c>
      <c r="F329" t="s">
        <v>18</v>
      </c>
      <c r="G329" t="s">
        <v>41</v>
      </c>
      <c r="H329" t="s">
        <v>246</v>
      </c>
      <c r="I329" t="s">
        <v>61</v>
      </c>
      <c r="J329" t="str">
        <f>IFERROR(VLOOKUP(I329,[1]AUTOS!$C:$G,2,0),"")</f>
        <v>KIA RIO</v>
      </c>
      <c r="K329">
        <f>IFERROR(VLOOKUP(I329,[1]AUTOS!$C:$G,3,0),"")</f>
        <v>2017</v>
      </c>
      <c r="L329" t="str">
        <f>IFERROR(VLOOKUP(I329,[1]AUTOS!$C:$G,4,0),"")</f>
        <v>ROJO</v>
      </c>
      <c r="M329" t="s">
        <v>35</v>
      </c>
      <c r="P329" s="3">
        <v>-600</v>
      </c>
    </row>
    <row r="330" spans="1:16" hidden="1" x14ac:dyDescent="0.3">
      <c r="A330">
        <v>19</v>
      </c>
      <c r="B330" t="str">
        <f>VLOOKUP($A330,[1]LISTA!$B:$C,2,0)</f>
        <v>MAYO</v>
      </c>
      <c r="C330" s="1">
        <v>2025</v>
      </c>
      <c r="D330" s="1" t="str">
        <f>IF($A330&lt;=[1]RESULTADOS!$D$6,"YTD","YTG")</f>
        <v>YTD</v>
      </c>
      <c r="E330" t="s">
        <v>31</v>
      </c>
      <c r="F330" t="s">
        <v>18</v>
      </c>
      <c r="G330" t="s">
        <v>41</v>
      </c>
      <c r="H330" t="s">
        <v>246</v>
      </c>
      <c r="I330" t="s">
        <v>76</v>
      </c>
      <c r="J330" t="str">
        <f>IFERROR(VLOOKUP(I330,[1]AUTOS!$C:$G,2,0),"")</f>
        <v>AVEO</v>
      </c>
      <c r="K330">
        <f>IFERROR(VLOOKUP(I330,[1]AUTOS!$C:$G,3,0),"")</f>
        <v>2018</v>
      </c>
      <c r="L330" t="str">
        <f>IFERROR(VLOOKUP(I330,[1]AUTOS!$C:$G,4,0),"")</f>
        <v>GRIS</v>
      </c>
      <c r="M330" t="s">
        <v>43</v>
      </c>
      <c r="P330" s="3">
        <v>-600</v>
      </c>
    </row>
    <row r="331" spans="1:16" hidden="1" x14ac:dyDescent="0.3">
      <c r="A331">
        <v>19</v>
      </c>
      <c r="B331" t="str">
        <f>VLOOKUP($A331,[1]LISTA!$B:$C,2,0)</f>
        <v>MAYO</v>
      </c>
      <c r="C331" s="1">
        <v>2025</v>
      </c>
      <c r="D331" s="1" t="str">
        <f>IF($A331&lt;=[1]RESULTADOS!$D$6,"YTD","YTG")</f>
        <v>YTD</v>
      </c>
      <c r="E331" t="s">
        <v>31</v>
      </c>
      <c r="F331" t="s">
        <v>18</v>
      </c>
      <c r="G331" t="s">
        <v>41</v>
      </c>
      <c r="H331" t="s">
        <v>246</v>
      </c>
      <c r="I331" t="s">
        <v>185</v>
      </c>
      <c r="J331" t="str">
        <f>IFERROR(VLOOKUP(I331,[1]AUTOS!$C:$G,2,0),"")</f>
        <v>MARCH</v>
      </c>
      <c r="K331">
        <f>IFERROR(VLOOKUP(I331,[1]AUTOS!$C:$G,3,0),"")</f>
        <v>2021</v>
      </c>
      <c r="L331" t="str">
        <f>IFERROR(VLOOKUP(I331,[1]AUTOS!$C:$G,4,0),"")</f>
        <v>ROJO</v>
      </c>
      <c r="M331" t="s">
        <v>43</v>
      </c>
      <c r="P331" s="3">
        <v>-600</v>
      </c>
    </row>
    <row r="332" spans="1:16" hidden="1" x14ac:dyDescent="0.3">
      <c r="A332">
        <v>19</v>
      </c>
      <c r="B332" t="str">
        <f>VLOOKUP($A332,[1]LISTA!$B:$C,2,0)</f>
        <v>MAYO</v>
      </c>
      <c r="C332" s="1">
        <v>2025</v>
      </c>
      <c r="D332" s="1" t="str">
        <f>IF($A332&lt;=[1]RESULTADOS!$D$6,"YTD","YTG")</f>
        <v>YTD</v>
      </c>
      <c r="E332" t="s">
        <v>31</v>
      </c>
      <c r="F332" t="s">
        <v>18</v>
      </c>
      <c r="G332" t="s">
        <v>137</v>
      </c>
      <c r="H332" t="s">
        <v>138</v>
      </c>
      <c r="I332" t="s">
        <v>102</v>
      </c>
      <c r="J332" t="str">
        <f>IFERROR(VLOOKUP(I332,[1]AUTOS!$C:$G,2,0),"")</f>
        <v>AVEO</v>
      </c>
      <c r="K332">
        <f>IFERROR(VLOOKUP(I332,[1]AUTOS!$C:$G,3,0),"")</f>
        <v>2022</v>
      </c>
      <c r="L332" t="str">
        <f>IFERROR(VLOOKUP(I332,[1]AUTOS!$C:$G,4,0),"")</f>
        <v>AZUL</v>
      </c>
      <c r="M332" t="s">
        <v>43</v>
      </c>
      <c r="P332" s="3">
        <v>-1724</v>
      </c>
    </row>
    <row r="333" spans="1:16" hidden="1" x14ac:dyDescent="0.3">
      <c r="A333">
        <v>19</v>
      </c>
      <c r="B333" t="str">
        <f>VLOOKUP($A333,[1]LISTA!$B:$C,2,0)</f>
        <v>MAYO</v>
      </c>
      <c r="C333" s="1">
        <v>2025</v>
      </c>
      <c r="D333" s="1" t="str">
        <f>IF($A333&lt;=[1]RESULTADOS!$D$6,"YTD","YTG")</f>
        <v>YTD</v>
      </c>
      <c r="E333" t="s">
        <v>31</v>
      </c>
      <c r="F333" t="s">
        <v>18</v>
      </c>
      <c r="G333" t="s">
        <v>57</v>
      </c>
      <c r="H333" t="s">
        <v>247</v>
      </c>
      <c r="I333" t="s">
        <v>102</v>
      </c>
      <c r="J333" t="str">
        <f>IFERROR(VLOOKUP(I333,[1]AUTOS!$C:$G,2,0),"")</f>
        <v>AVEO</v>
      </c>
      <c r="K333">
        <f>IFERROR(VLOOKUP(I333,[1]AUTOS!$C:$G,3,0),"")</f>
        <v>2022</v>
      </c>
      <c r="L333" t="str">
        <f>IFERROR(VLOOKUP(I333,[1]AUTOS!$C:$G,4,0),"")</f>
        <v>AZUL</v>
      </c>
      <c r="M333" t="s">
        <v>43</v>
      </c>
      <c r="P333" s="3">
        <v>-25</v>
      </c>
    </row>
    <row r="334" spans="1:16" hidden="1" x14ac:dyDescent="0.3">
      <c r="A334">
        <v>19</v>
      </c>
      <c r="B334" t="str">
        <f>VLOOKUP($A334,[1]LISTA!$B:$C,2,0)</f>
        <v>MAYO</v>
      </c>
      <c r="C334" s="1">
        <v>2025</v>
      </c>
      <c r="D334" s="1" t="str">
        <f>IF($A334&lt;=[1]RESULTADOS!$D$6,"YTD","YTG")</f>
        <v>YTD</v>
      </c>
      <c r="E334" t="s">
        <v>31</v>
      </c>
      <c r="F334" t="s">
        <v>18</v>
      </c>
      <c r="G334" t="s">
        <v>29</v>
      </c>
      <c r="H334" t="s">
        <v>248</v>
      </c>
      <c r="I334" t="s">
        <v>42</v>
      </c>
      <c r="J334" t="str">
        <f>IFERROR(VLOOKUP(I334,[1]AUTOS!$C:$G,2,0),"")</f>
        <v>VENTO</v>
      </c>
      <c r="K334">
        <f>IFERROR(VLOOKUP(I334,[1]AUTOS!$C:$G,3,0),"")</f>
        <v>2018</v>
      </c>
      <c r="L334" t="str">
        <f>IFERROR(VLOOKUP(I334,[1]AUTOS!$C:$G,4,0),"")</f>
        <v>AMARILLO</v>
      </c>
      <c r="M334" t="s">
        <v>43</v>
      </c>
      <c r="P334" s="3">
        <v>-1222</v>
      </c>
    </row>
    <row r="335" spans="1:16" hidden="1" x14ac:dyDescent="0.3">
      <c r="A335">
        <v>19</v>
      </c>
      <c r="B335" t="str">
        <f>VLOOKUP($A335,[1]LISTA!$B:$C,2,0)</f>
        <v>MAYO</v>
      </c>
      <c r="C335" s="1">
        <v>2025</v>
      </c>
      <c r="D335" s="1" t="str">
        <f>IF($A335&lt;=[1]RESULTADOS!$D$6,"YTD","YTG")</f>
        <v>YTD</v>
      </c>
      <c r="E335" t="s">
        <v>31</v>
      </c>
      <c r="F335" t="s">
        <v>18</v>
      </c>
      <c r="G335" t="s">
        <v>29</v>
      </c>
      <c r="H335" t="s">
        <v>113</v>
      </c>
      <c r="I335" t="s">
        <v>61</v>
      </c>
      <c r="J335" t="str">
        <f>IFERROR(VLOOKUP(I335,[1]AUTOS!$C:$G,2,0),"")</f>
        <v>KIA RIO</v>
      </c>
      <c r="K335">
        <f>IFERROR(VLOOKUP(I335,[1]AUTOS!$C:$G,3,0),"")</f>
        <v>2017</v>
      </c>
      <c r="L335" t="str">
        <f>IFERROR(VLOOKUP(I335,[1]AUTOS!$C:$G,4,0),"")</f>
        <v>ROJO</v>
      </c>
      <c r="M335" t="s">
        <v>35</v>
      </c>
      <c r="P335" s="3">
        <v>-100</v>
      </c>
    </row>
    <row r="336" spans="1:16" hidden="1" x14ac:dyDescent="0.3">
      <c r="A336">
        <v>19</v>
      </c>
      <c r="B336" t="str">
        <f>VLOOKUP($A336,[1]LISTA!$B:$C,2,0)</f>
        <v>MAYO</v>
      </c>
      <c r="C336" s="1">
        <v>2025</v>
      </c>
      <c r="D336" s="1" t="str">
        <f>IF($A336&lt;=[1]RESULTADOS!$D$6,"YTD","YTG")</f>
        <v>YTD</v>
      </c>
      <c r="E336" t="s">
        <v>31</v>
      </c>
      <c r="F336" t="s">
        <v>18</v>
      </c>
      <c r="G336" t="s">
        <v>77</v>
      </c>
      <c r="H336" t="s">
        <v>78</v>
      </c>
      <c r="I336" t="s">
        <v>61</v>
      </c>
      <c r="J336" t="str">
        <f>IFERROR(VLOOKUP(I336,[1]AUTOS!$C:$G,2,0),"")</f>
        <v>KIA RIO</v>
      </c>
      <c r="K336">
        <f>IFERROR(VLOOKUP(I336,[1]AUTOS!$C:$G,3,0),"")</f>
        <v>2017</v>
      </c>
      <c r="L336" t="str">
        <f>IFERROR(VLOOKUP(I336,[1]AUTOS!$C:$G,4,0),"")</f>
        <v>ROJO</v>
      </c>
      <c r="M336" t="s">
        <v>35</v>
      </c>
      <c r="P336" s="3">
        <v>-820</v>
      </c>
    </row>
    <row r="337" spans="1:16" hidden="1" x14ac:dyDescent="0.3">
      <c r="A337">
        <v>19</v>
      </c>
      <c r="B337" t="str">
        <f>VLOOKUP($A337,[1]LISTA!$B:$C,2,0)</f>
        <v>MAYO</v>
      </c>
      <c r="C337" s="1">
        <v>2025</v>
      </c>
      <c r="D337" s="1" t="str">
        <f>IF($A337&lt;=[1]RESULTADOS!$D$6,"YTD","YTG")</f>
        <v>YTD</v>
      </c>
      <c r="E337" t="s">
        <v>31</v>
      </c>
      <c r="F337" t="s">
        <v>18</v>
      </c>
      <c r="G337" t="s">
        <v>53</v>
      </c>
      <c r="H337" t="s">
        <v>233</v>
      </c>
      <c r="I337" t="s">
        <v>131</v>
      </c>
      <c r="J337" t="str">
        <f>IFERROR(VLOOKUP(I337,[1]AUTOS!$C:$G,2,0),"")</f>
        <v>AVEO</v>
      </c>
      <c r="K337">
        <f>IFERROR(VLOOKUP(I337,[1]AUTOS!$C:$G,3,0),"")</f>
        <v>2024</v>
      </c>
      <c r="L337" t="str">
        <f>IFERROR(VLOOKUP(I337,[1]AUTOS!$C:$G,4,0),"")</f>
        <v>GRIS</v>
      </c>
      <c r="M337" t="s">
        <v>43</v>
      </c>
      <c r="P337" s="3">
        <v>-90</v>
      </c>
    </row>
    <row r="338" spans="1:16" hidden="1" x14ac:dyDescent="0.3">
      <c r="A338">
        <v>19</v>
      </c>
      <c r="B338" t="str">
        <f>VLOOKUP($A338,[1]LISTA!$B:$C,2,0)</f>
        <v>MAYO</v>
      </c>
      <c r="C338" s="1">
        <v>2025</v>
      </c>
      <c r="D338" s="1" t="str">
        <f>IF($A338&lt;=[1]RESULTADOS!$D$6,"YTD","YTG")</f>
        <v>YTD</v>
      </c>
      <c r="E338" t="s">
        <v>31</v>
      </c>
      <c r="F338" t="s">
        <v>18</v>
      </c>
      <c r="G338" t="s">
        <v>57</v>
      </c>
      <c r="H338" t="s">
        <v>249</v>
      </c>
      <c r="I338" t="s">
        <v>139</v>
      </c>
      <c r="J338" t="str">
        <f>IFERROR(VLOOKUP(I338,[1]AUTOS!$C:$G,2,0),"")</f>
        <v>SWIFT</v>
      </c>
      <c r="K338">
        <f>IFERROR(VLOOKUP(I338,[1]AUTOS!$C:$G,3,0),"")</f>
        <v>2017</v>
      </c>
      <c r="L338" t="str">
        <f>IFERROR(VLOOKUP(I338,[1]AUTOS!$C:$G,4,0),"")</f>
        <v>ROJO</v>
      </c>
      <c r="M338" t="s">
        <v>140</v>
      </c>
      <c r="P338" s="3">
        <v>-70</v>
      </c>
    </row>
    <row r="339" spans="1:16" hidden="1" x14ac:dyDescent="0.3">
      <c r="A339">
        <v>20</v>
      </c>
      <c r="B339" t="str">
        <f>VLOOKUP($A339,[1]LISTA!$B:$C,2,0)</f>
        <v>MAYO</v>
      </c>
      <c r="C339" s="1">
        <v>2025</v>
      </c>
      <c r="D339" s="1" t="str">
        <f>IF($A339&lt;=[1]RESULTADOS!$D$6,"YTD","YTG")</f>
        <v>YTD</v>
      </c>
      <c r="E339" t="s">
        <v>31</v>
      </c>
      <c r="F339" t="s">
        <v>18</v>
      </c>
      <c r="G339" t="s">
        <v>142</v>
      </c>
      <c r="H339" t="s">
        <v>250</v>
      </c>
      <c r="I339" t="s">
        <v>139</v>
      </c>
      <c r="J339" t="str">
        <f>IFERROR(VLOOKUP(I339,[1]AUTOS!$C:$G,2,0),"")</f>
        <v>SWIFT</v>
      </c>
      <c r="K339">
        <f>IFERROR(VLOOKUP(I339,[1]AUTOS!$C:$G,3,0),"")</f>
        <v>2017</v>
      </c>
      <c r="L339" t="str">
        <f>IFERROR(VLOOKUP(I339,[1]AUTOS!$C:$G,4,0),"")</f>
        <v>ROJO</v>
      </c>
      <c r="M339" t="s">
        <v>140</v>
      </c>
      <c r="P339" s="3">
        <v>-120</v>
      </c>
    </row>
    <row r="340" spans="1:16" hidden="1" x14ac:dyDescent="0.3">
      <c r="A340">
        <v>20</v>
      </c>
      <c r="B340" t="str">
        <f>VLOOKUP($A340,[1]LISTA!$B:$C,2,0)</f>
        <v>MAYO</v>
      </c>
      <c r="C340" s="1">
        <v>2025</v>
      </c>
      <c r="D340" s="1" t="str">
        <f>IF($A340&lt;=[1]RESULTADOS!$D$6,"YTD","YTG")</f>
        <v>YTD</v>
      </c>
      <c r="E340" t="s">
        <v>31</v>
      </c>
      <c r="F340" t="s">
        <v>18</v>
      </c>
      <c r="G340" t="s">
        <v>251</v>
      </c>
      <c r="H340" t="s">
        <v>252</v>
      </c>
      <c r="I340" t="s">
        <v>185</v>
      </c>
      <c r="J340" t="str">
        <f>IFERROR(VLOOKUP(I340,[1]AUTOS!$C:$G,2,0),"")</f>
        <v>MARCH</v>
      </c>
      <c r="K340">
        <f>IFERROR(VLOOKUP(I340,[1]AUTOS!$C:$G,3,0),"")</f>
        <v>2021</v>
      </c>
      <c r="L340" t="str">
        <f>IFERROR(VLOOKUP(I340,[1]AUTOS!$C:$G,4,0),"")</f>
        <v>ROJO</v>
      </c>
      <c r="M340" t="s">
        <v>43</v>
      </c>
      <c r="P340" s="3">
        <v>-963</v>
      </c>
    </row>
    <row r="341" spans="1:16" hidden="1" x14ac:dyDescent="0.3">
      <c r="A341">
        <v>20</v>
      </c>
      <c r="B341" t="str">
        <f>VLOOKUP($A341,[1]LISTA!$B:$C,2,0)</f>
        <v>MAYO</v>
      </c>
      <c r="C341" s="1">
        <v>2025</v>
      </c>
      <c r="D341" s="1" t="str">
        <f>IF($A341&lt;=[1]RESULTADOS!$D$6,"YTD","YTG")</f>
        <v>YTD</v>
      </c>
      <c r="E341" t="s">
        <v>31</v>
      </c>
      <c r="F341" t="s">
        <v>18</v>
      </c>
      <c r="G341" t="s">
        <v>251</v>
      </c>
      <c r="H341" t="s">
        <v>253</v>
      </c>
      <c r="I341" t="s">
        <v>185</v>
      </c>
      <c r="J341" t="str">
        <f>IFERROR(VLOOKUP(I341,[1]AUTOS!$C:$G,2,0),"")</f>
        <v>MARCH</v>
      </c>
      <c r="K341">
        <f>IFERROR(VLOOKUP(I341,[1]AUTOS!$C:$G,3,0),"")</f>
        <v>2021</v>
      </c>
      <c r="L341" t="str">
        <f>IFERROR(VLOOKUP(I341,[1]AUTOS!$C:$G,4,0),"")</f>
        <v>ROJO</v>
      </c>
      <c r="M341" t="s">
        <v>43</v>
      </c>
      <c r="P341" s="3">
        <v>-100</v>
      </c>
    </row>
    <row r="342" spans="1:16" hidden="1" x14ac:dyDescent="0.3">
      <c r="A342">
        <v>19</v>
      </c>
      <c r="B342" t="str">
        <f>VLOOKUP($A342,[1]LISTA!$B:$C,2,0)</f>
        <v>MAYO</v>
      </c>
      <c r="C342" s="1">
        <v>2025</v>
      </c>
      <c r="D342" s="1" t="str">
        <f>IF($A342&lt;=[1]RESULTADOS!$D$6,"YTD","YTG")</f>
        <v>YTD</v>
      </c>
      <c r="E342" t="s">
        <v>31</v>
      </c>
      <c r="F342" t="s">
        <v>18</v>
      </c>
      <c r="G342" t="s">
        <v>29</v>
      </c>
      <c r="H342" t="s">
        <v>254</v>
      </c>
      <c r="I342" t="s">
        <v>102</v>
      </c>
      <c r="J342" t="str">
        <f>IFERROR(VLOOKUP(I342,[1]AUTOS!$C:$G,2,0),"")</f>
        <v>AVEO</v>
      </c>
      <c r="K342">
        <f>IFERROR(VLOOKUP(I342,[1]AUTOS!$C:$G,3,0),"")</f>
        <v>2022</v>
      </c>
      <c r="L342" t="str">
        <f>IFERROR(VLOOKUP(I342,[1]AUTOS!$C:$G,4,0),"")</f>
        <v>AZUL</v>
      </c>
      <c r="M342" t="s">
        <v>43</v>
      </c>
      <c r="P342" s="3">
        <v>-250</v>
      </c>
    </row>
    <row r="343" spans="1:16" hidden="1" x14ac:dyDescent="0.3">
      <c r="A343">
        <v>19</v>
      </c>
      <c r="B343" t="str">
        <f>VLOOKUP($A343,[1]LISTA!$B:$C,2,0)</f>
        <v>MAYO</v>
      </c>
      <c r="C343" s="1">
        <v>2025</v>
      </c>
      <c r="D343" s="1" t="str">
        <f>IF($A343&lt;=[1]RESULTADOS!$D$6,"YTD","YTG")</f>
        <v>YTD</v>
      </c>
      <c r="E343" t="s">
        <v>17</v>
      </c>
      <c r="F343" t="s">
        <v>18</v>
      </c>
      <c r="G343" t="s">
        <v>23</v>
      </c>
      <c r="H343" t="s">
        <v>237</v>
      </c>
      <c r="I343" t="s">
        <v>21</v>
      </c>
      <c r="J343" t="str">
        <f>IFERROR(VLOOKUP(I343,[1]AUTOS!$C:$G,2,0),"")</f>
        <v/>
      </c>
      <c r="K343" t="str">
        <f>IFERROR(VLOOKUP(I343,[1]AUTOS!$C:$G,3,0),"")</f>
        <v/>
      </c>
      <c r="L343" t="str">
        <f>IFERROR(VLOOKUP(I343,[1]AUTOS!$C:$G,4,0),"")</f>
        <v/>
      </c>
      <c r="M343" t="s">
        <v>22</v>
      </c>
      <c r="P343" s="3">
        <v>-10</v>
      </c>
    </row>
    <row r="344" spans="1:16" hidden="1" x14ac:dyDescent="0.3">
      <c r="A344">
        <v>20</v>
      </c>
      <c r="B344" t="str">
        <f>VLOOKUP($A344,[1]LISTA!$B:$C,2,0)</f>
        <v>MAYO</v>
      </c>
      <c r="C344" s="1">
        <v>2025</v>
      </c>
      <c r="D344" s="1" t="str">
        <f>IF($A344&lt;=[1]RESULTADOS!$D$6,"YTD","YTG")</f>
        <v>YTD</v>
      </c>
      <c r="E344" t="s">
        <v>17</v>
      </c>
      <c r="F344" t="s">
        <v>18</v>
      </c>
      <c r="G344" t="s">
        <v>23</v>
      </c>
      <c r="H344" t="s">
        <v>237</v>
      </c>
      <c r="I344" t="s">
        <v>21</v>
      </c>
      <c r="J344" t="str">
        <f>IFERROR(VLOOKUP(I344,[1]AUTOS!$C:$G,2,0),"")</f>
        <v/>
      </c>
      <c r="K344" t="str">
        <f>IFERROR(VLOOKUP(I344,[1]AUTOS!$C:$G,3,0),"")</f>
        <v/>
      </c>
      <c r="L344" t="str">
        <f>IFERROR(VLOOKUP(I344,[1]AUTOS!$C:$G,4,0),"")</f>
        <v/>
      </c>
      <c r="M344" t="s">
        <v>22</v>
      </c>
      <c r="P344" s="3">
        <v>-20</v>
      </c>
    </row>
    <row r="345" spans="1:16" hidden="1" x14ac:dyDescent="0.3">
      <c r="A345">
        <v>20</v>
      </c>
      <c r="B345" t="str">
        <f>VLOOKUP($A345,[1]LISTA!$B:$C,2,0)</f>
        <v>MAYO</v>
      </c>
      <c r="C345" s="1">
        <v>2025</v>
      </c>
      <c r="D345" s="1" t="str">
        <f>IF($A345&lt;=[1]RESULTADOS!$D$6,"YTD","YTG")</f>
        <v>YTD</v>
      </c>
      <c r="E345" t="s">
        <v>31</v>
      </c>
      <c r="F345" t="s">
        <v>18</v>
      </c>
      <c r="G345" t="s">
        <v>29</v>
      </c>
      <c r="H345" t="s">
        <v>113</v>
      </c>
      <c r="I345" t="s">
        <v>67</v>
      </c>
      <c r="J345" t="str">
        <f>IFERROR(VLOOKUP(I345,[1]AUTOS!$C:$G,2,0),"")</f>
        <v>KIA RIO</v>
      </c>
      <c r="K345">
        <f>IFERROR(VLOOKUP(I345,[1]AUTOS!$C:$G,3,0),"")</f>
        <v>2020</v>
      </c>
      <c r="L345" t="str">
        <f>IFERROR(VLOOKUP(I345,[1]AUTOS!$C:$G,4,0),"")</f>
        <v>GRIS</v>
      </c>
      <c r="M345" t="s">
        <v>43</v>
      </c>
      <c r="P345" s="3">
        <v>-250</v>
      </c>
    </row>
    <row r="346" spans="1:16" hidden="1" x14ac:dyDescent="0.3">
      <c r="A346">
        <v>20</v>
      </c>
      <c r="B346" t="str">
        <f>VLOOKUP($A346,[1]LISTA!$B:$C,2,0)</f>
        <v>MAYO</v>
      </c>
      <c r="C346" s="1">
        <v>2025</v>
      </c>
      <c r="D346" s="1" t="str">
        <f>IF($A346&lt;=[1]RESULTADOS!$D$6,"YTD","YTG")</f>
        <v>YTD</v>
      </c>
      <c r="E346" t="s">
        <v>31</v>
      </c>
      <c r="F346" t="s">
        <v>18</v>
      </c>
      <c r="G346" t="s">
        <v>38</v>
      </c>
      <c r="H346" t="s">
        <v>194</v>
      </c>
      <c r="I346" t="s">
        <v>102</v>
      </c>
      <c r="J346" t="str">
        <f>IFERROR(VLOOKUP(I346,[1]AUTOS!$C:$G,2,0),"")</f>
        <v>AVEO</v>
      </c>
      <c r="K346">
        <f>IFERROR(VLOOKUP(I346,[1]AUTOS!$C:$G,3,0),"")</f>
        <v>2022</v>
      </c>
      <c r="L346" t="str">
        <f>IFERROR(VLOOKUP(I346,[1]AUTOS!$C:$G,4,0),"")</f>
        <v>AZUL</v>
      </c>
      <c r="M346" t="s">
        <v>43</v>
      </c>
      <c r="P346" s="3">
        <v>-80</v>
      </c>
    </row>
    <row r="347" spans="1:16" hidden="1" x14ac:dyDescent="0.3">
      <c r="A347">
        <v>20</v>
      </c>
      <c r="B347" t="str">
        <f>VLOOKUP($A347,[1]LISTA!$B:$C,2,0)</f>
        <v>MAYO</v>
      </c>
      <c r="C347" s="1">
        <v>2025</v>
      </c>
      <c r="D347" s="1" t="str">
        <f>IF($A347&lt;=[1]RESULTADOS!$D$6,"YTD","YTG")</f>
        <v>YTD</v>
      </c>
      <c r="E347" t="s">
        <v>31</v>
      </c>
      <c r="F347" t="s">
        <v>18</v>
      </c>
      <c r="G347" t="s">
        <v>38</v>
      </c>
      <c r="H347" t="s">
        <v>194</v>
      </c>
      <c r="I347" t="s">
        <v>131</v>
      </c>
      <c r="J347" t="str">
        <f>IFERROR(VLOOKUP(I347,[1]AUTOS!$C:$G,2,0),"")</f>
        <v>AVEO</v>
      </c>
      <c r="K347">
        <f>IFERROR(VLOOKUP(I347,[1]AUTOS!$C:$G,3,0),"")</f>
        <v>2024</v>
      </c>
      <c r="L347" t="str">
        <f>IFERROR(VLOOKUP(I347,[1]AUTOS!$C:$G,4,0),"")</f>
        <v>GRIS</v>
      </c>
      <c r="M347" t="s">
        <v>43</v>
      </c>
      <c r="P347" s="3">
        <v>-80</v>
      </c>
    </row>
    <row r="348" spans="1:16" hidden="1" x14ac:dyDescent="0.3">
      <c r="A348">
        <v>20</v>
      </c>
      <c r="B348" t="str">
        <f>VLOOKUP($A348,[1]LISTA!$B:$C,2,0)</f>
        <v>MAYO</v>
      </c>
      <c r="C348" s="1">
        <v>2025</v>
      </c>
      <c r="D348" s="1" t="str">
        <f>IF($A348&lt;=[1]RESULTADOS!$D$6,"YTD","YTG")</f>
        <v>YTD</v>
      </c>
      <c r="E348" t="s">
        <v>31</v>
      </c>
      <c r="F348" t="s">
        <v>18</v>
      </c>
      <c r="G348" t="s">
        <v>38</v>
      </c>
      <c r="H348" t="s">
        <v>194</v>
      </c>
      <c r="I348" t="s">
        <v>76</v>
      </c>
      <c r="J348" t="str">
        <f>IFERROR(VLOOKUP(I348,[1]AUTOS!$C:$G,2,0),"")</f>
        <v>AVEO</v>
      </c>
      <c r="K348">
        <f>IFERROR(VLOOKUP(I348,[1]AUTOS!$C:$G,3,0),"")</f>
        <v>2018</v>
      </c>
      <c r="L348" t="str">
        <f>IFERROR(VLOOKUP(I348,[1]AUTOS!$C:$G,4,0),"")</f>
        <v>GRIS</v>
      </c>
      <c r="M348" t="s">
        <v>43</v>
      </c>
      <c r="P348" s="3">
        <v>-80</v>
      </c>
    </row>
    <row r="349" spans="1:16" hidden="1" x14ac:dyDescent="0.3">
      <c r="A349">
        <v>20</v>
      </c>
      <c r="B349" t="str">
        <f>VLOOKUP($A349,[1]LISTA!$B:$C,2,0)</f>
        <v>MAYO</v>
      </c>
      <c r="C349" s="1">
        <v>2025</v>
      </c>
      <c r="D349" s="1" t="str">
        <f>IF($A349&lt;=[1]RESULTADOS!$D$6,"YTD","YTG")</f>
        <v>YTD</v>
      </c>
      <c r="E349" t="s">
        <v>17</v>
      </c>
      <c r="F349" t="s">
        <v>18</v>
      </c>
      <c r="G349" t="s">
        <v>176</v>
      </c>
      <c r="H349" t="s">
        <v>255</v>
      </c>
      <c r="I349" t="s">
        <v>21</v>
      </c>
      <c r="J349" t="str">
        <f>IFERROR(VLOOKUP(I349,[1]AUTOS!$C:$G,2,0),"")</f>
        <v/>
      </c>
      <c r="K349" t="str">
        <f>IFERROR(VLOOKUP(I349,[1]AUTOS!$C:$G,3,0),"")</f>
        <v/>
      </c>
      <c r="L349" t="str">
        <f>IFERROR(VLOOKUP(I349,[1]AUTOS!$C:$G,4,0),"")</f>
        <v/>
      </c>
      <c r="M349" t="s">
        <v>22</v>
      </c>
      <c r="P349" s="3">
        <v>-106</v>
      </c>
    </row>
    <row r="350" spans="1:16" hidden="1" x14ac:dyDescent="0.3">
      <c r="A350">
        <v>20</v>
      </c>
      <c r="B350" t="str">
        <f>VLOOKUP($A350,[1]LISTA!$B:$C,2,0)</f>
        <v>MAYO</v>
      </c>
      <c r="C350" s="1">
        <v>2025</v>
      </c>
      <c r="D350" s="1" t="str">
        <f>IF($A350&lt;=[1]RESULTADOS!$D$6,"YTD","YTG")</f>
        <v>YTD</v>
      </c>
      <c r="E350" t="s">
        <v>31</v>
      </c>
      <c r="F350" t="s">
        <v>18</v>
      </c>
      <c r="G350" t="s">
        <v>176</v>
      </c>
      <c r="H350" t="s">
        <v>256</v>
      </c>
      <c r="I350" t="s">
        <v>79</v>
      </c>
      <c r="J350" t="str">
        <f>IFERROR(VLOOKUP(I350,[1]AUTOS!$C:$G,2,0),"")</f>
        <v>AVEO</v>
      </c>
      <c r="K350">
        <f>IFERROR(VLOOKUP(I350,[1]AUTOS!$C:$G,3,0),"")</f>
        <v>2021</v>
      </c>
      <c r="L350" t="str">
        <f>IFERROR(VLOOKUP(I350,[1]AUTOS!$C:$G,4,0),"")</f>
        <v>OCRE</v>
      </c>
      <c r="M350" t="s">
        <v>43</v>
      </c>
      <c r="P350" s="3">
        <v>-128</v>
      </c>
    </row>
    <row r="351" spans="1:16" hidden="1" x14ac:dyDescent="0.3">
      <c r="A351">
        <v>20</v>
      </c>
      <c r="B351" t="str">
        <f>VLOOKUP($A351,[1]LISTA!$B:$C,2,0)</f>
        <v>MAYO</v>
      </c>
      <c r="C351" s="1">
        <v>2025</v>
      </c>
      <c r="D351" s="1" t="str">
        <f>IF($A351&lt;=[1]RESULTADOS!$D$6,"YTD","YTG")</f>
        <v>YTD</v>
      </c>
      <c r="E351" t="s">
        <v>31</v>
      </c>
      <c r="F351" t="s">
        <v>18</v>
      </c>
      <c r="G351" t="s">
        <v>53</v>
      </c>
      <c r="H351" t="s">
        <v>257</v>
      </c>
      <c r="I351" t="s">
        <v>139</v>
      </c>
      <c r="J351" t="str">
        <f>IFERROR(VLOOKUP(I351,[1]AUTOS!$C:$G,2,0),"")</f>
        <v>SWIFT</v>
      </c>
      <c r="K351">
        <f>IFERROR(VLOOKUP(I351,[1]AUTOS!$C:$G,3,0),"")</f>
        <v>2017</v>
      </c>
      <c r="L351" t="str">
        <f>IFERROR(VLOOKUP(I351,[1]AUTOS!$C:$G,4,0),"")</f>
        <v>ROJO</v>
      </c>
      <c r="M351" t="s">
        <v>140</v>
      </c>
      <c r="P351" s="3">
        <v>-270</v>
      </c>
    </row>
    <row r="352" spans="1:16" hidden="1" x14ac:dyDescent="0.3">
      <c r="A352">
        <v>20</v>
      </c>
      <c r="B352" t="str">
        <f>VLOOKUP($A352,[1]LISTA!$B:$C,2,0)</f>
        <v>MAYO</v>
      </c>
      <c r="C352" s="1">
        <v>2025</v>
      </c>
      <c r="D352" s="1" t="str">
        <f>IF($A352&lt;=[1]RESULTADOS!$D$6,"YTD","YTG")</f>
        <v>YTD</v>
      </c>
      <c r="E352" t="s">
        <v>31</v>
      </c>
      <c r="F352" t="s">
        <v>18</v>
      </c>
      <c r="G352" t="s">
        <v>38</v>
      </c>
      <c r="H352" t="s">
        <v>258</v>
      </c>
      <c r="I352" t="s">
        <v>144</v>
      </c>
      <c r="J352" t="str">
        <f>IFERROR(VLOOKUP(I352,[1]AUTOS!$C:$G,2,0),"")</f>
        <v>VERSA</v>
      </c>
      <c r="K352">
        <f>IFERROR(VLOOKUP(I352,[1]AUTOS!$C:$G,3,0),"")</f>
        <v>2020</v>
      </c>
      <c r="L352" t="str">
        <f>IFERROR(VLOOKUP(I352,[1]AUTOS!$C:$G,4,0),"")</f>
        <v>ROJO</v>
      </c>
      <c r="M352" t="s">
        <v>43</v>
      </c>
      <c r="P352" s="3">
        <v>-58</v>
      </c>
    </row>
    <row r="353" spans="1:16" hidden="1" x14ac:dyDescent="0.3">
      <c r="A353">
        <v>20</v>
      </c>
      <c r="B353" t="str">
        <f>VLOOKUP($A353,[1]LISTA!$B:$C,2,0)</f>
        <v>MAYO</v>
      </c>
      <c r="C353" s="1">
        <v>2025</v>
      </c>
      <c r="D353" s="1" t="str">
        <f>IF($A353&lt;=[1]RESULTADOS!$D$6,"YTD","YTG")</f>
        <v>YTD</v>
      </c>
      <c r="E353" t="s">
        <v>31</v>
      </c>
      <c r="F353" t="s">
        <v>18</v>
      </c>
      <c r="G353" t="s">
        <v>38</v>
      </c>
      <c r="H353" t="s">
        <v>244</v>
      </c>
      <c r="I353" t="s">
        <v>144</v>
      </c>
      <c r="J353" t="str">
        <f>IFERROR(VLOOKUP(I353,[1]AUTOS!$C:$G,2,0),"")</f>
        <v>VERSA</v>
      </c>
      <c r="K353">
        <f>IFERROR(VLOOKUP(I353,[1]AUTOS!$C:$G,3,0),"")</f>
        <v>2020</v>
      </c>
      <c r="L353" t="str">
        <f>IFERROR(VLOOKUP(I353,[1]AUTOS!$C:$G,4,0),"")</f>
        <v>ROJO</v>
      </c>
      <c r="M353" t="s">
        <v>43</v>
      </c>
      <c r="P353" s="3">
        <v>-22</v>
      </c>
    </row>
    <row r="354" spans="1:16" hidden="1" x14ac:dyDescent="0.3">
      <c r="A354">
        <v>20</v>
      </c>
      <c r="B354" t="str">
        <f>VLOOKUP($A354,[1]LISTA!$B:$C,2,0)</f>
        <v>MAYO</v>
      </c>
      <c r="C354" s="1">
        <v>2025</v>
      </c>
      <c r="D354" s="1" t="str">
        <f>IF($A354&lt;=[1]RESULTADOS!$D$6,"YTD","YTG")</f>
        <v>YTD</v>
      </c>
      <c r="E354" t="s">
        <v>17</v>
      </c>
      <c r="F354" t="s">
        <v>18</v>
      </c>
      <c r="G354" t="s">
        <v>53</v>
      </c>
      <c r="H354" t="s">
        <v>259</v>
      </c>
      <c r="I354" t="s">
        <v>21</v>
      </c>
      <c r="J354" t="str">
        <f>IFERROR(VLOOKUP(I354,[1]AUTOS!$C:$G,2,0),"")</f>
        <v/>
      </c>
      <c r="K354" t="str">
        <f>IFERROR(VLOOKUP(I354,[1]AUTOS!$C:$G,3,0),"")</f>
        <v/>
      </c>
      <c r="L354" t="str">
        <f>IFERROR(VLOOKUP(I354,[1]AUTOS!$C:$G,4,0),"")</f>
        <v/>
      </c>
      <c r="M354" t="s">
        <v>22</v>
      </c>
      <c r="P354" s="3">
        <v>-163</v>
      </c>
    </row>
    <row r="355" spans="1:16" hidden="1" x14ac:dyDescent="0.3">
      <c r="A355">
        <v>20</v>
      </c>
      <c r="B355" t="str">
        <f>VLOOKUP($A355,[1]LISTA!$B:$C,2,0)</f>
        <v>MAYO</v>
      </c>
      <c r="C355" s="1">
        <v>2025</v>
      </c>
      <c r="D355" s="1" t="str">
        <f>IF($A355&lt;=[1]RESULTADOS!$D$6,"YTD","YTG")</f>
        <v>YTD</v>
      </c>
      <c r="E355" t="s">
        <v>31</v>
      </c>
      <c r="F355" t="s">
        <v>18</v>
      </c>
      <c r="G355" t="s">
        <v>57</v>
      </c>
      <c r="H355" t="s">
        <v>120</v>
      </c>
      <c r="I355" t="s">
        <v>46</v>
      </c>
      <c r="J355" t="str">
        <f>IFERROR(VLOOKUP(I355,[1]AUTOS!$C:$G,2,0),"")</f>
        <v>MARCH</v>
      </c>
      <c r="K355">
        <f>IFERROR(VLOOKUP(I355,[1]AUTOS!$C:$G,3,0),"")</f>
        <v>2020</v>
      </c>
      <c r="L355" t="str">
        <f>IFERROR(VLOOKUP(I355,[1]AUTOS!$C:$G,4,0),"")</f>
        <v>TURQ</v>
      </c>
      <c r="M355" t="s">
        <v>43</v>
      </c>
      <c r="P355" s="3">
        <v>-358</v>
      </c>
    </row>
    <row r="356" spans="1:16" hidden="1" x14ac:dyDescent="0.3">
      <c r="A356">
        <v>20</v>
      </c>
      <c r="B356" t="str">
        <f>VLOOKUP($A356,[1]LISTA!$B:$C,2,0)</f>
        <v>MAYO</v>
      </c>
      <c r="C356" s="1">
        <v>2025</v>
      </c>
      <c r="D356" s="1" t="str">
        <f>IF($A356&lt;=[1]RESULTADOS!$D$6,"YTD","YTG")</f>
        <v>YTD</v>
      </c>
      <c r="E356" t="s">
        <v>31</v>
      </c>
      <c r="F356" t="s">
        <v>18</v>
      </c>
      <c r="G356" t="s">
        <v>57</v>
      </c>
      <c r="H356" t="s">
        <v>260</v>
      </c>
      <c r="I356" t="s">
        <v>139</v>
      </c>
      <c r="J356" t="str">
        <f>IFERROR(VLOOKUP(I356,[1]AUTOS!$C:$G,2,0),"")</f>
        <v>SWIFT</v>
      </c>
      <c r="K356">
        <f>IFERROR(VLOOKUP(I356,[1]AUTOS!$C:$G,3,0),"")</f>
        <v>2017</v>
      </c>
      <c r="L356" t="str">
        <f>IFERROR(VLOOKUP(I356,[1]AUTOS!$C:$G,4,0),"")</f>
        <v>ROJO</v>
      </c>
      <c r="M356" t="s">
        <v>140</v>
      </c>
      <c r="P356" s="3">
        <v>-328</v>
      </c>
    </row>
    <row r="357" spans="1:16" hidden="1" x14ac:dyDescent="0.3">
      <c r="A357">
        <v>20</v>
      </c>
      <c r="B357" t="str">
        <f>VLOOKUP($A357,[1]LISTA!$B:$C,2,0)</f>
        <v>MAYO</v>
      </c>
      <c r="C357" s="1">
        <v>2025</v>
      </c>
      <c r="D357" s="1" t="str">
        <f>IF($A357&lt;=[1]RESULTADOS!$D$6,"YTD","YTG")</f>
        <v>YTD</v>
      </c>
      <c r="E357" t="s">
        <v>31</v>
      </c>
      <c r="F357" t="s">
        <v>18</v>
      </c>
      <c r="G357" t="s">
        <v>57</v>
      </c>
      <c r="H357" t="s">
        <v>261</v>
      </c>
      <c r="I357" t="s">
        <v>144</v>
      </c>
      <c r="J357" t="str">
        <f>IFERROR(VLOOKUP(I357,[1]AUTOS!$C:$G,2,0),"")</f>
        <v>VERSA</v>
      </c>
      <c r="K357">
        <f>IFERROR(VLOOKUP(I357,[1]AUTOS!$C:$G,3,0),"")</f>
        <v>2020</v>
      </c>
      <c r="L357" t="str">
        <f>IFERROR(VLOOKUP(I357,[1]AUTOS!$C:$G,4,0),"")</f>
        <v>ROJO</v>
      </c>
      <c r="M357" t="s">
        <v>43</v>
      </c>
      <c r="P357" s="3">
        <v>-457</v>
      </c>
    </row>
    <row r="358" spans="1:16" hidden="1" x14ac:dyDescent="0.3">
      <c r="A358">
        <v>20</v>
      </c>
      <c r="B358" t="str">
        <f>VLOOKUP($A358,[1]LISTA!$B:$C,2,0)</f>
        <v>MAYO</v>
      </c>
      <c r="C358" s="1">
        <v>2025</v>
      </c>
      <c r="D358" s="1" t="str">
        <f>IF($A358&lt;=[1]RESULTADOS!$D$6,"YTD","YTG")</f>
        <v>YTD</v>
      </c>
      <c r="E358" t="s">
        <v>31</v>
      </c>
      <c r="F358" t="s">
        <v>18</v>
      </c>
      <c r="G358" t="s">
        <v>57</v>
      </c>
      <c r="H358" t="s">
        <v>260</v>
      </c>
      <c r="I358" t="s">
        <v>144</v>
      </c>
      <c r="J358" t="str">
        <f>IFERROR(VLOOKUP(I358,[1]AUTOS!$C:$G,2,0),"")</f>
        <v>VERSA</v>
      </c>
      <c r="K358">
        <f>IFERROR(VLOOKUP(I358,[1]AUTOS!$C:$G,3,0),"")</f>
        <v>2020</v>
      </c>
      <c r="L358" t="str">
        <f>IFERROR(VLOOKUP(I358,[1]AUTOS!$C:$G,4,0),"")</f>
        <v>ROJO</v>
      </c>
      <c r="M358" t="s">
        <v>43</v>
      </c>
      <c r="P358" s="3">
        <v>-185</v>
      </c>
    </row>
    <row r="359" spans="1:16" hidden="1" x14ac:dyDescent="0.3">
      <c r="A359">
        <v>20</v>
      </c>
      <c r="B359" t="str">
        <f>VLOOKUP($A359,[1]LISTA!$B:$C,2,0)</f>
        <v>MAYO</v>
      </c>
      <c r="C359" s="1">
        <v>2025</v>
      </c>
      <c r="D359" s="1" t="str">
        <f>IF($A359&lt;=[1]RESULTADOS!$D$6,"YTD","YTG")</f>
        <v>YTD</v>
      </c>
      <c r="E359" t="s">
        <v>31</v>
      </c>
      <c r="F359" t="s">
        <v>18</v>
      </c>
      <c r="G359" t="s">
        <v>38</v>
      </c>
      <c r="H359" t="s">
        <v>262</v>
      </c>
      <c r="I359" t="s">
        <v>34</v>
      </c>
      <c r="J359" t="str">
        <f>IFERROR(VLOOKUP(I359,[1]AUTOS!$C:$G,2,0),"")</f>
        <v>AVEO</v>
      </c>
      <c r="K359">
        <f>IFERROR(VLOOKUP(I359,[1]AUTOS!$C:$G,3,0),"")</f>
        <v>2018</v>
      </c>
      <c r="L359" t="str">
        <f>IFERROR(VLOOKUP(I359,[1]AUTOS!$C:$G,4,0),"")</f>
        <v>ROJO</v>
      </c>
      <c r="M359" t="s">
        <v>35</v>
      </c>
      <c r="P359" s="3">
        <v>-532</v>
      </c>
    </row>
    <row r="360" spans="1:16" hidden="1" x14ac:dyDescent="0.3">
      <c r="A360">
        <v>20</v>
      </c>
      <c r="B360" t="str">
        <f>VLOOKUP($A360,[1]LISTA!$B:$C,2,0)</f>
        <v>MAYO</v>
      </c>
      <c r="C360" s="1">
        <v>2025</v>
      </c>
      <c r="D360" s="1" t="str">
        <f>IF($A360&lt;=[1]RESULTADOS!$D$6,"YTD","YTG")</f>
        <v>YTD</v>
      </c>
      <c r="E360" t="s">
        <v>31</v>
      </c>
      <c r="F360" t="s">
        <v>18</v>
      </c>
      <c r="G360" t="s">
        <v>38</v>
      </c>
      <c r="H360" t="s">
        <v>262</v>
      </c>
      <c r="I360" t="s">
        <v>144</v>
      </c>
      <c r="J360" t="str">
        <f>IFERROR(VLOOKUP(I360,[1]AUTOS!$C:$G,2,0),"")</f>
        <v>VERSA</v>
      </c>
      <c r="K360">
        <f>IFERROR(VLOOKUP(I360,[1]AUTOS!$C:$G,3,0),"")</f>
        <v>2020</v>
      </c>
      <c r="L360" t="str">
        <f>IFERROR(VLOOKUP(I360,[1]AUTOS!$C:$G,4,0),"")</f>
        <v>ROJO</v>
      </c>
      <c r="M360" t="s">
        <v>43</v>
      </c>
      <c r="P360" s="3">
        <v>-532</v>
      </c>
    </row>
    <row r="361" spans="1:16" hidden="1" x14ac:dyDescent="0.3">
      <c r="A361">
        <v>20</v>
      </c>
      <c r="B361" t="str">
        <f>VLOOKUP($A361,[1]LISTA!$B:$C,2,0)</f>
        <v>MAYO</v>
      </c>
      <c r="C361" s="1">
        <v>2025</v>
      </c>
      <c r="D361" s="1" t="str">
        <f>IF($A361&lt;=[1]RESULTADOS!$D$6,"YTD","YTG")</f>
        <v>YTD</v>
      </c>
      <c r="E361" t="s">
        <v>17</v>
      </c>
      <c r="F361" t="s">
        <v>18</v>
      </c>
      <c r="G361" t="s">
        <v>38</v>
      </c>
      <c r="H361" t="s">
        <v>262</v>
      </c>
      <c r="I361" t="s">
        <v>21</v>
      </c>
      <c r="J361" t="str">
        <f>IFERROR(VLOOKUP(I361,[1]AUTOS!$C:$G,2,0),"")</f>
        <v/>
      </c>
      <c r="K361" t="str">
        <f>IFERROR(VLOOKUP(I361,[1]AUTOS!$C:$G,3,0),"")</f>
        <v/>
      </c>
      <c r="L361" t="str">
        <f>IFERROR(VLOOKUP(I361,[1]AUTOS!$C:$G,4,0),"")</f>
        <v/>
      </c>
      <c r="M361" t="s">
        <v>22</v>
      </c>
      <c r="P361" s="3">
        <v>-532</v>
      </c>
    </row>
    <row r="362" spans="1:16" hidden="1" x14ac:dyDescent="0.3">
      <c r="A362">
        <v>20</v>
      </c>
      <c r="B362" t="str">
        <f>VLOOKUP($A362,[1]LISTA!$B:$C,2,0)</f>
        <v>MAYO</v>
      </c>
      <c r="C362" s="1">
        <v>2025</v>
      </c>
      <c r="D362" s="1" t="str">
        <f>IF($A362&lt;=[1]RESULTADOS!$D$6,"YTD","YTG")</f>
        <v>YTD</v>
      </c>
      <c r="E362" t="s">
        <v>31</v>
      </c>
      <c r="F362" t="s">
        <v>18</v>
      </c>
      <c r="G362" t="s">
        <v>38</v>
      </c>
      <c r="H362" t="s">
        <v>258</v>
      </c>
      <c r="I362" t="s">
        <v>34</v>
      </c>
      <c r="J362" t="str">
        <f>IFERROR(VLOOKUP(I362,[1]AUTOS!$C:$G,2,0),"")</f>
        <v>AVEO</v>
      </c>
      <c r="K362">
        <f>IFERROR(VLOOKUP(I362,[1]AUTOS!$C:$G,3,0),"")</f>
        <v>2018</v>
      </c>
      <c r="L362" t="str">
        <f>IFERROR(VLOOKUP(I362,[1]AUTOS!$C:$G,4,0),"")</f>
        <v>ROJO</v>
      </c>
      <c r="M362" t="s">
        <v>35</v>
      </c>
      <c r="P362" s="3">
        <v>-73</v>
      </c>
    </row>
    <row r="363" spans="1:16" hidden="1" x14ac:dyDescent="0.3">
      <c r="A363">
        <v>20</v>
      </c>
      <c r="B363" t="str">
        <f>VLOOKUP($A363,[1]LISTA!$B:$C,2,0)</f>
        <v>MAYO</v>
      </c>
      <c r="C363" s="1">
        <v>2025</v>
      </c>
      <c r="D363" s="1" t="str">
        <f>IF($A363&lt;=[1]RESULTADOS!$D$6,"YTD","YTG")</f>
        <v>YTD</v>
      </c>
      <c r="E363" t="s">
        <v>31</v>
      </c>
      <c r="F363" t="s">
        <v>18</v>
      </c>
      <c r="G363" t="s">
        <v>38</v>
      </c>
      <c r="H363" t="s">
        <v>258</v>
      </c>
      <c r="I363" t="s">
        <v>144</v>
      </c>
      <c r="J363" t="str">
        <f>IFERROR(VLOOKUP(I363,[1]AUTOS!$C:$G,2,0),"")</f>
        <v>VERSA</v>
      </c>
      <c r="K363">
        <f>IFERROR(VLOOKUP(I363,[1]AUTOS!$C:$G,3,0),"")</f>
        <v>2020</v>
      </c>
      <c r="L363" t="str">
        <f>IFERROR(VLOOKUP(I363,[1]AUTOS!$C:$G,4,0),"")</f>
        <v>ROJO</v>
      </c>
      <c r="M363" t="s">
        <v>43</v>
      </c>
      <c r="P363" s="3">
        <v>-73</v>
      </c>
    </row>
    <row r="364" spans="1:16" hidden="1" x14ac:dyDescent="0.3">
      <c r="A364">
        <v>20</v>
      </c>
      <c r="B364" t="str">
        <f>VLOOKUP($A364,[1]LISTA!$B:$C,2,0)</f>
        <v>MAYO</v>
      </c>
      <c r="C364" s="1">
        <v>2025</v>
      </c>
      <c r="D364" s="1" t="str">
        <f>IF($A364&lt;=[1]RESULTADOS!$D$6,"YTD","YTG")</f>
        <v>YTD</v>
      </c>
      <c r="E364" t="s">
        <v>17</v>
      </c>
      <c r="F364" t="s">
        <v>18</v>
      </c>
      <c r="G364" t="s">
        <v>38</v>
      </c>
      <c r="H364" t="s">
        <v>258</v>
      </c>
      <c r="I364" t="s">
        <v>21</v>
      </c>
      <c r="J364" t="str">
        <f>IFERROR(VLOOKUP(I364,[1]AUTOS!$C:$G,2,0),"")</f>
        <v/>
      </c>
      <c r="K364" t="str">
        <f>IFERROR(VLOOKUP(I364,[1]AUTOS!$C:$G,3,0),"")</f>
        <v/>
      </c>
      <c r="L364" t="str">
        <f>IFERROR(VLOOKUP(I364,[1]AUTOS!$C:$G,4,0),"")</f>
        <v/>
      </c>
      <c r="M364" t="s">
        <v>22</v>
      </c>
      <c r="P364" s="3">
        <v>-73</v>
      </c>
    </row>
    <row r="365" spans="1:16" hidden="1" x14ac:dyDescent="0.3">
      <c r="A365">
        <v>20</v>
      </c>
      <c r="B365" t="str">
        <f>VLOOKUP($A365,[1]LISTA!$B:$C,2,0)</f>
        <v>MAYO</v>
      </c>
      <c r="C365" s="1">
        <v>2025</v>
      </c>
      <c r="D365" s="1" t="str">
        <f>IF($A365&lt;=[1]RESULTADOS!$D$6,"YTD","YTG")</f>
        <v>YTD</v>
      </c>
      <c r="E365" t="s">
        <v>17</v>
      </c>
      <c r="F365" t="s">
        <v>18</v>
      </c>
      <c r="G365" t="s">
        <v>38</v>
      </c>
      <c r="H365" t="s">
        <v>258</v>
      </c>
      <c r="I365" t="s">
        <v>21</v>
      </c>
      <c r="J365" t="str">
        <f>IFERROR(VLOOKUP(I365,[1]AUTOS!$C:$G,2,0),"")</f>
        <v/>
      </c>
      <c r="K365" t="str">
        <f>IFERROR(VLOOKUP(I365,[1]AUTOS!$C:$G,3,0),"")</f>
        <v/>
      </c>
      <c r="L365" t="str">
        <f>IFERROR(VLOOKUP(I365,[1]AUTOS!$C:$G,4,0),"")</f>
        <v/>
      </c>
      <c r="M365" t="s">
        <v>22</v>
      </c>
      <c r="P365" s="3">
        <v>-73</v>
      </c>
    </row>
    <row r="366" spans="1:16" hidden="1" x14ac:dyDescent="0.3">
      <c r="A366">
        <v>20</v>
      </c>
      <c r="B366" t="str">
        <f>VLOOKUP($A366,[1]LISTA!$B:$C,2,0)</f>
        <v>MAYO</v>
      </c>
      <c r="C366" s="1">
        <v>2025</v>
      </c>
      <c r="D366" s="1" t="str">
        <f>IF($A366&lt;=[1]RESULTADOS!$D$6,"YTD","YTG")</f>
        <v>YTD</v>
      </c>
      <c r="E366" t="s">
        <v>31</v>
      </c>
      <c r="F366" t="s">
        <v>18</v>
      </c>
      <c r="G366" t="s">
        <v>57</v>
      </c>
      <c r="H366" t="s">
        <v>260</v>
      </c>
      <c r="I366" t="s">
        <v>34</v>
      </c>
      <c r="J366" t="str">
        <f>IFERROR(VLOOKUP(I366,[1]AUTOS!$C:$G,2,0),"")</f>
        <v>AVEO</v>
      </c>
      <c r="K366">
        <f>IFERROR(VLOOKUP(I366,[1]AUTOS!$C:$G,3,0),"")</f>
        <v>2018</v>
      </c>
      <c r="L366" t="str">
        <f>IFERROR(VLOOKUP(I366,[1]AUTOS!$C:$G,4,0),"")</f>
        <v>ROJO</v>
      </c>
      <c r="M366" t="s">
        <v>35</v>
      </c>
      <c r="P366" s="3">
        <v>-296</v>
      </c>
    </row>
    <row r="367" spans="1:16" hidden="1" x14ac:dyDescent="0.3">
      <c r="A367">
        <v>20</v>
      </c>
      <c r="B367" t="str">
        <f>VLOOKUP($A367,[1]LISTA!$B:$C,2,0)</f>
        <v>MAYO</v>
      </c>
      <c r="C367" s="1">
        <v>2025</v>
      </c>
      <c r="D367" s="1" t="str">
        <f>IF($A367&lt;=[1]RESULTADOS!$D$6,"YTD","YTG")</f>
        <v>YTD</v>
      </c>
      <c r="E367" t="s">
        <v>17</v>
      </c>
      <c r="F367" t="s">
        <v>18</v>
      </c>
      <c r="G367" t="s">
        <v>38</v>
      </c>
      <c r="H367" t="s">
        <v>263</v>
      </c>
      <c r="I367" t="s">
        <v>21</v>
      </c>
      <c r="J367" t="str">
        <f>IFERROR(VLOOKUP(I367,[1]AUTOS!$C:$G,2,0),"")</f>
        <v/>
      </c>
      <c r="K367" t="str">
        <f>IFERROR(VLOOKUP(I367,[1]AUTOS!$C:$G,3,0),"")</f>
        <v/>
      </c>
      <c r="L367" t="str">
        <f>IFERROR(VLOOKUP(I367,[1]AUTOS!$C:$G,4,0),"")</f>
        <v/>
      </c>
      <c r="M367" t="s">
        <v>22</v>
      </c>
      <c r="P367" s="3">
        <v>-114</v>
      </c>
    </row>
    <row r="368" spans="1:16" hidden="1" x14ac:dyDescent="0.3">
      <c r="A368">
        <v>20</v>
      </c>
      <c r="B368" t="str">
        <f>VLOOKUP($A368,[1]LISTA!$B:$C,2,0)</f>
        <v>MAYO</v>
      </c>
      <c r="C368" s="1">
        <v>2025</v>
      </c>
      <c r="D368" s="1" t="str">
        <f>IF($A368&lt;=[1]RESULTADOS!$D$6,"YTD","YTG")</f>
        <v>YTD</v>
      </c>
      <c r="E368" t="s">
        <v>17</v>
      </c>
      <c r="F368" t="s">
        <v>18</v>
      </c>
      <c r="G368" t="s">
        <v>38</v>
      </c>
      <c r="H368" t="s">
        <v>264</v>
      </c>
      <c r="I368" t="s">
        <v>21</v>
      </c>
      <c r="J368" t="str">
        <f>IFERROR(VLOOKUP(I368,[1]AUTOS!$C:$G,2,0),"")</f>
        <v/>
      </c>
      <c r="K368" t="str">
        <f>IFERROR(VLOOKUP(I368,[1]AUTOS!$C:$G,3,0),"")</f>
        <v/>
      </c>
      <c r="L368" t="str">
        <f>IFERROR(VLOOKUP(I368,[1]AUTOS!$C:$G,4,0),"")</f>
        <v/>
      </c>
      <c r="M368" t="s">
        <v>22</v>
      </c>
      <c r="P368" s="3">
        <v>-115</v>
      </c>
    </row>
    <row r="369" spans="1:16" hidden="1" x14ac:dyDescent="0.3">
      <c r="A369">
        <v>20</v>
      </c>
      <c r="B369" t="str">
        <f>VLOOKUP($A369,[1]LISTA!$B:$C,2,0)</f>
        <v>MAYO</v>
      </c>
      <c r="C369" s="1">
        <v>2025</v>
      </c>
      <c r="D369" s="1" t="str">
        <f>IF($A369&lt;=[1]RESULTADOS!$D$6,"YTD","YTG")</f>
        <v>YTD</v>
      </c>
      <c r="E369" t="s">
        <v>17</v>
      </c>
      <c r="F369" t="s">
        <v>18</v>
      </c>
      <c r="G369" t="s">
        <v>38</v>
      </c>
      <c r="H369" t="s">
        <v>265</v>
      </c>
      <c r="I369" t="s">
        <v>21</v>
      </c>
      <c r="J369" t="str">
        <f>IFERROR(VLOOKUP(I369,[1]AUTOS!$C:$G,2,0),"")</f>
        <v/>
      </c>
      <c r="K369" t="str">
        <f>IFERROR(VLOOKUP(I369,[1]AUTOS!$C:$G,3,0),"")</f>
        <v/>
      </c>
      <c r="L369" t="str">
        <f>IFERROR(VLOOKUP(I369,[1]AUTOS!$C:$G,4,0),"")</f>
        <v/>
      </c>
      <c r="M369" t="s">
        <v>22</v>
      </c>
      <c r="P369" s="3">
        <v>-135</v>
      </c>
    </row>
    <row r="370" spans="1:16" hidden="1" x14ac:dyDescent="0.3">
      <c r="A370">
        <v>21</v>
      </c>
      <c r="B370" t="str">
        <f>VLOOKUP($A370,[1]LISTA!$B:$C,2,0)</f>
        <v>MAYO</v>
      </c>
      <c r="C370" s="1">
        <v>2025</v>
      </c>
      <c r="D370" s="1" t="str">
        <f>IF($A370&lt;=[1]RESULTADOS!$D$6,"YTD","YTG")</f>
        <v>YTD</v>
      </c>
      <c r="E370" t="s">
        <v>31</v>
      </c>
      <c r="F370" t="s">
        <v>18</v>
      </c>
      <c r="G370" t="s">
        <v>29</v>
      </c>
      <c r="H370" t="s">
        <v>266</v>
      </c>
      <c r="I370" t="s">
        <v>178</v>
      </c>
      <c r="J370" t="str">
        <f>IFERROR(VLOOKUP(I370,[1]AUTOS!$C:$G,2,0),"")</f>
        <v>VERSA</v>
      </c>
      <c r="K370">
        <f>IFERROR(VLOOKUP(I370,[1]AUTOS!$C:$G,3,0),"")</f>
        <v>2020</v>
      </c>
      <c r="L370" t="str">
        <f>IFERROR(VLOOKUP(I370,[1]AUTOS!$C:$G,4,0),"")</f>
        <v>BLANCO</v>
      </c>
      <c r="M370" t="s">
        <v>43</v>
      </c>
      <c r="P370" s="3">
        <v>-1411</v>
      </c>
    </row>
    <row r="371" spans="1:16" hidden="1" x14ac:dyDescent="0.3">
      <c r="A371">
        <v>21</v>
      </c>
      <c r="B371" t="str">
        <f>VLOOKUP($A371,[1]LISTA!$B:$C,2,0)</f>
        <v>MAYO</v>
      </c>
      <c r="C371" s="1">
        <v>2025</v>
      </c>
      <c r="D371" s="1" t="str">
        <f>IF($A371&lt;=[1]RESULTADOS!$D$6,"YTD","YTG")</f>
        <v>YTD</v>
      </c>
      <c r="E371" t="s">
        <v>31</v>
      </c>
      <c r="F371" t="s">
        <v>18</v>
      </c>
      <c r="G371" t="s">
        <v>29</v>
      </c>
      <c r="H371" t="s">
        <v>267</v>
      </c>
      <c r="I371" t="s">
        <v>73</v>
      </c>
      <c r="J371" t="str">
        <f>IFERROR(VLOOKUP(I371,[1]AUTOS!$C:$G,2,0),"")</f>
        <v>VERSA</v>
      </c>
      <c r="K371">
        <f>IFERROR(VLOOKUP(I371,[1]AUTOS!$C:$G,3,0),"")</f>
        <v>2023</v>
      </c>
      <c r="L371" t="str">
        <f>IFERROR(VLOOKUP(I371,[1]AUTOS!$C:$G,4,0),"")</f>
        <v>PLATA</v>
      </c>
      <c r="M371" t="s">
        <v>43</v>
      </c>
      <c r="P371" s="3">
        <v>-325</v>
      </c>
    </row>
    <row r="372" spans="1:16" hidden="1" x14ac:dyDescent="0.3">
      <c r="A372">
        <v>20</v>
      </c>
      <c r="B372" t="str">
        <f>VLOOKUP($A372,[1]LISTA!$B:$C,2,0)</f>
        <v>MAYO</v>
      </c>
      <c r="C372" s="1">
        <v>2025</v>
      </c>
      <c r="D372" s="1" t="str">
        <f>IF($A372&lt;=[1]RESULTADOS!$D$6,"YTD","YTG")</f>
        <v>YTD</v>
      </c>
      <c r="E372" t="s">
        <v>31</v>
      </c>
      <c r="F372" t="s">
        <v>18</v>
      </c>
      <c r="G372" t="s">
        <v>137</v>
      </c>
      <c r="H372" t="s">
        <v>268</v>
      </c>
      <c r="I372" t="s">
        <v>73</v>
      </c>
      <c r="J372" t="str">
        <f>IFERROR(VLOOKUP(I372,[1]AUTOS!$C:$G,2,0),"")</f>
        <v>VERSA</v>
      </c>
      <c r="K372">
        <f>IFERROR(VLOOKUP(I372,[1]AUTOS!$C:$G,3,0),"")</f>
        <v>2023</v>
      </c>
      <c r="L372" t="str">
        <f>IFERROR(VLOOKUP(I372,[1]AUTOS!$C:$G,4,0),"")</f>
        <v>PLATA</v>
      </c>
      <c r="M372" t="s">
        <v>43</v>
      </c>
      <c r="P372" s="3">
        <v>-1600</v>
      </c>
    </row>
    <row r="373" spans="1:16" hidden="1" x14ac:dyDescent="0.3">
      <c r="A373">
        <v>20</v>
      </c>
      <c r="B373" t="str">
        <f>VLOOKUP($A373,[1]LISTA!$B:$C,2,0)</f>
        <v>MAYO</v>
      </c>
      <c r="C373" s="1">
        <v>2025</v>
      </c>
      <c r="D373" s="1" t="str">
        <f>IF($A373&lt;=[1]RESULTADOS!$D$6,"YTD","YTG")</f>
        <v>YTD</v>
      </c>
      <c r="E373" t="s">
        <v>31</v>
      </c>
      <c r="F373" t="s">
        <v>18</v>
      </c>
      <c r="G373" t="s">
        <v>137</v>
      </c>
      <c r="H373" t="s">
        <v>268</v>
      </c>
      <c r="I373" t="s">
        <v>116</v>
      </c>
      <c r="J373" t="str">
        <f>IFERROR(VLOOKUP(I373,[1]AUTOS!$C:$G,2,0),"")</f>
        <v>AVEO</v>
      </c>
      <c r="K373">
        <f>IFERROR(VLOOKUP(I373,[1]AUTOS!$C:$G,3,0),"")</f>
        <v>2022</v>
      </c>
      <c r="L373" t="str">
        <f>IFERROR(VLOOKUP(I373,[1]AUTOS!$C:$G,4,0),"")</f>
        <v>AZUL</v>
      </c>
      <c r="M373" t="s">
        <v>43</v>
      </c>
      <c r="P373" s="3">
        <v>-1600</v>
      </c>
    </row>
    <row r="374" spans="1:16" hidden="1" x14ac:dyDescent="0.3">
      <c r="A374">
        <v>20</v>
      </c>
      <c r="B374" t="str">
        <f>VLOOKUP($A374,[1]LISTA!$B:$C,2,0)</f>
        <v>MAYO</v>
      </c>
      <c r="C374" s="1">
        <v>2025</v>
      </c>
      <c r="D374" s="1" t="str">
        <f>IF($A374&lt;=[1]RESULTADOS!$D$6,"YTD","YTG")</f>
        <v>YTD</v>
      </c>
      <c r="E374" t="s">
        <v>31</v>
      </c>
      <c r="F374" t="s">
        <v>18</v>
      </c>
      <c r="G374" t="s">
        <v>137</v>
      </c>
      <c r="H374" t="s">
        <v>268</v>
      </c>
      <c r="I374" t="s">
        <v>59</v>
      </c>
      <c r="J374" t="str">
        <f>IFERROR(VLOOKUP(I374,[1]AUTOS!$C:$G,2,0),"")</f>
        <v>AVEO</v>
      </c>
      <c r="K374">
        <f>IFERROR(VLOOKUP(I374,[1]AUTOS!$C:$G,3,0),"")</f>
        <v>2019</v>
      </c>
      <c r="L374" t="str">
        <f>IFERROR(VLOOKUP(I374,[1]AUTOS!$C:$G,4,0),"")</f>
        <v>BLANCO</v>
      </c>
      <c r="M374" t="s">
        <v>43</v>
      </c>
      <c r="P374" s="3">
        <v>-1600</v>
      </c>
    </row>
    <row r="375" spans="1:16" hidden="1" x14ac:dyDescent="0.3">
      <c r="A375">
        <v>20</v>
      </c>
      <c r="B375" t="str">
        <f>VLOOKUP($A375,[1]LISTA!$B:$C,2,0)</f>
        <v>MAYO</v>
      </c>
      <c r="C375" s="1">
        <v>2025</v>
      </c>
      <c r="D375" s="1" t="str">
        <f>IF($A375&lt;=[1]RESULTADOS!$D$6,"YTD","YTG")</f>
        <v>YTD</v>
      </c>
      <c r="E375" t="s">
        <v>17</v>
      </c>
      <c r="F375" t="s">
        <v>18</v>
      </c>
      <c r="G375" t="s">
        <v>147</v>
      </c>
      <c r="H375" t="s">
        <v>269</v>
      </c>
      <c r="I375" t="s">
        <v>21</v>
      </c>
      <c r="J375" t="str">
        <f>IFERROR(VLOOKUP(I375,[1]AUTOS!$C:$G,2,0),"")</f>
        <v/>
      </c>
      <c r="K375" t="str">
        <f>IFERROR(VLOOKUP(I375,[1]AUTOS!$C:$G,3,0),"")</f>
        <v/>
      </c>
      <c r="L375" t="str">
        <f>IFERROR(VLOOKUP(I375,[1]AUTOS!$C:$G,4,0),"")</f>
        <v/>
      </c>
      <c r="M375" t="s">
        <v>22</v>
      </c>
      <c r="P375" s="3">
        <v>-10000</v>
      </c>
    </row>
    <row r="376" spans="1:16" hidden="1" x14ac:dyDescent="0.3">
      <c r="A376">
        <v>21</v>
      </c>
      <c r="B376" t="str">
        <f>VLOOKUP($A376,[1]LISTA!$B:$C,2,0)</f>
        <v>MAYO</v>
      </c>
      <c r="C376" s="1">
        <v>2025</v>
      </c>
      <c r="D376" s="1" t="str">
        <f>IF($A376&lt;=[1]RESULTADOS!$D$6,"YTD","YTG")</f>
        <v>YTD</v>
      </c>
      <c r="E376" t="s">
        <v>31</v>
      </c>
      <c r="F376" t="s">
        <v>18</v>
      </c>
      <c r="G376" t="s">
        <v>153</v>
      </c>
      <c r="H376" t="s">
        <v>270</v>
      </c>
      <c r="I376" t="s">
        <v>59</v>
      </c>
      <c r="J376" t="str">
        <f>IFERROR(VLOOKUP(I376,[1]AUTOS!$C:$G,2,0),"")</f>
        <v>AVEO</v>
      </c>
      <c r="K376">
        <f>IFERROR(VLOOKUP(I376,[1]AUTOS!$C:$G,3,0),"")</f>
        <v>2019</v>
      </c>
      <c r="L376" t="str">
        <f>IFERROR(VLOOKUP(I376,[1]AUTOS!$C:$G,4,0),"")</f>
        <v>BLANCO</v>
      </c>
      <c r="M376" t="s">
        <v>43</v>
      </c>
      <c r="P376" s="3">
        <v>-397</v>
      </c>
    </row>
    <row r="377" spans="1:16" hidden="1" x14ac:dyDescent="0.3">
      <c r="A377">
        <v>20</v>
      </c>
      <c r="B377" t="str">
        <f>VLOOKUP($A377,[1]LISTA!$B:$C,2,0)</f>
        <v>MAYO</v>
      </c>
      <c r="C377" s="1">
        <v>2025</v>
      </c>
      <c r="D377" s="1" t="str">
        <f>IF($A377&lt;=[1]RESULTADOS!$D$6,"YTD","YTG")</f>
        <v>YTD</v>
      </c>
      <c r="E377" t="s">
        <v>31</v>
      </c>
      <c r="F377" t="s">
        <v>18</v>
      </c>
      <c r="G377" t="s">
        <v>77</v>
      </c>
      <c r="H377" t="s">
        <v>271</v>
      </c>
      <c r="I377" t="s">
        <v>162</v>
      </c>
      <c r="J377" t="str">
        <f>IFERROR(VLOOKUP(I377,[1]AUTOS!$C:$G,2,0),"")</f>
        <v>HYUNDAI</v>
      </c>
      <c r="K377">
        <f>IFERROR(VLOOKUP(I377,[1]AUTOS!$C:$G,3,0),"")</f>
        <v>2022</v>
      </c>
      <c r="L377" t="str">
        <f>IFERROR(VLOOKUP(I377,[1]AUTOS!$C:$G,4,0),"")</f>
        <v>PLATA</v>
      </c>
      <c r="M377" t="s">
        <v>43</v>
      </c>
      <c r="P377" s="3">
        <v>-2263</v>
      </c>
    </row>
    <row r="378" spans="1:16" hidden="1" x14ac:dyDescent="0.3">
      <c r="A378">
        <v>20</v>
      </c>
      <c r="B378" t="str">
        <f>VLOOKUP($A378,[1]LISTA!$B:$C,2,0)</f>
        <v>MAYO</v>
      </c>
      <c r="C378" s="1">
        <v>2025</v>
      </c>
      <c r="D378" s="1" t="str">
        <f>IF($A378&lt;=[1]RESULTADOS!$D$6,"YTD","YTG")</f>
        <v>YTD</v>
      </c>
      <c r="E378" t="s">
        <v>31</v>
      </c>
      <c r="F378" t="s">
        <v>18</v>
      </c>
      <c r="G378" t="s">
        <v>77</v>
      </c>
      <c r="H378" t="s">
        <v>216</v>
      </c>
      <c r="I378" t="s">
        <v>34</v>
      </c>
      <c r="J378" t="str">
        <f>IFERROR(VLOOKUP(I378,[1]AUTOS!$C:$G,2,0),"")</f>
        <v>AVEO</v>
      </c>
      <c r="K378">
        <f>IFERROR(VLOOKUP(I378,[1]AUTOS!$C:$G,3,0),"")</f>
        <v>2018</v>
      </c>
      <c r="L378" t="str">
        <f>IFERROR(VLOOKUP(I378,[1]AUTOS!$C:$G,4,0),"")</f>
        <v>ROJO</v>
      </c>
      <c r="M378" t="s">
        <v>35</v>
      </c>
      <c r="P378" s="3">
        <v>-417</v>
      </c>
    </row>
    <row r="379" spans="1:16" hidden="1" x14ac:dyDescent="0.3">
      <c r="A379">
        <v>20</v>
      </c>
      <c r="B379" t="str">
        <f>VLOOKUP($A379,[1]LISTA!$B:$C,2,0)</f>
        <v>MAYO</v>
      </c>
      <c r="C379" s="1">
        <v>2025</v>
      </c>
      <c r="D379" s="1" t="str">
        <f>IF($A379&lt;=[1]RESULTADOS!$D$6,"YTD","YTG")</f>
        <v>YTD</v>
      </c>
      <c r="E379" t="s">
        <v>31</v>
      </c>
      <c r="F379" t="s">
        <v>18</v>
      </c>
      <c r="G379" t="s">
        <v>87</v>
      </c>
      <c r="H379" t="s">
        <v>272</v>
      </c>
      <c r="I379" t="s">
        <v>79</v>
      </c>
      <c r="J379" t="str">
        <f>IFERROR(VLOOKUP(I379,[1]AUTOS!$C:$G,2,0),"")</f>
        <v>AVEO</v>
      </c>
      <c r="K379">
        <f>IFERROR(VLOOKUP(I379,[1]AUTOS!$C:$G,3,0),"")</f>
        <v>2021</v>
      </c>
      <c r="L379" t="str">
        <f>IFERROR(VLOOKUP(I379,[1]AUTOS!$C:$G,4,0),"")</f>
        <v>OCRE</v>
      </c>
      <c r="M379" t="s">
        <v>43</v>
      </c>
      <c r="P379" s="3">
        <v>-2400</v>
      </c>
    </row>
    <row r="380" spans="1:16" hidden="1" x14ac:dyDescent="0.3">
      <c r="A380">
        <v>20</v>
      </c>
      <c r="B380" t="str">
        <f>VLOOKUP($A380,[1]LISTA!$B:$C,2,0)</f>
        <v>MAYO</v>
      </c>
      <c r="C380" s="1">
        <v>2025</v>
      </c>
      <c r="D380" s="1" t="str">
        <f>IF($A380&lt;=[1]RESULTADOS!$D$6,"YTD","YTG")</f>
        <v>YTD</v>
      </c>
      <c r="E380" t="s">
        <v>31</v>
      </c>
      <c r="F380" t="s">
        <v>18</v>
      </c>
      <c r="G380" t="s">
        <v>57</v>
      </c>
      <c r="H380" t="s">
        <v>240</v>
      </c>
      <c r="I380" t="s">
        <v>139</v>
      </c>
      <c r="J380" t="str">
        <f>IFERROR(VLOOKUP(I380,[1]AUTOS!$C:$G,2,0),"")</f>
        <v>SWIFT</v>
      </c>
      <c r="K380">
        <f>IFERROR(VLOOKUP(I380,[1]AUTOS!$C:$G,3,0),"")</f>
        <v>2017</v>
      </c>
      <c r="L380" t="str">
        <f>IFERROR(VLOOKUP(I380,[1]AUTOS!$C:$G,4,0),"")</f>
        <v>ROJO</v>
      </c>
      <c r="M380" t="s">
        <v>140</v>
      </c>
      <c r="P380" s="3">
        <v>-340</v>
      </c>
    </row>
    <row r="381" spans="1:16" x14ac:dyDescent="0.3">
      <c r="A381">
        <v>20</v>
      </c>
      <c r="B381" t="str">
        <f>VLOOKUP($A381,[1]LISTA!$B:$C,2,0)</f>
        <v>MAYO</v>
      </c>
      <c r="C381" s="1">
        <v>2025</v>
      </c>
      <c r="D381" s="1" t="str">
        <f>IF($A381&lt;=[1]RESULTADOS!$D$6,"YTD","YTG")</f>
        <v>YTD</v>
      </c>
      <c r="E381" t="s">
        <v>31</v>
      </c>
      <c r="F381" t="s">
        <v>18</v>
      </c>
      <c r="G381" t="s">
        <v>57</v>
      </c>
      <c r="H381" t="s">
        <v>273</v>
      </c>
      <c r="I381" t="s">
        <v>72</v>
      </c>
      <c r="J381" t="str">
        <f>IFERROR(VLOOKUP(I381,[1]AUTOS!$C:$G,2,0),"")</f>
        <v>VENTO</v>
      </c>
      <c r="K381">
        <f>IFERROR(VLOOKUP(I381,[1]AUTOS!$C:$G,3,0),"")</f>
        <v>2020</v>
      </c>
      <c r="L381" t="str">
        <f>IFERROR(VLOOKUP(I381,[1]AUTOS!$C:$G,4,0),"")</f>
        <v>GRIS</v>
      </c>
      <c r="M381" t="s">
        <v>43</v>
      </c>
      <c r="P381" s="3">
        <v>-320</v>
      </c>
    </row>
    <row r="382" spans="1:16" hidden="1" x14ac:dyDescent="0.3">
      <c r="A382">
        <v>20</v>
      </c>
      <c r="B382" t="str">
        <f>VLOOKUP($A382,[1]LISTA!$B:$C,2,0)</f>
        <v>MAYO</v>
      </c>
      <c r="C382" s="1">
        <v>2025</v>
      </c>
      <c r="D382" s="1" t="str">
        <f>IF($A382&lt;=[1]RESULTADOS!$D$6,"YTD","YTG")</f>
        <v>YTD</v>
      </c>
      <c r="E382" t="s">
        <v>31</v>
      </c>
      <c r="F382" t="s">
        <v>18</v>
      </c>
      <c r="G382" t="s">
        <v>38</v>
      </c>
      <c r="H382" t="s">
        <v>194</v>
      </c>
      <c r="I382" t="s">
        <v>42</v>
      </c>
      <c r="J382" t="str">
        <f>IFERROR(VLOOKUP(I382,[1]AUTOS!$C:$G,2,0),"")</f>
        <v>VENTO</v>
      </c>
      <c r="K382">
        <f>IFERROR(VLOOKUP(I382,[1]AUTOS!$C:$G,3,0),"")</f>
        <v>2018</v>
      </c>
      <c r="L382" t="str">
        <f>IFERROR(VLOOKUP(I382,[1]AUTOS!$C:$G,4,0),"")</f>
        <v>AMARILLO</v>
      </c>
      <c r="M382" t="s">
        <v>43</v>
      </c>
      <c r="P382" s="3">
        <v>-140</v>
      </c>
    </row>
    <row r="383" spans="1:16" hidden="1" x14ac:dyDescent="0.3">
      <c r="A383">
        <v>20</v>
      </c>
      <c r="B383" t="str">
        <f>VLOOKUP($A383,[1]LISTA!$B:$C,2,0)</f>
        <v>MAYO</v>
      </c>
      <c r="C383" s="1">
        <v>2025</v>
      </c>
      <c r="D383" s="1" t="str">
        <f>IF($A383&lt;=[1]RESULTADOS!$D$6,"YTD","YTG")</f>
        <v>YTD</v>
      </c>
      <c r="E383" t="s">
        <v>31</v>
      </c>
      <c r="F383" t="s">
        <v>18</v>
      </c>
      <c r="G383" t="s">
        <v>38</v>
      </c>
      <c r="H383" t="s">
        <v>193</v>
      </c>
      <c r="I383" t="s">
        <v>42</v>
      </c>
      <c r="J383" t="str">
        <f>IFERROR(VLOOKUP(I383,[1]AUTOS!$C:$G,2,0),"")</f>
        <v>VENTO</v>
      </c>
      <c r="K383">
        <f>IFERROR(VLOOKUP(I383,[1]AUTOS!$C:$G,3,0),"")</f>
        <v>2018</v>
      </c>
      <c r="L383" t="str">
        <f>IFERROR(VLOOKUP(I383,[1]AUTOS!$C:$G,4,0),"")</f>
        <v>AMARILLO</v>
      </c>
      <c r="M383" t="s">
        <v>43</v>
      </c>
      <c r="P383" s="3">
        <v>-125</v>
      </c>
    </row>
    <row r="384" spans="1:16" x14ac:dyDescent="0.3">
      <c r="A384">
        <v>20</v>
      </c>
      <c r="B384" t="str">
        <f>VLOOKUP($A384,[1]LISTA!$B:$C,2,0)</f>
        <v>MAYO</v>
      </c>
      <c r="C384" s="1">
        <v>2025</v>
      </c>
      <c r="D384" s="1" t="str">
        <f>IF($A384&lt;=[1]RESULTADOS!$D$6,"YTD","YTG")</f>
        <v>YTD</v>
      </c>
      <c r="E384" t="s">
        <v>31</v>
      </c>
      <c r="F384" t="s">
        <v>18</v>
      </c>
      <c r="G384" t="s">
        <v>38</v>
      </c>
      <c r="H384" t="s">
        <v>274</v>
      </c>
      <c r="I384" t="s">
        <v>72</v>
      </c>
      <c r="J384" t="str">
        <f>IFERROR(VLOOKUP(I384,[1]AUTOS!$C:$G,2,0),"")</f>
        <v>VENTO</v>
      </c>
      <c r="K384">
        <f>IFERROR(VLOOKUP(I384,[1]AUTOS!$C:$G,3,0),"")</f>
        <v>2020</v>
      </c>
      <c r="L384" t="str">
        <f>IFERROR(VLOOKUP(I384,[1]AUTOS!$C:$G,4,0),"")</f>
        <v>GRIS</v>
      </c>
      <c r="M384" t="s">
        <v>43</v>
      </c>
      <c r="P384" s="3">
        <v>-380</v>
      </c>
    </row>
    <row r="385" spans="1:16" x14ac:dyDescent="0.3">
      <c r="A385">
        <v>20</v>
      </c>
      <c r="B385" t="str">
        <f>VLOOKUP($A385,[1]LISTA!$B:$C,2,0)</f>
        <v>MAYO</v>
      </c>
      <c r="C385" s="1">
        <v>2025</v>
      </c>
      <c r="D385" s="1" t="str">
        <f>IF($A385&lt;=[1]RESULTADOS!$D$6,"YTD","YTG")</f>
        <v>YTD</v>
      </c>
      <c r="E385" t="s">
        <v>31</v>
      </c>
      <c r="F385" t="s">
        <v>18</v>
      </c>
      <c r="G385" t="s">
        <v>29</v>
      </c>
      <c r="H385" t="s">
        <v>275</v>
      </c>
      <c r="I385" t="s">
        <v>72</v>
      </c>
      <c r="J385" t="str">
        <f>IFERROR(VLOOKUP(I385,[1]AUTOS!$C:$G,2,0),"")</f>
        <v>VENTO</v>
      </c>
      <c r="K385">
        <f>IFERROR(VLOOKUP(I385,[1]AUTOS!$C:$G,3,0),"")</f>
        <v>2020</v>
      </c>
      <c r="L385" t="str">
        <f>IFERROR(VLOOKUP(I385,[1]AUTOS!$C:$G,4,0),"")</f>
        <v>GRIS</v>
      </c>
      <c r="M385" t="s">
        <v>43</v>
      </c>
      <c r="P385" s="3">
        <v>-280</v>
      </c>
    </row>
    <row r="386" spans="1:16" hidden="1" x14ac:dyDescent="0.3">
      <c r="A386">
        <v>20</v>
      </c>
      <c r="B386" t="str">
        <f>VLOOKUP($A386,[1]LISTA!$B:$C,2,0)</f>
        <v>MAYO</v>
      </c>
      <c r="C386" s="1">
        <v>2025</v>
      </c>
      <c r="D386" s="1" t="str">
        <f>IF($A386&lt;=[1]RESULTADOS!$D$6,"YTD","YTG")</f>
        <v>YTD</v>
      </c>
      <c r="E386" t="s">
        <v>31</v>
      </c>
      <c r="F386" t="s">
        <v>18</v>
      </c>
      <c r="G386" t="s">
        <v>38</v>
      </c>
      <c r="H386" t="s">
        <v>276</v>
      </c>
      <c r="I386" t="s">
        <v>34</v>
      </c>
      <c r="J386" t="str">
        <f>IFERROR(VLOOKUP(I386,[1]AUTOS!$C:$G,2,0),"")</f>
        <v>AVEO</v>
      </c>
      <c r="K386">
        <f>IFERROR(VLOOKUP(I386,[1]AUTOS!$C:$G,3,0),"")</f>
        <v>2018</v>
      </c>
      <c r="L386" t="str">
        <f>IFERROR(VLOOKUP(I386,[1]AUTOS!$C:$G,4,0),"")</f>
        <v>ROJO</v>
      </c>
      <c r="M386" t="s">
        <v>35</v>
      </c>
      <c r="P386" s="3">
        <v>-200</v>
      </c>
    </row>
    <row r="387" spans="1:16" hidden="1" x14ac:dyDescent="0.3">
      <c r="A387">
        <v>20</v>
      </c>
      <c r="B387" t="str">
        <f>VLOOKUP($A387,[1]LISTA!$B:$C,2,0)</f>
        <v>MAYO</v>
      </c>
      <c r="C387" s="1">
        <v>2025</v>
      </c>
      <c r="D387" s="1" t="str">
        <f>IF($A387&lt;=[1]RESULTADOS!$D$6,"YTD","YTG")</f>
        <v>YTD</v>
      </c>
      <c r="E387" t="s">
        <v>31</v>
      </c>
      <c r="F387" t="s">
        <v>18</v>
      </c>
      <c r="G387" t="s">
        <v>38</v>
      </c>
      <c r="H387" t="s">
        <v>277</v>
      </c>
      <c r="I387" t="s">
        <v>46</v>
      </c>
      <c r="J387" t="str">
        <f>IFERROR(VLOOKUP(I387,[1]AUTOS!$C:$G,2,0),"")</f>
        <v>MARCH</v>
      </c>
      <c r="K387">
        <f>IFERROR(VLOOKUP(I387,[1]AUTOS!$C:$G,3,0),"")</f>
        <v>2020</v>
      </c>
      <c r="L387" t="str">
        <f>IFERROR(VLOOKUP(I387,[1]AUTOS!$C:$G,4,0),"")</f>
        <v>TURQ</v>
      </c>
      <c r="M387" t="s">
        <v>43</v>
      </c>
      <c r="P387" s="3">
        <v>-100</v>
      </c>
    </row>
    <row r="388" spans="1:16" hidden="1" x14ac:dyDescent="0.3">
      <c r="A388">
        <v>20</v>
      </c>
      <c r="B388" t="str">
        <f>VLOOKUP($A388,[1]LISTA!$B:$C,2,0)</f>
        <v>MAYO</v>
      </c>
      <c r="C388" s="1">
        <v>2025</v>
      </c>
      <c r="D388" s="1" t="str">
        <f>IF($A388&lt;=[1]RESULTADOS!$D$6,"YTD","YTG")</f>
        <v>YTD</v>
      </c>
      <c r="E388" t="s">
        <v>31</v>
      </c>
      <c r="F388" t="s">
        <v>18</v>
      </c>
      <c r="G388" t="s">
        <v>57</v>
      </c>
      <c r="H388" t="s">
        <v>278</v>
      </c>
      <c r="I388" t="s">
        <v>46</v>
      </c>
      <c r="J388" t="str">
        <f>IFERROR(VLOOKUP(I388,[1]AUTOS!$C:$G,2,0),"")</f>
        <v>MARCH</v>
      </c>
      <c r="K388">
        <f>IFERROR(VLOOKUP(I388,[1]AUTOS!$C:$G,3,0),"")</f>
        <v>2020</v>
      </c>
      <c r="L388" t="str">
        <f>IFERROR(VLOOKUP(I388,[1]AUTOS!$C:$G,4,0),"")</f>
        <v>TURQ</v>
      </c>
      <c r="M388" t="s">
        <v>43</v>
      </c>
      <c r="P388" s="3">
        <v>-850</v>
      </c>
    </row>
    <row r="389" spans="1:16" hidden="1" x14ac:dyDescent="0.3">
      <c r="A389">
        <v>20</v>
      </c>
      <c r="B389" t="str">
        <f>VLOOKUP($A389,[1]LISTA!$B:$C,2,0)</f>
        <v>MAYO</v>
      </c>
      <c r="C389" s="1">
        <v>2025</v>
      </c>
      <c r="D389" s="1" t="str">
        <f>IF($A389&lt;=[1]RESULTADOS!$D$6,"YTD","YTG")</f>
        <v>YTD</v>
      </c>
      <c r="E389" t="s">
        <v>31</v>
      </c>
      <c r="F389" t="s">
        <v>18</v>
      </c>
      <c r="G389" t="s">
        <v>53</v>
      </c>
      <c r="H389" t="s">
        <v>233</v>
      </c>
      <c r="I389" t="s">
        <v>162</v>
      </c>
      <c r="J389" t="str">
        <f>IFERROR(VLOOKUP(I389,[1]AUTOS!$C:$G,2,0),"")</f>
        <v>HYUNDAI</v>
      </c>
      <c r="K389">
        <f>IFERROR(VLOOKUP(I389,[1]AUTOS!$C:$G,3,0),"")</f>
        <v>2022</v>
      </c>
      <c r="L389" t="str">
        <f>IFERROR(VLOOKUP(I389,[1]AUTOS!$C:$G,4,0),"")</f>
        <v>PLATA</v>
      </c>
      <c r="M389" t="s">
        <v>43</v>
      </c>
      <c r="P389" s="3">
        <v>-100</v>
      </c>
    </row>
    <row r="390" spans="1:16" hidden="1" x14ac:dyDescent="0.3">
      <c r="A390">
        <v>20</v>
      </c>
      <c r="B390" t="str">
        <f>VLOOKUP($A390,[1]LISTA!$B:$C,2,0)</f>
        <v>MAYO</v>
      </c>
      <c r="C390" s="1">
        <v>2025</v>
      </c>
      <c r="D390" s="1" t="str">
        <f>IF($A390&lt;=[1]RESULTADOS!$D$6,"YTD","YTG")</f>
        <v>YTD</v>
      </c>
      <c r="E390" t="s">
        <v>31</v>
      </c>
      <c r="F390" t="s">
        <v>18</v>
      </c>
      <c r="G390" t="s">
        <v>53</v>
      </c>
      <c r="H390" t="s">
        <v>233</v>
      </c>
      <c r="I390" t="s">
        <v>82</v>
      </c>
      <c r="J390" t="str">
        <f>IFERROR(VLOOKUP(I390,[1]AUTOS!$C:$G,2,0),"")</f>
        <v>AVEO</v>
      </c>
      <c r="K390">
        <f>IFERROR(VLOOKUP(I390,[1]AUTOS!$C:$G,3,0),"")</f>
        <v>2019</v>
      </c>
      <c r="L390" t="str">
        <f>IFERROR(VLOOKUP(I390,[1]AUTOS!$C:$G,4,0),"")</f>
        <v>PLATA</v>
      </c>
      <c r="M390" t="s">
        <v>43</v>
      </c>
      <c r="P390" s="3">
        <v>-100</v>
      </c>
    </row>
    <row r="391" spans="1:16" hidden="1" x14ac:dyDescent="0.3">
      <c r="A391">
        <v>20</v>
      </c>
      <c r="B391" t="str">
        <f>VLOOKUP($A391,[1]LISTA!$B:$C,2,0)</f>
        <v>MAYO</v>
      </c>
      <c r="C391" s="1">
        <v>2025</v>
      </c>
      <c r="D391" s="1" t="str">
        <f>IF($A391&lt;=[1]RESULTADOS!$D$6,"YTD","YTG")</f>
        <v>YTD</v>
      </c>
      <c r="E391" t="s">
        <v>31</v>
      </c>
      <c r="F391" t="s">
        <v>18</v>
      </c>
      <c r="G391" t="s">
        <v>29</v>
      </c>
      <c r="H391" t="s">
        <v>113</v>
      </c>
      <c r="I391" t="s">
        <v>79</v>
      </c>
      <c r="J391" t="str">
        <f>IFERROR(VLOOKUP(I391,[1]AUTOS!$C:$G,2,0),"")</f>
        <v>AVEO</v>
      </c>
      <c r="K391">
        <f>IFERROR(VLOOKUP(I391,[1]AUTOS!$C:$G,3,0),"")</f>
        <v>2021</v>
      </c>
      <c r="L391" t="str">
        <f>IFERROR(VLOOKUP(I391,[1]AUTOS!$C:$G,4,0),"")</f>
        <v>OCRE</v>
      </c>
      <c r="M391" t="s">
        <v>43</v>
      </c>
      <c r="P391" s="3">
        <v>-250</v>
      </c>
    </row>
    <row r="392" spans="1:16" hidden="1" x14ac:dyDescent="0.3">
      <c r="A392">
        <v>21</v>
      </c>
      <c r="B392" t="str">
        <f>VLOOKUP($A392,[1]LISTA!$B:$C,2,0)</f>
        <v>MAYO</v>
      </c>
      <c r="C392" s="1">
        <v>2025</v>
      </c>
      <c r="D392" s="1" t="str">
        <f>IF($A392&lt;=[1]RESULTADOS!$D$6,"YTD","YTG")</f>
        <v>YTD</v>
      </c>
      <c r="E392" t="s">
        <v>31</v>
      </c>
      <c r="F392" t="s">
        <v>18</v>
      </c>
      <c r="G392" t="s">
        <v>57</v>
      </c>
      <c r="H392" t="s">
        <v>279</v>
      </c>
      <c r="I392" t="s">
        <v>34</v>
      </c>
      <c r="J392" t="str">
        <f>IFERROR(VLOOKUP(I392,[1]AUTOS!$C:$G,2,0),"")</f>
        <v>AVEO</v>
      </c>
      <c r="K392">
        <f>IFERROR(VLOOKUP(I392,[1]AUTOS!$C:$G,3,0),"")</f>
        <v>2018</v>
      </c>
      <c r="L392" t="str">
        <f>IFERROR(VLOOKUP(I392,[1]AUTOS!$C:$G,4,0),"")</f>
        <v>ROJO</v>
      </c>
      <c r="M392" t="s">
        <v>35</v>
      </c>
      <c r="P392" s="3">
        <v>-412</v>
      </c>
    </row>
    <row r="393" spans="1:16" hidden="1" x14ac:dyDescent="0.3">
      <c r="A393">
        <v>21</v>
      </c>
      <c r="B393" t="str">
        <f>VLOOKUP($A393,[1]LISTA!$B:$C,2,0)</f>
        <v>MAYO</v>
      </c>
      <c r="C393" s="1">
        <v>2025</v>
      </c>
      <c r="D393" s="1" t="str">
        <f>IF($A393&lt;=[1]RESULTADOS!$D$6,"YTD","YTG")</f>
        <v>YTD</v>
      </c>
      <c r="E393" t="s">
        <v>31</v>
      </c>
      <c r="F393" t="s">
        <v>18</v>
      </c>
      <c r="G393" t="s">
        <v>57</v>
      </c>
      <c r="H393" t="s">
        <v>280</v>
      </c>
      <c r="I393" t="s">
        <v>34</v>
      </c>
      <c r="J393" t="str">
        <f>IFERROR(VLOOKUP(I393,[1]AUTOS!$C:$G,2,0),"")</f>
        <v>AVEO</v>
      </c>
      <c r="K393">
        <f>IFERROR(VLOOKUP(I393,[1]AUTOS!$C:$G,3,0),"")</f>
        <v>2018</v>
      </c>
      <c r="L393" t="str">
        <f>IFERROR(VLOOKUP(I393,[1]AUTOS!$C:$G,4,0),"")</f>
        <v>ROJO</v>
      </c>
      <c r="M393" t="s">
        <v>35</v>
      </c>
      <c r="P393" s="3">
        <v>-150</v>
      </c>
    </row>
    <row r="394" spans="1:16" hidden="1" x14ac:dyDescent="0.3">
      <c r="A394">
        <v>21</v>
      </c>
      <c r="B394" t="str">
        <f>VLOOKUP($A394,[1]LISTA!$B:$C,2,0)</f>
        <v>MAYO</v>
      </c>
      <c r="C394" s="1">
        <v>2025</v>
      </c>
      <c r="D394" s="1" t="str">
        <f>IF($A394&lt;=[1]RESULTADOS!$D$6,"YTD","YTG")</f>
        <v>YTD</v>
      </c>
      <c r="E394" t="s">
        <v>31</v>
      </c>
      <c r="F394" t="s">
        <v>18</v>
      </c>
      <c r="G394" t="s">
        <v>64</v>
      </c>
      <c r="H394" t="s">
        <v>281</v>
      </c>
      <c r="I394" t="s">
        <v>79</v>
      </c>
      <c r="J394" t="str">
        <f>IFERROR(VLOOKUP(I394,[1]AUTOS!$C:$G,2,0),"")</f>
        <v>AVEO</v>
      </c>
      <c r="K394">
        <f>IFERROR(VLOOKUP(I394,[1]AUTOS!$C:$G,3,0),"")</f>
        <v>2021</v>
      </c>
      <c r="L394" t="str">
        <f>IFERROR(VLOOKUP(I394,[1]AUTOS!$C:$G,4,0),"")</f>
        <v>OCRE</v>
      </c>
      <c r="M394" t="s">
        <v>43</v>
      </c>
      <c r="P394" s="3">
        <v>-250</v>
      </c>
    </row>
    <row r="395" spans="1:16" hidden="1" x14ac:dyDescent="0.3">
      <c r="A395">
        <v>21</v>
      </c>
      <c r="B395" t="str">
        <f>VLOOKUP($A395,[1]LISTA!$B:$C,2,0)</f>
        <v>MAYO</v>
      </c>
      <c r="C395" s="1">
        <v>2025</v>
      </c>
      <c r="D395" s="1" t="str">
        <f>IF($A395&lt;=[1]RESULTADOS!$D$6,"YTD","YTG")</f>
        <v>YTD</v>
      </c>
      <c r="E395" t="s">
        <v>31</v>
      </c>
      <c r="F395" t="s">
        <v>18</v>
      </c>
      <c r="G395" t="s">
        <v>57</v>
      </c>
      <c r="H395" t="s">
        <v>282</v>
      </c>
      <c r="I395" t="s">
        <v>79</v>
      </c>
      <c r="J395" t="str">
        <f>IFERROR(VLOOKUP(I395,[1]AUTOS!$C:$G,2,0),"")</f>
        <v>AVEO</v>
      </c>
      <c r="K395">
        <f>IFERROR(VLOOKUP(I395,[1]AUTOS!$C:$G,3,0),"")</f>
        <v>2021</v>
      </c>
      <c r="L395" t="str">
        <f>IFERROR(VLOOKUP(I395,[1]AUTOS!$C:$G,4,0),"")</f>
        <v>OCRE</v>
      </c>
      <c r="M395" t="s">
        <v>43</v>
      </c>
      <c r="P395" s="3">
        <v>-130</v>
      </c>
    </row>
    <row r="396" spans="1:16" hidden="1" x14ac:dyDescent="0.3">
      <c r="A396">
        <v>21</v>
      </c>
      <c r="B396" t="str">
        <f>VLOOKUP($A396,[1]LISTA!$B:$C,2,0)</f>
        <v>MAYO</v>
      </c>
      <c r="C396" s="1">
        <v>2025</v>
      </c>
      <c r="D396" s="1" t="str">
        <f>IF($A396&lt;=[1]RESULTADOS!$D$6,"YTD","YTG")</f>
        <v>YTD</v>
      </c>
      <c r="E396" t="s">
        <v>31</v>
      </c>
      <c r="F396" t="s">
        <v>18</v>
      </c>
      <c r="G396" t="s">
        <v>29</v>
      </c>
      <c r="H396" t="s">
        <v>113</v>
      </c>
      <c r="I396" t="s">
        <v>79</v>
      </c>
      <c r="J396" t="str">
        <f>IFERROR(VLOOKUP(I396,[1]AUTOS!$C:$G,2,0),"")</f>
        <v>AVEO</v>
      </c>
      <c r="K396">
        <f>IFERROR(VLOOKUP(I396,[1]AUTOS!$C:$G,3,0),"")</f>
        <v>2021</v>
      </c>
      <c r="L396" t="str">
        <f>IFERROR(VLOOKUP(I396,[1]AUTOS!$C:$G,4,0),"")</f>
        <v>OCRE</v>
      </c>
      <c r="M396" t="s">
        <v>43</v>
      </c>
      <c r="P396" s="3">
        <v>-160</v>
      </c>
    </row>
    <row r="397" spans="1:16" hidden="1" x14ac:dyDescent="0.3">
      <c r="A397">
        <v>21</v>
      </c>
      <c r="B397" t="str">
        <f>VLOOKUP($A397,[1]LISTA!$B:$C,2,0)</f>
        <v>MAYO</v>
      </c>
      <c r="C397" s="1">
        <v>2025</v>
      </c>
      <c r="D397" s="1" t="str">
        <f>IF($A397&lt;=[1]RESULTADOS!$D$6,"YTD","YTG")</f>
        <v>YTD</v>
      </c>
      <c r="E397" t="s">
        <v>31</v>
      </c>
      <c r="F397" t="s">
        <v>18</v>
      </c>
      <c r="G397" t="s">
        <v>57</v>
      </c>
      <c r="H397" t="s">
        <v>283</v>
      </c>
      <c r="I397" t="s">
        <v>46</v>
      </c>
      <c r="J397" t="str">
        <f>IFERROR(VLOOKUP(I397,[1]AUTOS!$C:$G,2,0),"")</f>
        <v>MARCH</v>
      </c>
      <c r="K397">
        <f>IFERROR(VLOOKUP(I397,[1]AUTOS!$C:$G,3,0),"")</f>
        <v>2020</v>
      </c>
      <c r="L397" t="str">
        <f>IFERROR(VLOOKUP(I397,[1]AUTOS!$C:$G,4,0),"")</f>
        <v>TURQ</v>
      </c>
      <c r="M397" t="s">
        <v>43</v>
      </c>
      <c r="P397" s="3">
        <v>-600</v>
      </c>
    </row>
    <row r="398" spans="1:16" hidden="1" x14ac:dyDescent="0.3">
      <c r="A398">
        <v>21</v>
      </c>
      <c r="B398" t="str">
        <f>VLOOKUP($A398,[1]LISTA!$B:$C,2,0)</f>
        <v>MAYO</v>
      </c>
      <c r="C398" s="1">
        <v>2025</v>
      </c>
      <c r="D398" s="1" t="str">
        <f>IF($A398&lt;=[1]RESULTADOS!$D$6,"YTD","YTG")</f>
        <v>YTD</v>
      </c>
      <c r="E398" t="s">
        <v>31</v>
      </c>
      <c r="F398" t="s">
        <v>18</v>
      </c>
      <c r="G398" t="s">
        <v>57</v>
      </c>
      <c r="H398" t="s">
        <v>284</v>
      </c>
      <c r="I398" t="s">
        <v>42</v>
      </c>
      <c r="J398" t="str">
        <f>IFERROR(VLOOKUP(I398,[1]AUTOS!$C:$G,2,0),"")</f>
        <v>VENTO</v>
      </c>
      <c r="K398">
        <f>IFERROR(VLOOKUP(I398,[1]AUTOS!$C:$G,3,0),"")</f>
        <v>2018</v>
      </c>
      <c r="L398" t="str">
        <f>IFERROR(VLOOKUP(I398,[1]AUTOS!$C:$G,4,0),"")</f>
        <v>AMARILLO</v>
      </c>
      <c r="M398" t="s">
        <v>43</v>
      </c>
      <c r="P398" s="3">
        <v>-1094</v>
      </c>
    </row>
    <row r="399" spans="1:16" hidden="1" x14ac:dyDescent="0.3">
      <c r="A399">
        <v>21</v>
      </c>
      <c r="B399" t="str">
        <f>VLOOKUP($A399,[1]LISTA!$B:$C,2,0)</f>
        <v>MAYO</v>
      </c>
      <c r="C399" s="1">
        <v>2025</v>
      </c>
      <c r="D399" s="1" t="str">
        <f>IF($A399&lt;=[1]RESULTADOS!$D$6,"YTD","YTG")</f>
        <v>YTD</v>
      </c>
      <c r="E399" t="s">
        <v>31</v>
      </c>
      <c r="F399" t="s">
        <v>18</v>
      </c>
      <c r="G399" t="s">
        <v>153</v>
      </c>
      <c r="H399" t="s">
        <v>285</v>
      </c>
      <c r="I399" t="s">
        <v>178</v>
      </c>
      <c r="J399" t="str">
        <f>IFERROR(VLOOKUP(I399,[1]AUTOS!$C:$G,2,0),"")</f>
        <v>VERSA</v>
      </c>
      <c r="K399">
        <f>IFERROR(VLOOKUP(I399,[1]AUTOS!$C:$G,3,0),"")</f>
        <v>2020</v>
      </c>
      <c r="L399" t="str">
        <f>IFERROR(VLOOKUP(I399,[1]AUTOS!$C:$G,4,0),"")</f>
        <v>BLANCO</v>
      </c>
      <c r="M399" t="s">
        <v>43</v>
      </c>
      <c r="P399" s="3">
        <v>-475</v>
      </c>
    </row>
    <row r="400" spans="1:16" hidden="1" x14ac:dyDescent="0.3">
      <c r="A400">
        <v>21</v>
      </c>
      <c r="B400" t="str">
        <f>VLOOKUP($A400,[1]LISTA!$B:$C,2,0)</f>
        <v>MAYO</v>
      </c>
      <c r="C400" s="1">
        <v>2025</v>
      </c>
      <c r="D400" s="1" t="str">
        <f>IF($A400&lt;=[1]RESULTADOS!$D$6,"YTD","YTG")</f>
        <v>YTD</v>
      </c>
      <c r="E400" t="s">
        <v>31</v>
      </c>
      <c r="F400" t="s">
        <v>18</v>
      </c>
      <c r="G400" t="s">
        <v>77</v>
      </c>
      <c r="H400" t="s">
        <v>78</v>
      </c>
      <c r="I400" t="s">
        <v>34</v>
      </c>
      <c r="J400" t="str">
        <f>IFERROR(VLOOKUP(I400,[1]AUTOS!$C:$G,2,0),"")</f>
        <v>AVEO</v>
      </c>
      <c r="K400">
        <f>IFERROR(VLOOKUP(I400,[1]AUTOS!$C:$G,3,0),"")</f>
        <v>2018</v>
      </c>
      <c r="L400" t="str">
        <f>IFERROR(VLOOKUP(I400,[1]AUTOS!$C:$G,4,0),"")</f>
        <v>ROJO</v>
      </c>
      <c r="M400" t="s">
        <v>35</v>
      </c>
      <c r="P400" s="3">
        <v>-740</v>
      </c>
    </row>
    <row r="401" spans="1:16" hidden="1" x14ac:dyDescent="0.3">
      <c r="A401">
        <v>21</v>
      </c>
      <c r="B401" t="str">
        <f>VLOOKUP($A401,[1]LISTA!$B:$C,2,0)</f>
        <v>MAYO</v>
      </c>
      <c r="C401" s="1">
        <v>2025</v>
      </c>
      <c r="D401" s="1" t="str">
        <f>IF($A401&lt;=[1]RESULTADOS!$D$6,"YTD","YTG")</f>
        <v>YTD</v>
      </c>
      <c r="E401" t="s">
        <v>31</v>
      </c>
      <c r="F401" t="s">
        <v>18</v>
      </c>
      <c r="G401" t="s">
        <v>77</v>
      </c>
      <c r="H401" t="s">
        <v>286</v>
      </c>
      <c r="I401" t="s">
        <v>34</v>
      </c>
      <c r="J401" t="str">
        <f>IFERROR(VLOOKUP(I401,[1]AUTOS!$C:$G,2,0),"")</f>
        <v>AVEO</v>
      </c>
      <c r="K401">
        <f>IFERROR(VLOOKUP(I401,[1]AUTOS!$C:$G,3,0),"")</f>
        <v>2018</v>
      </c>
      <c r="L401" t="str">
        <f>IFERROR(VLOOKUP(I401,[1]AUTOS!$C:$G,4,0),"")</f>
        <v>ROJO</v>
      </c>
      <c r="M401" t="s">
        <v>35</v>
      </c>
      <c r="P401" s="3">
        <v>-300</v>
      </c>
    </row>
    <row r="402" spans="1:16" hidden="1" x14ac:dyDescent="0.3">
      <c r="A402">
        <v>21</v>
      </c>
      <c r="B402" t="str">
        <f>VLOOKUP($A402,[1]LISTA!$B:$C,2,0)</f>
        <v>MAYO</v>
      </c>
      <c r="C402" s="1">
        <v>2025</v>
      </c>
      <c r="D402" s="1" t="str">
        <f>IF($A402&lt;=[1]RESULTADOS!$D$6,"YTD","YTG")</f>
        <v>YTD</v>
      </c>
      <c r="E402" t="s">
        <v>31</v>
      </c>
      <c r="F402" t="s">
        <v>18</v>
      </c>
      <c r="G402" t="s">
        <v>57</v>
      </c>
      <c r="H402" t="s">
        <v>287</v>
      </c>
      <c r="I402" t="s">
        <v>34</v>
      </c>
      <c r="J402" t="str">
        <f>IFERROR(VLOOKUP(I402,[1]AUTOS!$C:$G,2,0),"")</f>
        <v>AVEO</v>
      </c>
      <c r="K402">
        <f>IFERROR(VLOOKUP(I402,[1]AUTOS!$C:$G,3,0),"")</f>
        <v>2018</v>
      </c>
      <c r="L402" t="str">
        <f>IFERROR(VLOOKUP(I402,[1]AUTOS!$C:$G,4,0),"")</f>
        <v>ROJO</v>
      </c>
      <c r="M402" t="s">
        <v>35</v>
      </c>
      <c r="P402" s="3">
        <v>-70</v>
      </c>
    </row>
    <row r="403" spans="1:16" hidden="1" x14ac:dyDescent="0.3">
      <c r="A403">
        <v>21</v>
      </c>
      <c r="B403" t="str">
        <f>VLOOKUP($A403,[1]LISTA!$B:$C,2,0)</f>
        <v>MAYO</v>
      </c>
      <c r="C403" s="1">
        <v>2025</v>
      </c>
      <c r="D403" s="1" t="str">
        <f>IF($A403&lt;=[1]RESULTADOS!$D$6,"YTD","YTG")</f>
        <v>YTD</v>
      </c>
      <c r="E403" t="s">
        <v>31</v>
      </c>
      <c r="F403" t="s">
        <v>18</v>
      </c>
      <c r="G403" t="s">
        <v>176</v>
      </c>
      <c r="H403" t="s">
        <v>288</v>
      </c>
      <c r="I403" t="s">
        <v>116</v>
      </c>
      <c r="J403" t="str">
        <f>IFERROR(VLOOKUP(I403,[1]AUTOS!$C:$G,2,0),"")</f>
        <v>AVEO</v>
      </c>
      <c r="K403">
        <f>IFERROR(VLOOKUP(I403,[1]AUTOS!$C:$G,3,0),"")</f>
        <v>2022</v>
      </c>
      <c r="L403" t="str">
        <f>IFERROR(VLOOKUP(I403,[1]AUTOS!$C:$G,4,0),"")</f>
        <v>AZUL</v>
      </c>
      <c r="M403" t="s">
        <v>43</v>
      </c>
      <c r="P403" s="3">
        <v>-365</v>
      </c>
    </row>
    <row r="404" spans="1:16" hidden="1" x14ac:dyDescent="0.3">
      <c r="A404">
        <v>21</v>
      </c>
      <c r="B404" t="str">
        <f>VLOOKUP($A404,[1]LISTA!$B:$C,2,0)</f>
        <v>MAYO</v>
      </c>
      <c r="C404" s="1">
        <v>2025</v>
      </c>
      <c r="D404" s="1" t="str">
        <f>IF($A404&lt;=[1]RESULTADOS!$D$6,"YTD","YTG")</f>
        <v>YTD</v>
      </c>
      <c r="E404" t="s">
        <v>31</v>
      </c>
      <c r="F404" t="s">
        <v>18</v>
      </c>
      <c r="G404" t="s">
        <v>57</v>
      </c>
      <c r="H404" t="s">
        <v>289</v>
      </c>
      <c r="I404" t="s">
        <v>79</v>
      </c>
      <c r="J404" t="str">
        <f>IFERROR(VLOOKUP(I404,[1]AUTOS!$C:$G,2,0),"")</f>
        <v>AVEO</v>
      </c>
      <c r="K404">
        <f>IFERROR(VLOOKUP(I404,[1]AUTOS!$C:$G,3,0),"")</f>
        <v>2021</v>
      </c>
      <c r="L404" t="str">
        <f>IFERROR(VLOOKUP(I404,[1]AUTOS!$C:$G,4,0),"")</f>
        <v>OCRE</v>
      </c>
      <c r="M404" t="s">
        <v>43</v>
      </c>
      <c r="P404" s="3">
        <v>-407</v>
      </c>
    </row>
    <row r="405" spans="1:16" hidden="1" x14ac:dyDescent="0.3">
      <c r="A405">
        <v>21</v>
      </c>
      <c r="B405" t="str">
        <f>VLOOKUP($A405,[1]LISTA!$B:$C,2,0)</f>
        <v>MAYO</v>
      </c>
      <c r="C405" s="1">
        <v>2025</v>
      </c>
      <c r="D405" s="1" t="str">
        <f>IF($A405&lt;=[1]RESULTADOS!$D$6,"YTD","YTG")</f>
        <v>YTD</v>
      </c>
      <c r="E405" t="s">
        <v>31</v>
      </c>
      <c r="F405" t="s">
        <v>18</v>
      </c>
      <c r="G405" t="s">
        <v>64</v>
      </c>
      <c r="H405" t="s">
        <v>290</v>
      </c>
      <c r="I405" t="s">
        <v>79</v>
      </c>
      <c r="J405" t="str">
        <f>IFERROR(VLOOKUP(I405,[1]AUTOS!$C:$G,2,0),"")</f>
        <v>AVEO</v>
      </c>
      <c r="K405">
        <f>IFERROR(VLOOKUP(I405,[1]AUTOS!$C:$G,3,0),"")</f>
        <v>2021</v>
      </c>
      <c r="L405" t="str">
        <f>IFERROR(VLOOKUP(I405,[1]AUTOS!$C:$G,4,0),"")</f>
        <v>OCRE</v>
      </c>
      <c r="M405" t="s">
        <v>43</v>
      </c>
      <c r="P405" s="3">
        <v>-300</v>
      </c>
    </row>
    <row r="406" spans="1:16" hidden="1" x14ac:dyDescent="0.3">
      <c r="A406">
        <v>21</v>
      </c>
      <c r="B406" t="str">
        <f>VLOOKUP($A406,[1]LISTA!$B:$C,2,0)</f>
        <v>MAYO</v>
      </c>
      <c r="C406" s="1">
        <v>2025</v>
      </c>
      <c r="D406" s="1" t="str">
        <f>IF($A406&lt;=[1]RESULTADOS!$D$6,"YTD","YTG")</f>
        <v>YTD</v>
      </c>
      <c r="E406" t="s">
        <v>31</v>
      </c>
      <c r="F406" t="s">
        <v>18</v>
      </c>
      <c r="G406" t="s">
        <v>57</v>
      </c>
      <c r="H406" t="s">
        <v>291</v>
      </c>
      <c r="I406" t="s">
        <v>116</v>
      </c>
      <c r="J406" t="str">
        <f>IFERROR(VLOOKUP(I406,[1]AUTOS!$C:$G,2,0),"")</f>
        <v>AVEO</v>
      </c>
      <c r="K406">
        <f>IFERROR(VLOOKUP(I406,[1]AUTOS!$C:$G,3,0),"")</f>
        <v>2022</v>
      </c>
      <c r="L406" t="str">
        <f>IFERROR(VLOOKUP(I406,[1]AUTOS!$C:$G,4,0),"")</f>
        <v>AZUL</v>
      </c>
      <c r="M406" t="s">
        <v>43</v>
      </c>
      <c r="P406" s="3">
        <v>-800</v>
      </c>
    </row>
    <row r="407" spans="1:16" hidden="1" x14ac:dyDescent="0.3">
      <c r="A407">
        <v>21</v>
      </c>
      <c r="B407" t="str">
        <f>VLOOKUP($A407,[1]LISTA!$B:$C,2,0)</f>
        <v>MAYO</v>
      </c>
      <c r="C407" s="1">
        <v>2025</v>
      </c>
      <c r="D407" s="1" t="str">
        <f>IF($A407&lt;=[1]RESULTADOS!$D$6,"YTD","YTG")</f>
        <v>YTD</v>
      </c>
      <c r="E407" t="s">
        <v>31</v>
      </c>
      <c r="F407" t="s">
        <v>18</v>
      </c>
      <c r="G407" t="s">
        <v>29</v>
      </c>
      <c r="H407" t="s">
        <v>113</v>
      </c>
      <c r="I407" t="s">
        <v>131</v>
      </c>
      <c r="J407" t="str">
        <f>IFERROR(VLOOKUP(I407,[1]AUTOS!$C:$G,2,0),"")</f>
        <v>AVEO</v>
      </c>
      <c r="K407">
        <f>IFERROR(VLOOKUP(I407,[1]AUTOS!$C:$G,3,0),"")</f>
        <v>2024</v>
      </c>
      <c r="L407" t="str">
        <f>IFERROR(VLOOKUP(I407,[1]AUTOS!$C:$G,4,0),"")</f>
        <v>GRIS</v>
      </c>
      <c r="M407" t="s">
        <v>43</v>
      </c>
      <c r="P407" s="3">
        <v>-150</v>
      </c>
    </row>
    <row r="408" spans="1:16" hidden="1" x14ac:dyDescent="0.3">
      <c r="A408">
        <v>21</v>
      </c>
      <c r="B408" t="str">
        <f>VLOOKUP($A408,[1]LISTA!$B:$C,2,0)</f>
        <v>MAYO</v>
      </c>
      <c r="C408" s="1">
        <v>2025</v>
      </c>
      <c r="D408" s="1" t="str">
        <f>IF($A408&lt;=[1]RESULTADOS!$D$6,"YTD","YTG")</f>
        <v>YTD</v>
      </c>
      <c r="E408" t="s">
        <v>17</v>
      </c>
      <c r="F408" t="s">
        <v>18</v>
      </c>
      <c r="G408" t="s">
        <v>48</v>
      </c>
      <c r="H408" t="s">
        <v>242</v>
      </c>
      <c r="I408" t="s">
        <v>21</v>
      </c>
      <c r="J408" t="str">
        <f>IFERROR(VLOOKUP(I408,[1]AUTOS!$C:$G,2,0),"")</f>
        <v/>
      </c>
      <c r="K408" t="str">
        <f>IFERROR(VLOOKUP(I408,[1]AUTOS!$C:$G,3,0),"")</f>
        <v/>
      </c>
      <c r="L408" t="str">
        <f>IFERROR(VLOOKUP(I408,[1]AUTOS!$C:$G,4,0),"")</f>
        <v/>
      </c>
      <c r="M408" t="s">
        <v>22</v>
      </c>
      <c r="P408" s="3">
        <v>-280</v>
      </c>
    </row>
    <row r="409" spans="1:16" hidden="1" x14ac:dyDescent="0.3">
      <c r="A409">
        <v>21</v>
      </c>
      <c r="B409" t="str">
        <f>VLOOKUP($A409,[1]LISTA!$B:$C,2,0)</f>
        <v>MAYO</v>
      </c>
      <c r="C409" s="1">
        <v>2025</v>
      </c>
      <c r="D409" s="1" t="str">
        <f>IF($A409&lt;=[1]RESULTADOS!$D$6,"YTD","YTG")</f>
        <v>YTD</v>
      </c>
      <c r="E409" t="s">
        <v>17</v>
      </c>
      <c r="F409" t="s">
        <v>18</v>
      </c>
      <c r="G409" t="s">
        <v>48</v>
      </c>
      <c r="H409" t="s">
        <v>292</v>
      </c>
      <c r="I409" t="s">
        <v>21</v>
      </c>
      <c r="J409" t="str">
        <f>IFERROR(VLOOKUP(I409,[1]AUTOS!$C:$G,2,0),"")</f>
        <v/>
      </c>
      <c r="K409" t="str">
        <f>IFERROR(VLOOKUP(I409,[1]AUTOS!$C:$G,3,0),"")</f>
        <v/>
      </c>
      <c r="L409" t="str">
        <f>IFERROR(VLOOKUP(I409,[1]AUTOS!$C:$G,4,0),"")</f>
        <v/>
      </c>
      <c r="M409" t="s">
        <v>22</v>
      </c>
      <c r="P409" s="3">
        <v>-200</v>
      </c>
    </row>
    <row r="410" spans="1:16" hidden="1" x14ac:dyDescent="0.3">
      <c r="A410">
        <v>21</v>
      </c>
      <c r="B410" t="str">
        <f>VLOOKUP($A410,[1]LISTA!$B:$C,2,0)</f>
        <v>MAYO</v>
      </c>
      <c r="C410" s="1">
        <v>2025</v>
      </c>
      <c r="D410" s="1" t="str">
        <f>IF($A410&lt;=[1]RESULTADOS!$D$6,"YTD","YTG")</f>
        <v>YTD</v>
      </c>
      <c r="E410" t="s">
        <v>17</v>
      </c>
      <c r="F410" t="s">
        <v>18</v>
      </c>
      <c r="G410" t="s">
        <v>57</v>
      </c>
      <c r="H410" t="s">
        <v>293</v>
      </c>
      <c r="I410" t="s">
        <v>21</v>
      </c>
      <c r="J410" t="str">
        <f>IFERROR(VLOOKUP(I410,[1]AUTOS!$C:$G,2,0),"")</f>
        <v/>
      </c>
      <c r="K410" t="str">
        <f>IFERROR(VLOOKUP(I410,[1]AUTOS!$C:$G,3,0),"")</f>
        <v/>
      </c>
      <c r="L410" t="str">
        <f>IFERROR(VLOOKUP(I410,[1]AUTOS!$C:$G,4,0),"")</f>
        <v/>
      </c>
      <c r="M410" t="s">
        <v>22</v>
      </c>
      <c r="P410" s="3">
        <v>-60</v>
      </c>
    </row>
    <row r="411" spans="1:16" hidden="1" x14ac:dyDescent="0.3">
      <c r="A411">
        <v>21</v>
      </c>
      <c r="B411" t="str">
        <f>VLOOKUP($A411,[1]LISTA!$B:$C,2,0)</f>
        <v>MAYO</v>
      </c>
      <c r="C411" s="1">
        <v>2025</v>
      </c>
      <c r="D411" s="1" t="str">
        <f>IF($A411&lt;=[1]RESULTADOS!$D$6,"YTD","YTG")</f>
        <v>YTD</v>
      </c>
      <c r="E411" t="s">
        <v>17</v>
      </c>
      <c r="F411" t="s">
        <v>18</v>
      </c>
      <c r="G411" t="s">
        <v>29</v>
      </c>
      <c r="H411" t="s">
        <v>30</v>
      </c>
      <c r="I411" t="s">
        <v>21</v>
      </c>
      <c r="J411" t="str">
        <f>IFERROR(VLOOKUP(I411,[1]AUTOS!$C:$G,2,0),"")</f>
        <v/>
      </c>
      <c r="K411" t="str">
        <f>IFERROR(VLOOKUP(I411,[1]AUTOS!$C:$G,3,0),"")</f>
        <v/>
      </c>
      <c r="L411" t="str">
        <f>IFERROR(VLOOKUP(I411,[1]AUTOS!$C:$G,4,0),"")</f>
        <v/>
      </c>
      <c r="M411" t="s">
        <v>22</v>
      </c>
      <c r="P411" s="3">
        <v>-500</v>
      </c>
    </row>
    <row r="412" spans="1:16" hidden="1" x14ac:dyDescent="0.3">
      <c r="A412">
        <v>21</v>
      </c>
      <c r="B412" t="str">
        <f>VLOOKUP($A412,[1]LISTA!$B:$C,2,0)</f>
        <v>MAYO</v>
      </c>
      <c r="C412" s="1">
        <v>2025</v>
      </c>
      <c r="D412" s="1" t="str">
        <f>IF($A412&lt;=[1]RESULTADOS!$D$6,"YTD","YTG")</f>
        <v>YTD</v>
      </c>
      <c r="E412" t="s">
        <v>31</v>
      </c>
      <c r="F412" t="s">
        <v>18</v>
      </c>
      <c r="G412" t="s">
        <v>92</v>
      </c>
      <c r="H412" t="s">
        <v>294</v>
      </c>
      <c r="I412" t="s">
        <v>34</v>
      </c>
      <c r="J412" t="str">
        <f>IFERROR(VLOOKUP(I412,[1]AUTOS!$C:$G,2,0),"")</f>
        <v>AVEO</v>
      </c>
      <c r="K412">
        <f>IFERROR(VLOOKUP(I412,[1]AUTOS!$C:$G,3,0),"")</f>
        <v>2018</v>
      </c>
      <c r="L412" t="str">
        <f>IFERROR(VLOOKUP(I412,[1]AUTOS!$C:$G,4,0),"")</f>
        <v>ROJO</v>
      </c>
      <c r="M412" t="s">
        <v>35</v>
      </c>
      <c r="P412" s="3">
        <v>-835</v>
      </c>
    </row>
    <row r="413" spans="1:16" x14ac:dyDescent="0.3">
      <c r="A413">
        <v>21</v>
      </c>
      <c r="B413" t="str">
        <f>VLOOKUP($A413,[1]LISTA!$B:$C,2,0)</f>
        <v>MAYO</v>
      </c>
      <c r="C413" s="1">
        <v>2025</v>
      </c>
      <c r="D413" s="1" t="str">
        <f>IF($A413&lt;=[1]RESULTADOS!$D$6,"YTD","YTG")</f>
        <v>YTD</v>
      </c>
      <c r="E413" t="s">
        <v>31</v>
      </c>
      <c r="F413" t="s">
        <v>18</v>
      </c>
      <c r="G413" t="s">
        <v>38</v>
      </c>
      <c r="H413" t="s">
        <v>193</v>
      </c>
      <c r="I413" t="s">
        <v>72</v>
      </c>
      <c r="J413" t="str">
        <f>IFERROR(VLOOKUP(I413,[1]AUTOS!$C:$G,2,0),"")</f>
        <v>VENTO</v>
      </c>
      <c r="K413">
        <f>IFERROR(VLOOKUP(I413,[1]AUTOS!$C:$G,3,0),"")</f>
        <v>2020</v>
      </c>
      <c r="L413" t="str">
        <f>IFERROR(VLOOKUP(I413,[1]AUTOS!$C:$G,4,0),"")</f>
        <v>GRIS</v>
      </c>
      <c r="M413" t="s">
        <v>43</v>
      </c>
      <c r="P413" s="3">
        <v>-45</v>
      </c>
    </row>
    <row r="414" spans="1:16" x14ac:dyDescent="0.3">
      <c r="A414">
        <v>21</v>
      </c>
      <c r="B414" t="str">
        <f>VLOOKUP($A414,[1]LISTA!$B:$C,2,0)</f>
        <v>MAYO</v>
      </c>
      <c r="C414" s="1">
        <v>2025</v>
      </c>
      <c r="D414" s="1" t="str">
        <f>IF($A414&lt;=[1]RESULTADOS!$D$6,"YTD","YTG")</f>
        <v>YTD</v>
      </c>
      <c r="E414" t="s">
        <v>31</v>
      </c>
      <c r="F414" t="s">
        <v>18</v>
      </c>
      <c r="G414" t="s">
        <v>38</v>
      </c>
      <c r="H414" t="s">
        <v>194</v>
      </c>
      <c r="I414" t="s">
        <v>72</v>
      </c>
      <c r="J414" t="str">
        <f>IFERROR(VLOOKUP(I414,[1]AUTOS!$C:$G,2,0),"")</f>
        <v>VENTO</v>
      </c>
      <c r="K414">
        <f>IFERROR(VLOOKUP(I414,[1]AUTOS!$C:$G,3,0),"")</f>
        <v>2020</v>
      </c>
      <c r="L414" t="str">
        <f>IFERROR(VLOOKUP(I414,[1]AUTOS!$C:$G,4,0),"")</f>
        <v>GRIS</v>
      </c>
      <c r="M414" t="s">
        <v>43</v>
      </c>
      <c r="P414" s="3">
        <v>-35</v>
      </c>
    </row>
    <row r="415" spans="1:16" hidden="1" x14ac:dyDescent="0.3">
      <c r="A415">
        <v>21</v>
      </c>
      <c r="B415" t="str">
        <f>VLOOKUP($A415,[1]LISTA!$B:$C,2,0)</f>
        <v>MAYO</v>
      </c>
      <c r="C415" s="1">
        <v>2025</v>
      </c>
      <c r="D415" s="1" t="str">
        <f>IF($A415&lt;=[1]RESULTADOS!$D$6,"YTD","YTG")</f>
        <v>YTD</v>
      </c>
      <c r="E415" t="s">
        <v>31</v>
      </c>
      <c r="F415" t="s">
        <v>18</v>
      </c>
      <c r="G415" t="s">
        <v>29</v>
      </c>
      <c r="H415" t="s">
        <v>113</v>
      </c>
      <c r="I415" t="s">
        <v>42</v>
      </c>
      <c r="J415" t="str">
        <f>IFERROR(VLOOKUP(I415,[1]AUTOS!$C:$G,2,0),"")</f>
        <v>VENTO</v>
      </c>
      <c r="K415">
        <f>IFERROR(VLOOKUP(I415,[1]AUTOS!$C:$G,3,0),"")</f>
        <v>2018</v>
      </c>
      <c r="L415" t="str">
        <f>IFERROR(VLOOKUP(I415,[1]AUTOS!$C:$G,4,0),"")</f>
        <v>AMARILLO</v>
      </c>
      <c r="M415" t="s">
        <v>43</v>
      </c>
      <c r="P415" s="3">
        <v>-300</v>
      </c>
    </row>
    <row r="416" spans="1:16" hidden="1" x14ac:dyDescent="0.3">
      <c r="A416">
        <v>21</v>
      </c>
      <c r="B416" t="str">
        <f>VLOOKUP($A416,[1]LISTA!$B:$C,2,0)</f>
        <v>MAYO</v>
      </c>
      <c r="C416" s="1">
        <v>2025</v>
      </c>
      <c r="D416" s="1" t="str">
        <f>IF($A416&lt;=[1]RESULTADOS!$D$6,"YTD","YTG")</f>
        <v>YTD</v>
      </c>
      <c r="E416" t="s">
        <v>31</v>
      </c>
      <c r="F416" t="s">
        <v>18</v>
      </c>
      <c r="G416" t="s">
        <v>29</v>
      </c>
      <c r="H416" t="s">
        <v>113</v>
      </c>
      <c r="I416" t="s">
        <v>34</v>
      </c>
      <c r="J416" t="str">
        <f>IFERROR(VLOOKUP(I416,[1]AUTOS!$C:$G,2,0),"")</f>
        <v>AVEO</v>
      </c>
      <c r="K416">
        <f>IFERROR(VLOOKUP(I416,[1]AUTOS!$C:$G,3,0),"")</f>
        <v>2018</v>
      </c>
      <c r="L416" t="str">
        <f>IFERROR(VLOOKUP(I416,[1]AUTOS!$C:$G,4,0),"")</f>
        <v>ROJO</v>
      </c>
      <c r="M416" t="s">
        <v>35</v>
      </c>
      <c r="P416" s="3">
        <v>-100</v>
      </c>
    </row>
    <row r="417" spans="1:16" hidden="1" x14ac:dyDescent="0.3">
      <c r="A417">
        <v>21</v>
      </c>
      <c r="B417" t="str">
        <f>VLOOKUP($A417,[1]LISTA!$B:$C,2,0)</f>
        <v>MAYO</v>
      </c>
      <c r="C417" s="1">
        <v>2025</v>
      </c>
      <c r="D417" s="1" t="str">
        <f>IF($A417&lt;=[1]RESULTADOS!$D$6,"YTD","YTG")</f>
        <v>YTD</v>
      </c>
      <c r="E417" t="s">
        <v>31</v>
      </c>
      <c r="F417" t="s">
        <v>18</v>
      </c>
      <c r="G417" t="s">
        <v>29</v>
      </c>
      <c r="H417" t="s">
        <v>113</v>
      </c>
      <c r="I417" t="s">
        <v>34</v>
      </c>
      <c r="J417" t="str">
        <f>IFERROR(VLOOKUP(I417,[1]AUTOS!$C:$G,2,0),"")</f>
        <v>AVEO</v>
      </c>
      <c r="K417">
        <f>IFERROR(VLOOKUP(I417,[1]AUTOS!$C:$G,3,0),"")</f>
        <v>2018</v>
      </c>
      <c r="L417" t="str">
        <f>IFERROR(VLOOKUP(I417,[1]AUTOS!$C:$G,4,0),"")</f>
        <v>ROJO</v>
      </c>
      <c r="M417" t="s">
        <v>35</v>
      </c>
      <c r="P417" s="3">
        <v>-250</v>
      </c>
    </row>
    <row r="418" spans="1:16" hidden="1" x14ac:dyDescent="0.3">
      <c r="A418">
        <v>21</v>
      </c>
      <c r="B418" t="str">
        <f>VLOOKUP($A418,[1]LISTA!$B:$C,2,0)</f>
        <v>MAYO</v>
      </c>
      <c r="C418" s="1">
        <v>2025</v>
      </c>
      <c r="D418" s="1" t="str">
        <f>IF($A418&lt;=[1]RESULTADOS!$D$6,"YTD","YTG")</f>
        <v>YTD</v>
      </c>
      <c r="E418" t="s">
        <v>31</v>
      </c>
      <c r="F418" t="s">
        <v>18</v>
      </c>
      <c r="G418" t="s">
        <v>48</v>
      </c>
      <c r="H418" t="s">
        <v>295</v>
      </c>
      <c r="I418" t="s">
        <v>76</v>
      </c>
      <c r="J418" t="str">
        <f>IFERROR(VLOOKUP(I418,[1]AUTOS!$C:$G,2,0),"")</f>
        <v>AVEO</v>
      </c>
      <c r="K418">
        <f>IFERROR(VLOOKUP(I418,[1]AUTOS!$C:$G,3,0),"")</f>
        <v>2018</v>
      </c>
      <c r="L418" t="str">
        <f>IFERROR(VLOOKUP(I418,[1]AUTOS!$C:$G,4,0),"")</f>
        <v>GRIS</v>
      </c>
      <c r="M418" t="s">
        <v>43</v>
      </c>
      <c r="P418" s="3">
        <v>-1180</v>
      </c>
    </row>
    <row r="419" spans="1:16" hidden="1" x14ac:dyDescent="0.3">
      <c r="A419">
        <v>21</v>
      </c>
      <c r="B419" t="str">
        <f>VLOOKUP($A419,[1]LISTA!$B:$C,2,0)</f>
        <v>MAYO</v>
      </c>
      <c r="C419" s="1">
        <v>2025</v>
      </c>
      <c r="D419" s="1" t="str">
        <f>IF($A419&lt;=[1]RESULTADOS!$D$6,"YTD","YTG")</f>
        <v>YTD</v>
      </c>
      <c r="E419" t="s">
        <v>31</v>
      </c>
      <c r="F419" t="s">
        <v>18</v>
      </c>
      <c r="G419" t="s">
        <v>77</v>
      </c>
      <c r="H419" t="s">
        <v>78</v>
      </c>
      <c r="I419" t="s">
        <v>42</v>
      </c>
      <c r="J419" t="str">
        <f>IFERROR(VLOOKUP(I419,[1]AUTOS!$C:$G,2,0),"")</f>
        <v>VENTO</v>
      </c>
      <c r="K419">
        <f>IFERROR(VLOOKUP(I419,[1]AUTOS!$C:$G,3,0),"")</f>
        <v>2018</v>
      </c>
      <c r="L419" t="str">
        <f>IFERROR(VLOOKUP(I419,[1]AUTOS!$C:$G,4,0),"")</f>
        <v>AMARILLO</v>
      </c>
      <c r="M419" t="s">
        <v>43</v>
      </c>
      <c r="P419" s="3">
        <v>-820</v>
      </c>
    </row>
    <row r="420" spans="1:16" hidden="1" x14ac:dyDescent="0.3">
      <c r="A420">
        <v>21</v>
      </c>
      <c r="B420" t="str">
        <f>VLOOKUP($A420,[1]LISTA!$B:$C,2,0)</f>
        <v>MAYO</v>
      </c>
      <c r="C420" s="1">
        <v>2025</v>
      </c>
      <c r="D420" s="1" t="str">
        <f>IF($A420&lt;=[1]RESULTADOS!$D$6,"YTD","YTG")</f>
        <v>YTD</v>
      </c>
      <c r="E420" t="s">
        <v>17</v>
      </c>
      <c r="F420" t="s">
        <v>18</v>
      </c>
      <c r="G420" t="s">
        <v>41</v>
      </c>
      <c r="H420" t="s">
        <v>41</v>
      </c>
      <c r="I420" t="s">
        <v>21</v>
      </c>
      <c r="J420" t="str">
        <f>IFERROR(VLOOKUP(I420,[1]AUTOS!$C:$G,2,0),"")</f>
        <v/>
      </c>
      <c r="K420" t="str">
        <f>IFERROR(VLOOKUP(I420,[1]AUTOS!$C:$G,3,0),"")</f>
        <v/>
      </c>
      <c r="L420" t="str">
        <f>IFERROR(VLOOKUP(I420,[1]AUTOS!$C:$G,4,0),"")</f>
        <v/>
      </c>
      <c r="M420" t="s">
        <v>22</v>
      </c>
      <c r="P420" s="3">
        <v>-4000</v>
      </c>
    </row>
    <row r="421" spans="1:16" hidden="1" x14ac:dyDescent="0.3">
      <c r="A421">
        <v>21</v>
      </c>
      <c r="B421" t="str">
        <f>VLOOKUP($A421,[1]LISTA!$B:$C,2,0)</f>
        <v>MAYO</v>
      </c>
      <c r="C421" s="1">
        <v>2025</v>
      </c>
      <c r="D421" s="1" t="str">
        <f>IF($A421&lt;=[1]RESULTADOS!$D$6,"YTD","YTG")</f>
        <v>YTD</v>
      </c>
      <c r="E421" t="s">
        <v>31</v>
      </c>
      <c r="F421" t="s">
        <v>18</v>
      </c>
      <c r="G421" t="s">
        <v>29</v>
      </c>
      <c r="H421" t="s">
        <v>296</v>
      </c>
      <c r="I421" t="s">
        <v>42</v>
      </c>
      <c r="J421" t="str">
        <f>IFERROR(VLOOKUP(I421,[1]AUTOS!$C:$G,2,0),"")</f>
        <v>VENTO</v>
      </c>
      <c r="K421">
        <f>IFERROR(VLOOKUP(I421,[1]AUTOS!$C:$G,3,0),"")</f>
        <v>2018</v>
      </c>
      <c r="L421" t="str">
        <f>IFERROR(VLOOKUP(I421,[1]AUTOS!$C:$G,4,0),"")</f>
        <v>AMARILLO</v>
      </c>
      <c r="M421" t="s">
        <v>43</v>
      </c>
      <c r="P421" s="3">
        <v>-250</v>
      </c>
    </row>
    <row r="422" spans="1:16" hidden="1" x14ac:dyDescent="0.3">
      <c r="A422">
        <v>21</v>
      </c>
      <c r="B422" t="str">
        <f>VLOOKUP($A422,[1]LISTA!$B:$C,2,0)</f>
        <v>MAYO</v>
      </c>
      <c r="C422" s="1">
        <v>2025</v>
      </c>
      <c r="D422" s="1" t="str">
        <f>IF($A422&lt;=[1]RESULTADOS!$D$6,"YTD","YTG")</f>
        <v>YTD</v>
      </c>
      <c r="E422" t="s">
        <v>31</v>
      </c>
      <c r="F422" t="s">
        <v>18</v>
      </c>
      <c r="G422" t="s">
        <v>92</v>
      </c>
      <c r="H422" t="s">
        <v>294</v>
      </c>
      <c r="I422" t="s">
        <v>112</v>
      </c>
      <c r="J422" t="str">
        <f>IFERROR(VLOOKUP(I422,[1]AUTOS!$C:$G,2,0),"")</f>
        <v>KIA RIO</v>
      </c>
      <c r="K422">
        <f>IFERROR(VLOOKUP(I422,[1]AUTOS!$C:$G,3,0),"")</f>
        <v>2020</v>
      </c>
      <c r="L422" t="str">
        <f>IFERROR(VLOOKUP(I422,[1]AUTOS!$C:$G,4,0),"")</f>
        <v>ROJO</v>
      </c>
      <c r="M422" t="s">
        <v>43</v>
      </c>
      <c r="P422" s="3">
        <v>-1500</v>
      </c>
    </row>
    <row r="423" spans="1:16" hidden="1" x14ac:dyDescent="0.3">
      <c r="A423">
        <v>21</v>
      </c>
      <c r="B423" t="str">
        <f>VLOOKUP($A423,[1]LISTA!$B:$C,2,0)</f>
        <v>MAYO</v>
      </c>
      <c r="C423" s="1">
        <v>2025</v>
      </c>
      <c r="D423" s="1" t="str">
        <f>IF($A423&lt;=[1]RESULTADOS!$D$6,"YTD","YTG")</f>
        <v>YTD</v>
      </c>
      <c r="E423" t="s">
        <v>31</v>
      </c>
      <c r="F423" t="s">
        <v>18</v>
      </c>
      <c r="G423" t="s">
        <v>29</v>
      </c>
      <c r="H423" t="s">
        <v>296</v>
      </c>
      <c r="I423" t="s">
        <v>162</v>
      </c>
      <c r="J423" t="str">
        <f>IFERROR(VLOOKUP(I423,[1]AUTOS!$C:$G,2,0),"")</f>
        <v>HYUNDAI</v>
      </c>
      <c r="K423">
        <f>IFERROR(VLOOKUP(I423,[1]AUTOS!$C:$G,3,0),"")</f>
        <v>2022</v>
      </c>
      <c r="L423" t="str">
        <f>IFERROR(VLOOKUP(I423,[1]AUTOS!$C:$G,4,0),"")</f>
        <v>PLATA</v>
      </c>
      <c r="M423" t="s">
        <v>43</v>
      </c>
      <c r="P423" s="3">
        <v>-100</v>
      </c>
    </row>
    <row r="424" spans="1:16" hidden="1" x14ac:dyDescent="0.3">
      <c r="A424">
        <v>21</v>
      </c>
      <c r="B424" t="str">
        <f>VLOOKUP($A424,[1]LISTA!$B:$C,2,0)</f>
        <v>MAYO</v>
      </c>
      <c r="C424" s="1">
        <v>2025</v>
      </c>
      <c r="D424" s="1" t="str">
        <f>IF($A424&lt;=[1]RESULTADOS!$D$6,"YTD","YTG")</f>
        <v>YTD</v>
      </c>
      <c r="E424" t="s">
        <v>17</v>
      </c>
      <c r="F424" t="s">
        <v>18</v>
      </c>
      <c r="G424" t="s">
        <v>69</v>
      </c>
      <c r="H424" t="s">
        <v>297</v>
      </c>
      <c r="I424" t="s">
        <v>21</v>
      </c>
      <c r="J424" t="str">
        <f>IFERROR(VLOOKUP(I424,[1]AUTOS!$C:$G,2,0),"")</f>
        <v/>
      </c>
      <c r="K424" t="str">
        <f>IFERROR(VLOOKUP(I424,[1]AUTOS!$C:$G,3,0),"")</f>
        <v/>
      </c>
      <c r="L424" t="str">
        <f>IFERROR(VLOOKUP(I424,[1]AUTOS!$C:$G,4,0),"")</f>
        <v/>
      </c>
      <c r="M424" t="s">
        <v>22</v>
      </c>
      <c r="P424" s="3">
        <v>-2670</v>
      </c>
    </row>
    <row r="425" spans="1:16" hidden="1" x14ac:dyDescent="0.3">
      <c r="A425">
        <v>21</v>
      </c>
      <c r="B425" t="str">
        <f>VLOOKUP($A425,[1]LISTA!$B:$C,2,0)</f>
        <v>MAYO</v>
      </c>
      <c r="C425" s="1">
        <v>2025</v>
      </c>
      <c r="D425" s="1" t="str">
        <f>IF($A425&lt;=[1]RESULTADOS!$D$6,"YTD","YTG")</f>
        <v>YTD</v>
      </c>
      <c r="E425" t="s">
        <v>17</v>
      </c>
      <c r="F425" t="s">
        <v>18</v>
      </c>
      <c r="G425" t="s">
        <v>69</v>
      </c>
      <c r="H425" t="s">
        <v>297</v>
      </c>
      <c r="I425" t="s">
        <v>21</v>
      </c>
      <c r="J425" t="str">
        <f>IFERROR(VLOOKUP(I425,[1]AUTOS!$C:$G,2,0),"")</f>
        <v/>
      </c>
      <c r="K425" t="str">
        <f>IFERROR(VLOOKUP(I425,[1]AUTOS!$C:$G,3,0),"")</f>
        <v/>
      </c>
      <c r="L425" t="str">
        <f>IFERROR(VLOOKUP(I425,[1]AUTOS!$C:$G,4,0),"")</f>
        <v/>
      </c>
      <c r="M425" t="s">
        <v>22</v>
      </c>
      <c r="P425" s="3">
        <v>-2852</v>
      </c>
    </row>
    <row r="426" spans="1:16" hidden="1" x14ac:dyDescent="0.3">
      <c r="A426">
        <v>21</v>
      </c>
      <c r="B426" t="str">
        <f>VLOOKUP($A426,[1]LISTA!$B:$C,2,0)</f>
        <v>MAYO</v>
      </c>
      <c r="C426" s="1">
        <v>2025</v>
      </c>
      <c r="D426" s="1" t="str">
        <f>IF($A426&lt;=[1]RESULTADOS!$D$6,"YTD","YTG")</f>
        <v>YTD</v>
      </c>
      <c r="E426" t="s">
        <v>31</v>
      </c>
      <c r="F426" t="s">
        <v>18</v>
      </c>
      <c r="G426" t="s">
        <v>48</v>
      </c>
      <c r="H426" t="s">
        <v>292</v>
      </c>
      <c r="I426" t="s">
        <v>82</v>
      </c>
      <c r="J426" t="str">
        <f>IFERROR(VLOOKUP(I426,[1]AUTOS!$C:$G,2,0),"")</f>
        <v>AVEO</v>
      </c>
      <c r="K426">
        <f>IFERROR(VLOOKUP(I426,[1]AUTOS!$C:$G,3,0),"")</f>
        <v>2019</v>
      </c>
      <c r="L426" t="str">
        <f>IFERROR(VLOOKUP(I426,[1]AUTOS!$C:$G,4,0),"")</f>
        <v>PLATA</v>
      </c>
      <c r="M426" t="s">
        <v>43</v>
      </c>
      <c r="P426" s="3">
        <v>-30</v>
      </c>
    </row>
    <row r="427" spans="1:16" hidden="1" x14ac:dyDescent="0.3">
      <c r="A427">
        <v>21</v>
      </c>
      <c r="B427" t="str">
        <f>VLOOKUP($A427,[1]LISTA!$B:$C,2,0)</f>
        <v>MAYO</v>
      </c>
      <c r="C427" s="1">
        <v>2025</v>
      </c>
      <c r="D427" s="1" t="str">
        <f>IF($A427&lt;=[1]RESULTADOS!$D$6,"YTD","YTG")</f>
        <v>YTD</v>
      </c>
      <c r="E427" t="s">
        <v>31</v>
      </c>
      <c r="F427" t="s">
        <v>18</v>
      </c>
      <c r="G427" t="s">
        <v>77</v>
      </c>
      <c r="H427" t="s">
        <v>78</v>
      </c>
      <c r="I427" t="s">
        <v>162</v>
      </c>
      <c r="J427" t="str">
        <f>IFERROR(VLOOKUP(I427,[1]AUTOS!$C:$G,2,0),"")</f>
        <v>HYUNDAI</v>
      </c>
      <c r="K427">
        <f>IFERROR(VLOOKUP(I427,[1]AUTOS!$C:$G,3,0),"")</f>
        <v>2022</v>
      </c>
      <c r="L427" t="str">
        <f>IFERROR(VLOOKUP(I427,[1]AUTOS!$C:$G,4,0),"")</f>
        <v>PLATA</v>
      </c>
      <c r="M427" t="s">
        <v>43</v>
      </c>
      <c r="P427" s="3">
        <v>-740</v>
      </c>
    </row>
    <row r="428" spans="1:16" hidden="1" x14ac:dyDescent="0.3">
      <c r="A428">
        <v>21</v>
      </c>
      <c r="B428" t="str">
        <f>VLOOKUP($A428,[1]LISTA!$B:$C,2,0)</f>
        <v>MAYO</v>
      </c>
      <c r="C428" s="1">
        <v>2025</v>
      </c>
      <c r="D428" s="1" t="str">
        <f>IF($A428&lt;=[1]RESULTADOS!$D$6,"YTD","YTG")</f>
        <v>YTD</v>
      </c>
      <c r="E428" t="s">
        <v>17</v>
      </c>
      <c r="F428" t="s">
        <v>18</v>
      </c>
      <c r="G428" t="s">
        <v>57</v>
      </c>
      <c r="H428" t="s">
        <v>298</v>
      </c>
      <c r="I428" t="s">
        <v>21</v>
      </c>
      <c r="J428" t="str">
        <f>IFERROR(VLOOKUP(I428,[1]AUTOS!$C:$G,2,0),"")</f>
        <v/>
      </c>
      <c r="K428" t="str">
        <f>IFERROR(VLOOKUP(I428,[1]AUTOS!$C:$G,3,0),"")</f>
        <v/>
      </c>
      <c r="L428" t="str">
        <f>IFERROR(VLOOKUP(I428,[1]AUTOS!$C:$G,4,0),"")</f>
        <v/>
      </c>
      <c r="M428" t="s">
        <v>22</v>
      </c>
      <c r="P428" s="3">
        <v>-20</v>
      </c>
    </row>
    <row r="429" spans="1:16" hidden="1" x14ac:dyDescent="0.3">
      <c r="A429">
        <v>21</v>
      </c>
      <c r="B429" t="str">
        <f>VLOOKUP($A429,[1]LISTA!$B:$C,2,0)</f>
        <v>MAYO</v>
      </c>
      <c r="C429" s="1">
        <v>2025</v>
      </c>
      <c r="D429" s="1" t="str">
        <f>IF($A429&lt;=[1]RESULTADOS!$D$6,"YTD","YTG")</f>
        <v>YTD</v>
      </c>
      <c r="E429" t="s">
        <v>31</v>
      </c>
      <c r="F429" t="s">
        <v>18</v>
      </c>
      <c r="G429" t="s">
        <v>38</v>
      </c>
      <c r="H429" t="s">
        <v>299</v>
      </c>
      <c r="I429" t="s">
        <v>82</v>
      </c>
      <c r="J429" t="str">
        <f>IFERROR(VLOOKUP(I429,[1]AUTOS!$C:$G,2,0),"")</f>
        <v>AVEO</v>
      </c>
      <c r="K429">
        <f>IFERROR(VLOOKUP(I429,[1]AUTOS!$C:$G,3,0),"")</f>
        <v>2019</v>
      </c>
      <c r="L429" t="str">
        <f>IFERROR(VLOOKUP(I429,[1]AUTOS!$C:$G,4,0),"")</f>
        <v>PLATA</v>
      </c>
      <c r="M429" t="s">
        <v>43</v>
      </c>
      <c r="P429" s="3">
        <v>-565</v>
      </c>
    </row>
    <row r="430" spans="1:16" hidden="1" x14ac:dyDescent="0.3">
      <c r="A430">
        <v>21</v>
      </c>
      <c r="B430" t="str">
        <f>VLOOKUP($A430,[1]LISTA!$B:$C,2,0)</f>
        <v>MAYO</v>
      </c>
      <c r="C430" s="1">
        <v>2025</v>
      </c>
      <c r="D430" s="1" t="str">
        <f>IF($A430&lt;=[1]RESULTADOS!$D$6,"YTD","YTG")</f>
        <v>YTD</v>
      </c>
      <c r="E430" t="s">
        <v>31</v>
      </c>
      <c r="F430" t="s">
        <v>18</v>
      </c>
      <c r="G430" t="s">
        <v>29</v>
      </c>
      <c r="H430" t="s">
        <v>300</v>
      </c>
      <c r="I430" t="s">
        <v>162</v>
      </c>
      <c r="J430" t="str">
        <f>IFERROR(VLOOKUP(I430,[1]AUTOS!$C:$G,2,0),"")</f>
        <v>HYUNDAI</v>
      </c>
      <c r="K430">
        <f>IFERROR(VLOOKUP(I430,[1]AUTOS!$C:$G,3,0),"")</f>
        <v>2022</v>
      </c>
      <c r="L430" t="str">
        <f>IFERROR(VLOOKUP(I430,[1]AUTOS!$C:$G,4,0),"")</f>
        <v>PLATA</v>
      </c>
      <c r="M430" t="s">
        <v>43</v>
      </c>
      <c r="P430" s="3">
        <v>-100</v>
      </c>
    </row>
    <row r="431" spans="1:16" hidden="1" x14ac:dyDescent="0.3">
      <c r="A431">
        <v>21</v>
      </c>
      <c r="B431" t="str">
        <f>VLOOKUP($A431,[1]LISTA!$B:$C,2,0)</f>
        <v>MAYO</v>
      </c>
      <c r="C431" s="1">
        <v>2025</v>
      </c>
      <c r="D431" s="1" t="str">
        <f>IF($A431&lt;=[1]RESULTADOS!$D$6,"YTD","YTG")</f>
        <v>YTD</v>
      </c>
      <c r="E431" t="s">
        <v>31</v>
      </c>
      <c r="F431" t="s">
        <v>18</v>
      </c>
      <c r="G431" t="s">
        <v>57</v>
      </c>
      <c r="H431" t="s">
        <v>301</v>
      </c>
      <c r="I431" t="s">
        <v>37</v>
      </c>
      <c r="J431" t="str">
        <f>IFERROR(VLOOKUP(I431,[1]AUTOS!$C:$G,2,0),"")</f>
        <v>BEAT</v>
      </c>
      <c r="K431">
        <f>IFERROR(VLOOKUP(I431,[1]AUTOS!$C:$G,3,0),"")</f>
        <v>2020</v>
      </c>
      <c r="L431" t="str">
        <f>IFERROR(VLOOKUP(I431,[1]AUTOS!$C:$G,4,0),"")</f>
        <v>GRIS</v>
      </c>
      <c r="M431" t="s">
        <v>35</v>
      </c>
      <c r="P431" s="3">
        <v>-480</v>
      </c>
    </row>
    <row r="432" spans="1:16" hidden="1" x14ac:dyDescent="0.3">
      <c r="A432">
        <v>21</v>
      </c>
      <c r="B432" t="str">
        <f>VLOOKUP($A432,[1]LISTA!$B:$C,2,0)</f>
        <v>MAYO</v>
      </c>
      <c r="C432" s="1">
        <v>2025</v>
      </c>
      <c r="D432" s="1" t="str">
        <f>IF($A432&lt;=[1]RESULTADOS!$D$6,"YTD","YTG")</f>
        <v>YTD</v>
      </c>
      <c r="E432" t="s">
        <v>31</v>
      </c>
      <c r="F432" t="s">
        <v>18</v>
      </c>
      <c r="G432" t="s">
        <v>38</v>
      </c>
      <c r="H432" t="s">
        <v>302</v>
      </c>
      <c r="I432" t="s">
        <v>82</v>
      </c>
      <c r="J432" t="str">
        <f>IFERROR(VLOOKUP(I432,[1]AUTOS!$C:$G,2,0),"")</f>
        <v>AVEO</v>
      </c>
      <c r="K432">
        <f>IFERROR(VLOOKUP(I432,[1]AUTOS!$C:$G,3,0),"")</f>
        <v>2019</v>
      </c>
      <c r="L432" t="str">
        <f>IFERROR(VLOOKUP(I432,[1]AUTOS!$C:$G,4,0),"")</f>
        <v>PLATA</v>
      </c>
      <c r="M432" t="s">
        <v>43</v>
      </c>
      <c r="P432" s="3">
        <v>-1130.03</v>
      </c>
    </row>
    <row r="433" spans="1:16" hidden="1" x14ac:dyDescent="0.3">
      <c r="A433">
        <v>21</v>
      </c>
      <c r="B433" t="str">
        <f>VLOOKUP($A433,[1]LISTA!$B:$C,2,0)</f>
        <v>MAYO</v>
      </c>
      <c r="C433" s="1">
        <v>2025</v>
      </c>
      <c r="D433" s="1" t="str">
        <f>IF($A433&lt;=[1]RESULTADOS!$D$6,"YTD","YTG")</f>
        <v>YTD</v>
      </c>
      <c r="E433" t="s">
        <v>31</v>
      </c>
      <c r="F433" t="s">
        <v>18</v>
      </c>
      <c r="G433" t="s">
        <v>77</v>
      </c>
      <c r="H433" t="s">
        <v>286</v>
      </c>
      <c r="I433" t="s">
        <v>162</v>
      </c>
      <c r="J433" t="str">
        <f>IFERROR(VLOOKUP(I433,[1]AUTOS!$C:$G,2,0),"")</f>
        <v>HYUNDAI</v>
      </c>
      <c r="K433">
        <f>IFERROR(VLOOKUP(I433,[1]AUTOS!$C:$G,3,0),"")</f>
        <v>2022</v>
      </c>
      <c r="L433" t="str">
        <f>IFERROR(VLOOKUP(I433,[1]AUTOS!$C:$G,4,0),"")</f>
        <v>PLATA</v>
      </c>
      <c r="M433" t="s">
        <v>43</v>
      </c>
      <c r="P433" s="3">
        <v>-300</v>
      </c>
    </row>
    <row r="434" spans="1:16" x14ac:dyDescent="0.3">
      <c r="A434">
        <v>22</v>
      </c>
      <c r="B434" t="str">
        <f>VLOOKUP($A434,[1]LISTA!$B:$C,2,0)</f>
        <v>MAYO</v>
      </c>
      <c r="C434" s="1">
        <v>2025</v>
      </c>
      <c r="D434" s="1" t="str">
        <f>IF($A434&lt;=[1]RESULTADOS!$D$6,"YTD","YTG")</f>
        <v>YTD</v>
      </c>
      <c r="E434" t="s">
        <v>31</v>
      </c>
      <c r="F434" t="s">
        <v>18</v>
      </c>
      <c r="G434" t="s">
        <v>19</v>
      </c>
      <c r="H434" t="s">
        <v>303</v>
      </c>
      <c r="I434" t="s">
        <v>72</v>
      </c>
      <c r="J434" t="str">
        <f>IFERROR(VLOOKUP(I434,[1]AUTOS!$C:$G,2,0),"")</f>
        <v>VENTO</v>
      </c>
      <c r="K434">
        <f>IFERROR(VLOOKUP(I434,[1]AUTOS!$C:$G,3,0),"")</f>
        <v>2020</v>
      </c>
      <c r="L434" t="str">
        <f>IFERROR(VLOOKUP(I434,[1]AUTOS!$C:$G,4,0),"")</f>
        <v>GRIS</v>
      </c>
      <c r="M434" t="s">
        <v>43</v>
      </c>
      <c r="P434" s="3">
        <v>-2670</v>
      </c>
    </row>
    <row r="435" spans="1:16" hidden="1" x14ac:dyDescent="0.3">
      <c r="A435">
        <v>22</v>
      </c>
      <c r="B435" t="str">
        <f>VLOOKUP($A435,[1]LISTA!$B:$C,2,0)</f>
        <v>MAYO</v>
      </c>
      <c r="C435" s="1">
        <v>2025</v>
      </c>
      <c r="D435" s="1" t="str">
        <f>IF($A435&lt;=[1]RESULTADOS!$D$6,"YTD","YTG")</f>
        <v>YTD</v>
      </c>
      <c r="E435" t="s">
        <v>31</v>
      </c>
      <c r="F435" t="s">
        <v>18</v>
      </c>
      <c r="G435" t="s">
        <v>19</v>
      </c>
      <c r="H435" t="s">
        <v>303</v>
      </c>
      <c r="I435" t="s">
        <v>102</v>
      </c>
      <c r="J435" t="str">
        <f>IFERROR(VLOOKUP(I435,[1]AUTOS!$C:$G,2,0),"")</f>
        <v>AVEO</v>
      </c>
      <c r="K435">
        <f>IFERROR(VLOOKUP(I435,[1]AUTOS!$C:$G,3,0),"")</f>
        <v>2022</v>
      </c>
      <c r="L435" t="str">
        <f>IFERROR(VLOOKUP(I435,[1]AUTOS!$C:$G,4,0),"")</f>
        <v>AZUL</v>
      </c>
      <c r="M435" t="s">
        <v>43</v>
      </c>
      <c r="P435" s="3">
        <v>-2852</v>
      </c>
    </row>
    <row r="436" spans="1:16" hidden="1" x14ac:dyDescent="0.3">
      <c r="A436">
        <v>22</v>
      </c>
      <c r="B436" t="str">
        <f>VLOOKUP($A436,[1]LISTA!$B:$C,2,0)</f>
        <v>MAYO</v>
      </c>
      <c r="C436" s="1">
        <v>2025</v>
      </c>
      <c r="D436" s="1" t="str">
        <f>IF($A436&lt;=[1]RESULTADOS!$D$6,"YTD","YTG")</f>
        <v>YTD</v>
      </c>
      <c r="E436" t="s">
        <v>31</v>
      </c>
      <c r="F436" t="s">
        <v>18</v>
      </c>
      <c r="G436" t="s">
        <v>48</v>
      </c>
      <c r="H436" t="s">
        <v>304</v>
      </c>
      <c r="I436" t="s">
        <v>82</v>
      </c>
      <c r="J436" t="str">
        <f>IFERROR(VLOOKUP(I436,[1]AUTOS!$C:$G,2,0),"")</f>
        <v>AVEO</v>
      </c>
      <c r="K436">
        <f>IFERROR(VLOOKUP(I436,[1]AUTOS!$C:$G,3,0),"")</f>
        <v>2019</v>
      </c>
      <c r="L436" t="str">
        <f>IFERROR(VLOOKUP(I436,[1]AUTOS!$C:$G,4,0),"")</f>
        <v>PLATA</v>
      </c>
      <c r="M436" t="s">
        <v>43</v>
      </c>
      <c r="P436" s="3">
        <v>-3000</v>
      </c>
    </row>
    <row r="437" spans="1:16" hidden="1" x14ac:dyDescent="0.3">
      <c r="A437">
        <v>22</v>
      </c>
      <c r="B437" t="str">
        <f>VLOOKUP($A437,[1]LISTA!$B:$C,2,0)</f>
        <v>MAYO</v>
      </c>
      <c r="C437" s="1">
        <v>2025</v>
      </c>
      <c r="D437" s="1" t="str">
        <f>IF($A437&lt;=[1]RESULTADOS!$D$6,"YTD","YTG")</f>
        <v>YTD</v>
      </c>
      <c r="E437" t="s">
        <v>31</v>
      </c>
      <c r="F437" t="s">
        <v>18</v>
      </c>
      <c r="G437" t="s">
        <v>48</v>
      </c>
      <c r="H437" t="s">
        <v>305</v>
      </c>
      <c r="I437" t="s">
        <v>116</v>
      </c>
      <c r="J437" t="str">
        <f>IFERROR(VLOOKUP(I437,[1]AUTOS!$C:$G,2,0),"")</f>
        <v>AVEO</v>
      </c>
      <c r="K437">
        <f>IFERROR(VLOOKUP(I437,[1]AUTOS!$C:$G,3,0),"")</f>
        <v>2022</v>
      </c>
      <c r="L437" t="str">
        <f>IFERROR(VLOOKUP(I437,[1]AUTOS!$C:$G,4,0),"")</f>
        <v>AZUL</v>
      </c>
      <c r="M437" t="s">
        <v>43</v>
      </c>
      <c r="P437" s="3">
        <v>-2000</v>
      </c>
    </row>
    <row r="438" spans="1:16" hidden="1" x14ac:dyDescent="0.3">
      <c r="A438">
        <v>22</v>
      </c>
      <c r="B438" t="str">
        <f>VLOOKUP($A438,[1]LISTA!$B:$C,2,0)</f>
        <v>MAYO</v>
      </c>
      <c r="C438" s="1">
        <v>2025</v>
      </c>
      <c r="D438" s="1" t="str">
        <f>IF($A438&lt;=[1]RESULTADOS!$D$6,"YTD","YTG")</f>
        <v>YTD</v>
      </c>
      <c r="E438" t="s">
        <v>31</v>
      </c>
      <c r="F438" t="s">
        <v>18</v>
      </c>
      <c r="G438" t="s">
        <v>48</v>
      </c>
      <c r="H438" t="s">
        <v>305</v>
      </c>
      <c r="I438" t="s">
        <v>79</v>
      </c>
      <c r="J438" t="str">
        <f>IFERROR(VLOOKUP(I438,[1]AUTOS!$C:$G,2,0),"")</f>
        <v>AVEO</v>
      </c>
      <c r="K438">
        <f>IFERROR(VLOOKUP(I438,[1]AUTOS!$C:$G,3,0),"")</f>
        <v>2021</v>
      </c>
      <c r="L438" t="str">
        <f>IFERROR(VLOOKUP(I438,[1]AUTOS!$C:$G,4,0),"")</f>
        <v>OCRE</v>
      </c>
      <c r="M438" t="s">
        <v>43</v>
      </c>
      <c r="P438" s="3">
        <v>-2000</v>
      </c>
    </row>
    <row r="439" spans="1:16" hidden="1" x14ac:dyDescent="0.3">
      <c r="A439">
        <v>22</v>
      </c>
      <c r="B439" t="str">
        <f>VLOOKUP($A439,[1]LISTA!$B:$C,2,0)</f>
        <v>MAYO</v>
      </c>
      <c r="C439" s="1">
        <v>2025</v>
      </c>
      <c r="D439" s="1" t="str">
        <f>IF($A439&lt;=[1]RESULTADOS!$D$6,"YTD","YTG")</f>
        <v>YTD</v>
      </c>
      <c r="E439" t="s">
        <v>31</v>
      </c>
      <c r="F439" t="s">
        <v>18</v>
      </c>
      <c r="G439" t="s">
        <v>38</v>
      </c>
      <c r="H439" t="s">
        <v>195</v>
      </c>
      <c r="I439" t="s">
        <v>82</v>
      </c>
      <c r="J439" t="str">
        <f>IFERROR(VLOOKUP(I439,[1]AUTOS!$C:$G,2,0),"")</f>
        <v>AVEO</v>
      </c>
      <c r="K439">
        <f>IFERROR(VLOOKUP(I439,[1]AUTOS!$C:$G,3,0),"")</f>
        <v>2019</v>
      </c>
      <c r="L439" t="str">
        <f>IFERROR(VLOOKUP(I439,[1]AUTOS!$C:$G,4,0),"")</f>
        <v>PLATA</v>
      </c>
      <c r="M439" t="s">
        <v>43</v>
      </c>
      <c r="P439" s="3">
        <v>-1130</v>
      </c>
    </row>
    <row r="440" spans="1:16" hidden="1" x14ac:dyDescent="0.3">
      <c r="A440">
        <v>22</v>
      </c>
      <c r="B440" t="str">
        <f>VLOOKUP($A440,[1]LISTA!$B:$C,2,0)</f>
        <v>MAYO</v>
      </c>
      <c r="C440" s="1">
        <v>2025</v>
      </c>
      <c r="D440" s="1" t="str">
        <f>IF($A440&lt;=[1]RESULTADOS!$D$6,"YTD","YTG")</f>
        <v>YTD</v>
      </c>
      <c r="E440" t="s">
        <v>17</v>
      </c>
      <c r="F440" t="s">
        <v>18</v>
      </c>
      <c r="G440" t="s">
        <v>57</v>
      </c>
      <c r="H440" t="s">
        <v>306</v>
      </c>
      <c r="I440" t="s">
        <v>21</v>
      </c>
      <c r="J440" t="str">
        <f>IFERROR(VLOOKUP(I440,[1]AUTOS!$C:$G,2,0),"")</f>
        <v/>
      </c>
      <c r="K440" t="str">
        <f>IFERROR(VLOOKUP(I440,[1]AUTOS!$C:$G,3,0),"")</f>
        <v/>
      </c>
      <c r="L440" t="str">
        <f>IFERROR(VLOOKUP(I440,[1]AUTOS!$C:$G,4,0),"")</f>
        <v/>
      </c>
      <c r="M440" t="s">
        <v>22</v>
      </c>
      <c r="P440" s="3">
        <v>-20</v>
      </c>
    </row>
    <row r="441" spans="1:16" hidden="1" x14ac:dyDescent="0.3">
      <c r="A441">
        <v>22</v>
      </c>
      <c r="B441" t="str">
        <f>VLOOKUP($A441,[1]LISTA!$B:$C,2,0)</f>
        <v>MAYO</v>
      </c>
      <c r="C441" s="1">
        <v>2025</v>
      </c>
      <c r="D441" s="1" t="str">
        <f>IF($A441&lt;=[1]RESULTADOS!$D$6,"YTD","YTG")</f>
        <v>YTD</v>
      </c>
      <c r="E441" t="s">
        <v>31</v>
      </c>
      <c r="F441" t="s">
        <v>18</v>
      </c>
      <c r="G441" t="s">
        <v>53</v>
      </c>
      <c r="H441" t="s">
        <v>307</v>
      </c>
      <c r="I441" t="s">
        <v>131</v>
      </c>
      <c r="J441" t="str">
        <f>IFERROR(VLOOKUP(I441,[1]AUTOS!$C:$G,2,0),"")</f>
        <v>AVEO</v>
      </c>
      <c r="K441">
        <f>IFERROR(VLOOKUP(I441,[1]AUTOS!$C:$G,3,0),"")</f>
        <v>2024</v>
      </c>
      <c r="L441" t="str">
        <f>IFERROR(VLOOKUP(I441,[1]AUTOS!$C:$G,4,0),"")</f>
        <v>GRIS</v>
      </c>
      <c r="M441" t="s">
        <v>43</v>
      </c>
      <c r="P441" s="3">
        <v>-119</v>
      </c>
    </row>
    <row r="442" spans="1:16" hidden="1" x14ac:dyDescent="0.3">
      <c r="A442">
        <v>22</v>
      </c>
      <c r="B442" t="str">
        <f>VLOOKUP($A442,[1]LISTA!$B:$C,2,0)</f>
        <v>MAYO</v>
      </c>
      <c r="C442" s="1">
        <v>2025</v>
      </c>
      <c r="D442" s="1" t="str">
        <f>IF($A442&lt;=[1]RESULTADOS!$D$6,"YTD","YTG")</f>
        <v>YTD</v>
      </c>
      <c r="E442" t="s">
        <v>31</v>
      </c>
      <c r="F442" t="s">
        <v>18</v>
      </c>
      <c r="G442" t="s">
        <v>41</v>
      </c>
      <c r="H442" t="s">
        <v>41</v>
      </c>
      <c r="I442" t="s">
        <v>146</v>
      </c>
      <c r="J442" t="str">
        <f>IFERROR(VLOOKUP(I442,[1]AUTOS!$C:$G,2,0),"")</f>
        <v>KIA RIO</v>
      </c>
      <c r="K442">
        <f>IFERROR(VLOOKUP(I442,[1]AUTOS!$C:$G,3,0),"")</f>
        <v>2023</v>
      </c>
      <c r="L442" t="str">
        <f>IFERROR(VLOOKUP(I442,[1]AUTOS!$C:$G,4,0),"")</f>
        <v>ROJO</v>
      </c>
      <c r="M442" t="s">
        <v>35</v>
      </c>
      <c r="P442" s="3">
        <v>-1550</v>
      </c>
    </row>
    <row r="443" spans="1:16" hidden="1" x14ac:dyDescent="0.3">
      <c r="A443">
        <v>22</v>
      </c>
      <c r="B443" t="str">
        <f>VLOOKUP($A443,[1]LISTA!$B:$C,2,0)</f>
        <v>MAYO</v>
      </c>
      <c r="C443" s="1">
        <v>2025</v>
      </c>
      <c r="D443" s="1" t="str">
        <f>IF($A443&lt;=[1]RESULTADOS!$D$6,"YTD","YTG")</f>
        <v>YTD</v>
      </c>
      <c r="E443" t="s">
        <v>31</v>
      </c>
      <c r="F443" t="s">
        <v>18</v>
      </c>
      <c r="G443" t="s">
        <v>160</v>
      </c>
      <c r="H443" t="s">
        <v>308</v>
      </c>
      <c r="I443" t="s">
        <v>82</v>
      </c>
      <c r="J443" t="str">
        <f>IFERROR(VLOOKUP(I443,[1]AUTOS!$C:$G,2,0),"")</f>
        <v>AVEO</v>
      </c>
      <c r="K443">
        <f>IFERROR(VLOOKUP(I443,[1]AUTOS!$C:$G,3,0),"")</f>
        <v>2019</v>
      </c>
      <c r="L443" t="str">
        <f>IFERROR(VLOOKUP(I443,[1]AUTOS!$C:$G,4,0),"")</f>
        <v>PLATA</v>
      </c>
      <c r="M443" t="s">
        <v>43</v>
      </c>
      <c r="P443" s="3">
        <v>-12899.68</v>
      </c>
    </row>
    <row r="444" spans="1:16" hidden="1" x14ac:dyDescent="0.3">
      <c r="A444">
        <v>24</v>
      </c>
      <c r="B444" t="str">
        <f>VLOOKUP($A444,[1]LISTA!$B:$C,2,0)</f>
        <v>JUNIO</v>
      </c>
      <c r="C444" s="1">
        <v>2025</v>
      </c>
      <c r="D444" s="1" t="str">
        <f>IF($A444&lt;=[1]RESULTADOS!$D$6,"YTD","YTG")</f>
        <v>YTD</v>
      </c>
      <c r="E444" t="s">
        <v>31</v>
      </c>
      <c r="F444" t="s">
        <v>18</v>
      </c>
      <c r="G444" t="s">
        <v>19</v>
      </c>
      <c r="H444" t="s">
        <v>309</v>
      </c>
      <c r="I444" t="s">
        <v>34</v>
      </c>
      <c r="J444" t="str">
        <f>IFERROR(VLOOKUP(I444,[1]AUTOS!$C:$G,2,0),"")</f>
        <v>AVEO</v>
      </c>
      <c r="K444">
        <f>IFERROR(VLOOKUP(I444,[1]AUTOS!$C:$G,3,0),"")</f>
        <v>2018</v>
      </c>
      <c r="L444" t="str">
        <f>IFERROR(VLOOKUP(I444,[1]AUTOS!$C:$G,4,0),"")</f>
        <v>ROJO</v>
      </c>
      <c r="M444" t="s">
        <v>35</v>
      </c>
      <c r="P444" s="3">
        <v>-1500</v>
      </c>
    </row>
    <row r="445" spans="1:16" hidden="1" x14ac:dyDescent="0.3">
      <c r="A445">
        <v>24</v>
      </c>
      <c r="B445" t="str">
        <f>VLOOKUP($A445,[1]LISTA!$B:$C,2,0)</f>
        <v>JUNIO</v>
      </c>
      <c r="C445" s="1">
        <v>2025</v>
      </c>
      <c r="D445" s="1" t="str">
        <f>IF($A445&lt;=[1]RESULTADOS!$D$6,"YTD","YTG")</f>
        <v>YTD</v>
      </c>
      <c r="E445" t="s">
        <v>31</v>
      </c>
      <c r="F445" t="s">
        <v>18</v>
      </c>
      <c r="G445" t="s">
        <v>38</v>
      </c>
      <c r="H445" t="s">
        <v>310</v>
      </c>
      <c r="I445" t="s">
        <v>178</v>
      </c>
      <c r="J445" t="str">
        <f>IFERROR(VLOOKUP(I445,[1]AUTOS!$C:$G,2,0),"")</f>
        <v>VERSA</v>
      </c>
      <c r="K445">
        <f>IFERROR(VLOOKUP(I445,[1]AUTOS!$C:$G,3,0),"")</f>
        <v>2020</v>
      </c>
      <c r="L445" t="str">
        <f>IFERROR(VLOOKUP(I445,[1]AUTOS!$C:$G,4,0),"")</f>
        <v>BLANCO</v>
      </c>
      <c r="M445" t="s">
        <v>43</v>
      </c>
      <c r="P445" s="3">
        <v>-530</v>
      </c>
    </row>
    <row r="446" spans="1:16" hidden="1" x14ac:dyDescent="0.3">
      <c r="A446">
        <v>24</v>
      </c>
      <c r="B446" t="str">
        <f>VLOOKUP($A446,[1]LISTA!$B:$C,2,0)</f>
        <v>JUNIO</v>
      </c>
      <c r="C446" s="1">
        <v>2025</v>
      </c>
      <c r="D446" s="1" t="str">
        <f>IF($A446&lt;=[1]RESULTADOS!$D$6,"YTD","YTG")</f>
        <v>YTD</v>
      </c>
      <c r="E446" t="s">
        <v>31</v>
      </c>
      <c r="F446" t="s">
        <v>18</v>
      </c>
      <c r="G446" t="s">
        <v>38</v>
      </c>
      <c r="H446" t="s">
        <v>310</v>
      </c>
      <c r="I446" t="s">
        <v>37</v>
      </c>
      <c r="J446" t="str">
        <f>IFERROR(VLOOKUP(I446,[1]AUTOS!$C:$G,2,0),"")</f>
        <v>BEAT</v>
      </c>
      <c r="K446">
        <f>IFERROR(VLOOKUP(I446,[1]AUTOS!$C:$G,3,0),"")</f>
        <v>2020</v>
      </c>
      <c r="L446" t="str">
        <f>IFERROR(VLOOKUP(I446,[1]AUTOS!$C:$G,4,0),"")</f>
        <v>GRIS</v>
      </c>
      <c r="M446" t="s">
        <v>35</v>
      </c>
      <c r="P446" s="3">
        <v>-530</v>
      </c>
    </row>
    <row r="447" spans="1:16" hidden="1" x14ac:dyDescent="0.3">
      <c r="A447">
        <v>24</v>
      </c>
      <c r="B447" t="str">
        <f>VLOOKUP($A447,[1]LISTA!$B:$C,2,0)</f>
        <v>JUNIO</v>
      </c>
      <c r="C447" s="1">
        <v>2025</v>
      </c>
      <c r="D447" s="1" t="str">
        <f>IF($A447&lt;=[1]RESULTADOS!$D$6,"YTD","YTG")</f>
        <v>YTD</v>
      </c>
      <c r="E447" t="s">
        <v>31</v>
      </c>
      <c r="F447" t="s">
        <v>18</v>
      </c>
      <c r="G447" t="s">
        <v>38</v>
      </c>
      <c r="H447" t="s">
        <v>310</v>
      </c>
      <c r="I447" t="s">
        <v>51</v>
      </c>
      <c r="J447" t="str">
        <f>IFERROR(VLOOKUP(I447,[1]AUTOS!$C:$G,2,0),"")</f>
        <v>VENTO</v>
      </c>
      <c r="K447">
        <f>IFERROR(VLOOKUP(I447,[1]AUTOS!$C:$G,3,0),"")</f>
        <v>2017</v>
      </c>
      <c r="L447" t="str">
        <f>IFERROR(VLOOKUP(I447,[1]AUTOS!$C:$G,4,0),"")</f>
        <v>GRIS</v>
      </c>
      <c r="M447" t="s">
        <v>22</v>
      </c>
      <c r="P447" s="3">
        <v>-530</v>
      </c>
    </row>
    <row r="448" spans="1:16" hidden="1" x14ac:dyDescent="0.3">
      <c r="A448">
        <v>24</v>
      </c>
      <c r="B448" t="str">
        <f>VLOOKUP($A448,[1]LISTA!$B:$C,2,0)</f>
        <v>JUNIO</v>
      </c>
      <c r="C448" s="1">
        <v>2025</v>
      </c>
      <c r="D448" s="1" t="str">
        <f>IF($A448&lt;=[1]RESULTADOS!$D$6,"YTD","YTG")</f>
        <v>YTD</v>
      </c>
      <c r="E448" t="s">
        <v>31</v>
      </c>
      <c r="F448" t="s">
        <v>18</v>
      </c>
      <c r="G448" t="s">
        <v>57</v>
      </c>
      <c r="H448" t="s">
        <v>219</v>
      </c>
      <c r="I448" t="s">
        <v>37</v>
      </c>
      <c r="J448" t="str">
        <f>IFERROR(VLOOKUP(I448,[1]AUTOS!$C:$G,2,0),"")</f>
        <v>BEAT</v>
      </c>
      <c r="K448">
        <f>IFERROR(VLOOKUP(I448,[1]AUTOS!$C:$G,3,0),"")</f>
        <v>2020</v>
      </c>
      <c r="L448" t="str">
        <f>IFERROR(VLOOKUP(I448,[1]AUTOS!$C:$G,4,0),"")</f>
        <v>GRIS</v>
      </c>
      <c r="M448" t="s">
        <v>35</v>
      </c>
      <c r="P448" s="3">
        <v>-419</v>
      </c>
    </row>
    <row r="449" spans="1:16" hidden="1" x14ac:dyDescent="0.3">
      <c r="A449">
        <v>24</v>
      </c>
      <c r="B449" t="str">
        <f>VLOOKUP($A449,[1]LISTA!$B:$C,2,0)</f>
        <v>JUNIO</v>
      </c>
      <c r="C449" s="1">
        <v>2025</v>
      </c>
      <c r="D449" s="1" t="str">
        <f>IF($A449&lt;=[1]RESULTADOS!$D$6,"YTD","YTG")</f>
        <v>YTD</v>
      </c>
      <c r="E449" t="s">
        <v>31</v>
      </c>
      <c r="F449" t="s">
        <v>18</v>
      </c>
      <c r="G449" t="s">
        <v>57</v>
      </c>
      <c r="H449" t="s">
        <v>311</v>
      </c>
      <c r="I449" t="s">
        <v>178</v>
      </c>
      <c r="J449" t="str">
        <f>IFERROR(VLOOKUP(I449,[1]AUTOS!$C:$G,2,0),"")</f>
        <v>VERSA</v>
      </c>
      <c r="K449">
        <f>IFERROR(VLOOKUP(I449,[1]AUTOS!$C:$G,3,0),"")</f>
        <v>2020</v>
      </c>
      <c r="L449" t="str">
        <f>IFERROR(VLOOKUP(I449,[1]AUTOS!$C:$G,4,0),"")</f>
        <v>BLANCO</v>
      </c>
      <c r="M449" t="s">
        <v>43</v>
      </c>
      <c r="P449" s="3">
        <v>-528</v>
      </c>
    </row>
    <row r="450" spans="1:16" hidden="1" x14ac:dyDescent="0.3">
      <c r="A450">
        <v>24</v>
      </c>
      <c r="B450" t="str">
        <f>VLOOKUP($A450,[1]LISTA!$B:$C,2,0)</f>
        <v>JUNIO</v>
      </c>
      <c r="C450" s="1">
        <v>2025</v>
      </c>
      <c r="D450" s="1" t="str">
        <f>IF($A450&lt;=[1]RESULTADOS!$D$6,"YTD","YTG")</f>
        <v>YTD</v>
      </c>
      <c r="E450" t="s">
        <v>31</v>
      </c>
      <c r="F450" t="s">
        <v>18</v>
      </c>
      <c r="G450" t="s">
        <v>57</v>
      </c>
      <c r="H450" t="s">
        <v>311</v>
      </c>
      <c r="I450" t="s">
        <v>37</v>
      </c>
      <c r="J450" t="str">
        <f>IFERROR(VLOOKUP(I450,[1]AUTOS!$C:$G,2,0),"")</f>
        <v>BEAT</v>
      </c>
      <c r="K450">
        <f>IFERROR(VLOOKUP(I450,[1]AUTOS!$C:$G,3,0),"")</f>
        <v>2020</v>
      </c>
      <c r="L450" t="str">
        <f>IFERROR(VLOOKUP(I450,[1]AUTOS!$C:$G,4,0),"")</f>
        <v>GRIS</v>
      </c>
      <c r="M450" t="s">
        <v>35</v>
      </c>
      <c r="P450" s="3">
        <v>-200</v>
      </c>
    </row>
    <row r="451" spans="1:16" hidden="1" x14ac:dyDescent="0.3">
      <c r="A451">
        <v>24</v>
      </c>
      <c r="B451" t="str">
        <f>VLOOKUP($A451,[1]LISTA!$B:$C,2,0)</f>
        <v>JUNIO</v>
      </c>
      <c r="C451" s="1">
        <v>2025</v>
      </c>
      <c r="D451" s="1" t="str">
        <f>IF($A451&lt;=[1]RESULTADOS!$D$6,"YTD","YTG")</f>
        <v>YTD</v>
      </c>
      <c r="E451" t="s">
        <v>31</v>
      </c>
      <c r="F451" t="s">
        <v>18</v>
      </c>
      <c r="G451" t="s">
        <v>57</v>
      </c>
      <c r="H451" t="s">
        <v>311</v>
      </c>
      <c r="I451" t="s">
        <v>51</v>
      </c>
      <c r="J451" t="str">
        <f>IFERROR(VLOOKUP(I451,[1]AUTOS!$C:$G,2,0),"")</f>
        <v>VENTO</v>
      </c>
      <c r="K451">
        <f>IFERROR(VLOOKUP(I451,[1]AUTOS!$C:$G,3,0),"")</f>
        <v>2017</v>
      </c>
      <c r="L451" t="str">
        <f>IFERROR(VLOOKUP(I451,[1]AUTOS!$C:$G,4,0),"")</f>
        <v>GRIS</v>
      </c>
      <c r="M451" t="s">
        <v>22</v>
      </c>
      <c r="P451" s="3">
        <v>-324</v>
      </c>
    </row>
    <row r="452" spans="1:16" hidden="1" x14ac:dyDescent="0.3">
      <c r="A452">
        <v>24</v>
      </c>
      <c r="B452" t="str">
        <f>VLOOKUP($A452,[1]LISTA!$B:$C,2,0)</f>
        <v>JUNIO</v>
      </c>
      <c r="C452" s="1">
        <v>2025</v>
      </c>
      <c r="D452" s="1" t="str">
        <f>IF($A452&lt;=[1]RESULTADOS!$D$6,"YTD","YTG")</f>
        <v>YTD</v>
      </c>
      <c r="E452" t="s">
        <v>31</v>
      </c>
      <c r="F452" t="s">
        <v>18</v>
      </c>
      <c r="G452" t="s">
        <v>38</v>
      </c>
      <c r="H452" t="s">
        <v>194</v>
      </c>
      <c r="I452" t="s">
        <v>178</v>
      </c>
      <c r="J452" t="str">
        <f>IFERROR(VLOOKUP(I452,[1]AUTOS!$C:$G,2,0),"")</f>
        <v>VERSA</v>
      </c>
      <c r="K452">
        <f>IFERROR(VLOOKUP(I452,[1]AUTOS!$C:$G,3,0),"")</f>
        <v>2020</v>
      </c>
      <c r="L452" t="str">
        <f>IFERROR(VLOOKUP(I452,[1]AUTOS!$C:$G,4,0),"")</f>
        <v>BLANCO</v>
      </c>
      <c r="M452" t="s">
        <v>43</v>
      </c>
      <c r="P452" s="3">
        <v>-45</v>
      </c>
    </row>
    <row r="453" spans="1:16" hidden="1" x14ac:dyDescent="0.3">
      <c r="A453">
        <v>24</v>
      </c>
      <c r="B453" t="str">
        <f>VLOOKUP($A453,[1]LISTA!$B:$C,2,0)</f>
        <v>JUNIO</v>
      </c>
      <c r="C453" s="1">
        <v>2025</v>
      </c>
      <c r="D453" s="1" t="str">
        <f>IF($A453&lt;=[1]RESULTADOS!$D$6,"YTD","YTG")</f>
        <v>YTD</v>
      </c>
      <c r="E453" t="s">
        <v>31</v>
      </c>
      <c r="F453" t="s">
        <v>18</v>
      </c>
      <c r="G453" t="s">
        <v>38</v>
      </c>
      <c r="H453" t="s">
        <v>194</v>
      </c>
      <c r="I453" t="s">
        <v>37</v>
      </c>
      <c r="J453" t="str">
        <f>IFERROR(VLOOKUP(I453,[1]AUTOS!$C:$G,2,0),"")</f>
        <v>BEAT</v>
      </c>
      <c r="K453">
        <f>IFERROR(VLOOKUP(I453,[1]AUTOS!$C:$G,3,0),"")</f>
        <v>2020</v>
      </c>
      <c r="L453" t="str">
        <f>IFERROR(VLOOKUP(I453,[1]AUTOS!$C:$G,4,0),"")</f>
        <v>GRIS</v>
      </c>
      <c r="M453" t="s">
        <v>35</v>
      </c>
      <c r="P453" s="3">
        <v>-40</v>
      </c>
    </row>
    <row r="454" spans="1:16" hidden="1" x14ac:dyDescent="0.3">
      <c r="A454">
        <v>24</v>
      </c>
      <c r="B454" t="str">
        <f>VLOOKUP($A454,[1]LISTA!$B:$C,2,0)</f>
        <v>JUNIO</v>
      </c>
      <c r="C454" s="1">
        <v>2025</v>
      </c>
      <c r="D454" s="1" t="str">
        <f>IF($A454&lt;=[1]RESULTADOS!$D$6,"YTD","YTG")</f>
        <v>YTD</v>
      </c>
      <c r="E454" t="s">
        <v>31</v>
      </c>
      <c r="F454" t="s">
        <v>18</v>
      </c>
      <c r="G454" t="s">
        <v>38</v>
      </c>
      <c r="H454" t="s">
        <v>194</v>
      </c>
      <c r="I454" t="s">
        <v>51</v>
      </c>
      <c r="J454" t="str">
        <f>IFERROR(VLOOKUP(I454,[1]AUTOS!$C:$G,2,0),"")</f>
        <v>VENTO</v>
      </c>
      <c r="K454">
        <f>IFERROR(VLOOKUP(I454,[1]AUTOS!$C:$G,3,0),"")</f>
        <v>2017</v>
      </c>
      <c r="L454" t="str">
        <f>IFERROR(VLOOKUP(I454,[1]AUTOS!$C:$G,4,0),"")</f>
        <v>GRIS</v>
      </c>
      <c r="M454" t="s">
        <v>22</v>
      </c>
      <c r="P454" s="3">
        <v>-59</v>
      </c>
    </row>
    <row r="455" spans="1:16" hidden="1" x14ac:dyDescent="0.3">
      <c r="A455">
        <v>24</v>
      </c>
      <c r="B455" t="str">
        <f>VLOOKUP($A455,[1]LISTA!$B:$C,2,0)</f>
        <v>JUNIO</v>
      </c>
      <c r="C455" s="1">
        <v>2025</v>
      </c>
      <c r="D455" s="1" t="str">
        <f>IF($A455&lt;=[1]RESULTADOS!$D$6,"YTD","YTG")</f>
        <v>YTD</v>
      </c>
      <c r="E455" t="s">
        <v>31</v>
      </c>
      <c r="F455" t="s">
        <v>18</v>
      </c>
      <c r="G455" t="s">
        <v>38</v>
      </c>
      <c r="H455" t="s">
        <v>193</v>
      </c>
      <c r="I455" t="s">
        <v>178</v>
      </c>
      <c r="J455" t="str">
        <f>IFERROR(VLOOKUP(I455,[1]AUTOS!$C:$G,2,0),"")</f>
        <v>VERSA</v>
      </c>
      <c r="K455">
        <f>IFERROR(VLOOKUP(I455,[1]AUTOS!$C:$G,3,0),"")</f>
        <v>2020</v>
      </c>
      <c r="L455" t="str">
        <f>IFERROR(VLOOKUP(I455,[1]AUTOS!$C:$G,4,0),"")</f>
        <v>BLANCO</v>
      </c>
      <c r="M455" t="s">
        <v>43</v>
      </c>
      <c r="P455" s="3">
        <v>-60</v>
      </c>
    </row>
    <row r="456" spans="1:16" hidden="1" x14ac:dyDescent="0.3">
      <c r="A456">
        <v>24</v>
      </c>
      <c r="B456" t="str">
        <f>VLOOKUP($A456,[1]LISTA!$B:$C,2,0)</f>
        <v>JUNIO</v>
      </c>
      <c r="C456" s="1">
        <v>2025</v>
      </c>
      <c r="D456" s="1" t="str">
        <f>IF($A456&lt;=[1]RESULTADOS!$D$6,"YTD","YTG")</f>
        <v>YTD</v>
      </c>
      <c r="E456" t="s">
        <v>31</v>
      </c>
      <c r="F456" t="s">
        <v>18</v>
      </c>
      <c r="G456" t="s">
        <v>38</v>
      </c>
      <c r="H456" t="s">
        <v>193</v>
      </c>
      <c r="I456" t="s">
        <v>37</v>
      </c>
      <c r="J456" t="str">
        <f>IFERROR(VLOOKUP(I456,[1]AUTOS!$C:$G,2,0),"")</f>
        <v>BEAT</v>
      </c>
      <c r="K456">
        <f>IFERROR(VLOOKUP(I456,[1]AUTOS!$C:$G,3,0),"")</f>
        <v>2020</v>
      </c>
      <c r="L456" t="str">
        <f>IFERROR(VLOOKUP(I456,[1]AUTOS!$C:$G,4,0),"")</f>
        <v>GRIS</v>
      </c>
      <c r="M456" t="s">
        <v>35</v>
      </c>
      <c r="P456" s="3">
        <v>-22</v>
      </c>
    </row>
    <row r="457" spans="1:16" hidden="1" x14ac:dyDescent="0.3">
      <c r="A457">
        <v>24</v>
      </c>
      <c r="B457" t="str">
        <f>VLOOKUP($A457,[1]LISTA!$B:$C,2,0)</f>
        <v>JUNIO</v>
      </c>
      <c r="C457" s="1">
        <v>2025</v>
      </c>
      <c r="D457" s="1" t="str">
        <f>IF($A457&lt;=[1]RESULTADOS!$D$6,"YTD","YTG")</f>
        <v>YTD</v>
      </c>
      <c r="E457" t="s">
        <v>31</v>
      </c>
      <c r="F457" t="s">
        <v>18</v>
      </c>
      <c r="G457" t="s">
        <v>38</v>
      </c>
      <c r="H457" t="s">
        <v>193</v>
      </c>
      <c r="I457" t="s">
        <v>51</v>
      </c>
      <c r="J457" t="str">
        <f>IFERROR(VLOOKUP(I457,[1]AUTOS!$C:$G,2,0),"")</f>
        <v>VENTO</v>
      </c>
      <c r="K457">
        <f>IFERROR(VLOOKUP(I457,[1]AUTOS!$C:$G,3,0),"")</f>
        <v>2017</v>
      </c>
      <c r="L457" t="str">
        <f>IFERROR(VLOOKUP(I457,[1]AUTOS!$C:$G,4,0),"")</f>
        <v>GRIS</v>
      </c>
      <c r="M457" t="s">
        <v>22</v>
      </c>
      <c r="P457" s="3">
        <v>-33</v>
      </c>
    </row>
    <row r="458" spans="1:16" hidden="1" x14ac:dyDescent="0.3">
      <c r="A458">
        <v>24</v>
      </c>
      <c r="B458" t="str">
        <f>VLOOKUP($A458,[1]LISTA!$B:$C,2,0)</f>
        <v>JUNIO</v>
      </c>
      <c r="C458" s="1">
        <v>2025</v>
      </c>
      <c r="D458" s="1" t="str">
        <f>IF($A458&lt;=[1]RESULTADOS!$D$6,"YTD","YTG")</f>
        <v>YTD</v>
      </c>
      <c r="E458" t="s">
        <v>17</v>
      </c>
      <c r="F458" t="s">
        <v>18</v>
      </c>
      <c r="G458" t="s">
        <v>38</v>
      </c>
      <c r="H458" t="s">
        <v>312</v>
      </c>
      <c r="I458" t="s">
        <v>21</v>
      </c>
      <c r="J458" t="str">
        <f>IFERROR(VLOOKUP(I458,[1]AUTOS!$C:$G,2,0),"")</f>
        <v/>
      </c>
      <c r="K458" t="str">
        <f>IFERROR(VLOOKUP(I458,[1]AUTOS!$C:$G,3,0),"")</f>
        <v/>
      </c>
      <c r="L458" t="str">
        <f>IFERROR(VLOOKUP(I458,[1]AUTOS!$C:$G,4,0),"")</f>
        <v/>
      </c>
      <c r="M458" t="s">
        <v>22</v>
      </c>
      <c r="P458" s="3">
        <v>-146</v>
      </c>
    </row>
    <row r="459" spans="1:16" hidden="1" x14ac:dyDescent="0.3">
      <c r="A459">
        <v>24</v>
      </c>
      <c r="B459" t="str">
        <f>VLOOKUP($A459,[1]LISTA!$B:$C,2,0)</f>
        <v>JUNIO</v>
      </c>
      <c r="C459" s="1">
        <v>2025</v>
      </c>
      <c r="D459" s="1" t="str">
        <f>IF($A459&lt;=[1]RESULTADOS!$D$6,"YTD","YTG")</f>
        <v>YTD</v>
      </c>
      <c r="E459" t="s">
        <v>31</v>
      </c>
      <c r="F459" t="s">
        <v>18</v>
      </c>
      <c r="G459" t="s">
        <v>57</v>
      </c>
      <c r="H459" t="s">
        <v>8</v>
      </c>
      <c r="I459" t="s">
        <v>313</v>
      </c>
      <c r="J459" t="str">
        <f>IFERROR(VLOOKUP(I459,[1]AUTOS!$C:$G,2,0),"")</f>
        <v>MARCH</v>
      </c>
      <c r="K459">
        <f>IFERROR(VLOOKUP(I459,[1]AUTOS!$C:$G,3,0),"")</f>
        <v>2019</v>
      </c>
      <c r="L459" t="str">
        <f>IFERROR(VLOOKUP(I459,[1]AUTOS!$C:$G,4,0),"")</f>
        <v>TURQ</v>
      </c>
      <c r="M459" t="s">
        <v>140</v>
      </c>
      <c r="P459" s="3">
        <v>-2000</v>
      </c>
    </row>
    <row r="460" spans="1:16" hidden="1" x14ac:dyDescent="0.3">
      <c r="A460">
        <v>24</v>
      </c>
      <c r="B460" t="str">
        <f>VLOOKUP($A460,[1]LISTA!$B:$C,2,0)</f>
        <v>JUNIO</v>
      </c>
      <c r="C460" s="1">
        <v>2025</v>
      </c>
      <c r="D460" s="1" t="str">
        <f>IF($A460&lt;=[1]RESULTADOS!$D$6,"YTD","YTG")</f>
        <v>YTD</v>
      </c>
      <c r="E460" t="s">
        <v>31</v>
      </c>
      <c r="F460" t="s">
        <v>18</v>
      </c>
      <c r="G460" t="s">
        <v>19</v>
      </c>
      <c r="H460" t="s">
        <v>314</v>
      </c>
      <c r="I460" t="s">
        <v>82</v>
      </c>
      <c r="J460" t="str">
        <f>IFERROR(VLOOKUP(I460,[1]AUTOS!$C:$G,2,0),"")</f>
        <v>AVEO</v>
      </c>
      <c r="K460">
        <f>IFERROR(VLOOKUP(I460,[1]AUTOS!$C:$G,3,0),"")</f>
        <v>2019</v>
      </c>
      <c r="L460" t="str">
        <f>IFERROR(VLOOKUP(I460,[1]AUTOS!$C:$G,4,0),"")</f>
        <v>PLATA</v>
      </c>
      <c r="M460" t="s">
        <v>43</v>
      </c>
      <c r="P460" s="3">
        <v>-2709</v>
      </c>
    </row>
    <row r="461" spans="1:16" hidden="1" x14ac:dyDescent="0.3">
      <c r="A461">
        <v>24</v>
      </c>
      <c r="B461" t="str">
        <f>VLOOKUP($A461,[1]LISTA!$B:$C,2,0)</f>
        <v>JUNIO</v>
      </c>
      <c r="C461" s="1">
        <v>2025</v>
      </c>
      <c r="D461" s="1" t="str">
        <f>IF($A461&lt;=[1]RESULTADOS!$D$6,"YTD","YTG")</f>
        <v>YTD</v>
      </c>
      <c r="E461" t="s">
        <v>31</v>
      </c>
      <c r="F461" t="s">
        <v>18</v>
      </c>
      <c r="G461" t="s">
        <v>41</v>
      </c>
      <c r="H461" t="s">
        <v>315</v>
      </c>
      <c r="I461" t="s">
        <v>59</v>
      </c>
      <c r="J461" t="str">
        <f>IFERROR(VLOOKUP(I461,[1]AUTOS!$C:$G,2,0),"")</f>
        <v>AVEO</v>
      </c>
      <c r="K461">
        <f>IFERROR(VLOOKUP(I461,[1]AUTOS!$C:$G,3,0),"")</f>
        <v>2019</v>
      </c>
      <c r="L461" t="str">
        <f>IFERROR(VLOOKUP(I461,[1]AUTOS!$C:$G,4,0),"")</f>
        <v>BLANCO</v>
      </c>
      <c r="M461" t="s">
        <v>43</v>
      </c>
      <c r="P461" s="3">
        <v>-700</v>
      </c>
    </row>
    <row r="462" spans="1:16" hidden="1" x14ac:dyDescent="0.3">
      <c r="A462">
        <v>24</v>
      </c>
      <c r="B462" t="str">
        <f>VLOOKUP($A462,[1]LISTA!$B:$C,2,0)</f>
        <v>JUNIO</v>
      </c>
      <c r="C462" s="1">
        <v>2025</v>
      </c>
      <c r="D462" s="1" t="str">
        <f>IF($A462&lt;=[1]RESULTADOS!$D$6,"YTD","YTG")</f>
        <v>YTD</v>
      </c>
      <c r="E462" t="s">
        <v>31</v>
      </c>
      <c r="F462" t="s">
        <v>18</v>
      </c>
      <c r="G462" t="s">
        <v>41</v>
      </c>
      <c r="H462" t="s">
        <v>315</v>
      </c>
      <c r="I462" t="s">
        <v>46</v>
      </c>
      <c r="J462" t="str">
        <f>IFERROR(VLOOKUP(I462,[1]AUTOS!$C:$G,2,0),"")</f>
        <v>MARCH</v>
      </c>
      <c r="K462">
        <f>IFERROR(VLOOKUP(I462,[1]AUTOS!$C:$G,3,0),"")</f>
        <v>2020</v>
      </c>
      <c r="L462" t="str">
        <f>IFERROR(VLOOKUP(I462,[1]AUTOS!$C:$G,4,0),"")</f>
        <v>TURQ</v>
      </c>
      <c r="M462" t="s">
        <v>43</v>
      </c>
      <c r="P462" s="3">
        <v>-700</v>
      </c>
    </row>
    <row r="463" spans="1:16" hidden="1" x14ac:dyDescent="0.3">
      <c r="A463">
        <v>24</v>
      </c>
      <c r="B463" t="str">
        <f>VLOOKUP($A463,[1]LISTA!$B:$C,2,0)</f>
        <v>JUNIO</v>
      </c>
      <c r="C463" s="1">
        <v>2025</v>
      </c>
      <c r="D463" s="1" t="str">
        <f>IF($A463&lt;=[1]RESULTADOS!$D$6,"YTD","YTG")</f>
        <v>YTD</v>
      </c>
      <c r="E463" t="s">
        <v>31</v>
      </c>
      <c r="F463" t="s">
        <v>18</v>
      </c>
      <c r="G463" t="s">
        <v>41</v>
      </c>
      <c r="H463" t="s">
        <v>315</v>
      </c>
      <c r="I463" t="s">
        <v>40</v>
      </c>
      <c r="J463" t="str">
        <f>IFERROR(VLOOKUP(I463,[1]AUTOS!$C:$G,2,0),"")</f>
        <v>VERSA</v>
      </c>
      <c r="K463">
        <f>IFERROR(VLOOKUP(I463,[1]AUTOS!$C:$G,3,0),"")</f>
        <v>2017</v>
      </c>
      <c r="L463" t="str">
        <f>IFERROR(VLOOKUP(I463,[1]AUTOS!$C:$G,4,0),"")</f>
        <v>ACERO</v>
      </c>
      <c r="M463" t="s">
        <v>35</v>
      </c>
      <c r="P463" s="3">
        <v>-700</v>
      </c>
    </row>
    <row r="464" spans="1:16" hidden="1" x14ac:dyDescent="0.3">
      <c r="A464">
        <v>24</v>
      </c>
      <c r="B464" t="str">
        <f>VLOOKUP($A464,[1]LISTA!$B:$C,2,0)</f>
        <v>JUNIO</v>
      </c>
      <c r="C464" s="1">
        <v>2025</v>
      </c>
      <c r="D464" s="1" t="str">
        <f>IF($A464&lt;=[1]RESULTADOS!$D$6,"YTD","YTG")</f>
        <v>YTD</v>
      </c>
      <c r="E464" t="s">
        <v>31</v>
      </c>
      <c r="F464" t="s">
        <v>18</v>
      </c>
      <c r="G464" t="s">
        <v>41</v>
      </c>
      <c r="H464" t="s">
        <v>315</v>
      </c>
      <c r="I464" t="s">
        <v>61</v>
      </c>
      <c r="J464" t="str">
        <f>IFERROR(VLOOKUP(I464,[1]AUTOS!$C:$G,2,0),"")</f>
        <v>KIA RIO</v>
      </c>
      <c r="K464">
        <f>IFERROR(VLOOKUP(I464,[1]AUTOS!$C:$G,3,0),"")</f>
        <v>2017</v>
      </c>
      <c r="L464" t="str">
        <f>IFERROR(VLOOKUP(I464,[1]AUTOS!$C:$G,4,0),"")</f>
        <v>ROJO</v>
      </c>
      <c r="M464" t="s">
        <v>35</v>
      </c>
      <c r="P464" s="3">
        <v>-700</v>
      </c>
    </row>
    <row r="465" spans="1:16" hidden="1" x14ac:dyDescent="0.3">
      <c r="A465">
        <v>24</v>
      </c>
      <c r="B465" t="str">
        <f>VLOOKUP($A465,[1]LISTA!$B:$C,2,0)</f>
        <v>JUNIO</v>
      </c>
      <c r="C465" s="1">
        <v>2025</v>
      </c>
      <c r="D465" s="1" t="str">
        <f>IF($A465&lt;=[1]RESULTADOS!$D$6,"YTD","YTG")</f>
        <v>YTD</v>
      </c>
      <c r="E465" t="s">
        <v>31</v>
      </c>
      <c r="F465" t="s">
        <v>18</v>
      </c>
      <c r="G465" t="s">
        <v>41</v>
      </c>
      <c r="H465" t="s">
        <v>315</v>
      </c>
      <c r="I465" t="s">
        <v>76</v>
      </c>
      <c r="J465" t="str">
        <f>IFERROR(VLOOKUP(I465,[1]AUTOS!$C:$G,2,0),"")</f>
        <v>AVEO</v>
      </c>
      <c r="K465">
        <f>IFERROR(VLOOKUP(I465,[1]AUTOS!$C:$G,3,0),"")</f>
        <v>2018</v>
      </c>
      <c r="L465" t="str">
        <f>IFERROR(VLOOKUP(I465,[1]AUTOS!$C:$G,4,0),"")</f>
        <v>GRIS</v>
      </c>
      <c r="M465" t="s">
        <v>43</v>
      </c>
      <c r="P465" s="3">
        <v>-700</v>
      </c>
    </row>
    <row r="466" spans="1:16" hidden="1" x14ac:dyDescent="0.3">
      <c r="A466">
        <v>24</v>
      </c>
      <c r="B466" t="str">
        <f>VLOOKUP($A466,[1]LISTA!$B:$C,2,0)</f>
        <v>JUNIO</v>
      </c>
      <c r="C466" s="1">
        <v>2025</v>
      </c>
      <c r="D466" s="1" t="str">
        <f>IF($A466&lt;=[1]RESULTADOS!$D$6,"YTD","YTG")</f>
        <v>YTD</v>
      </c>
      <c r="E466" t="s">
        <v>31</v>
      </c>
      <c r="F466" t="s">
        <v>18</v>
      </c>
      <c r="G466" t="s">
        <v>41</v>
      </c>
      <c r="H466" t="s">
        <v>315</v>
      </c>
      <c r="I466" t="s">
        <v>37</v>
      </c>
      <c r="J466" t="str">
        <f>IFERROR(VLOOKUP(I466,[1]AUTOS!$C:$G,2,0),"")</f>
        <v>BEAT</v>
      </c>
      <c r="K466">
        <f>IFERROR(VLOOKUP(I466,[1]AUTOS!$C:$G,3,0),"")</f>
        <v>2020</v>
      </c>
      <c r="L466" t="str">
        <f>IFERROR(VLOOKUP(I466,[1]AUTOS!$C:$G,4,0),"")</f>
        <v>GRIS</v>
      </c>
      <c r="M466" t="s">
        <v>35</v>
      </c>
      <c r="P466" s="3">
        <v>-700</v>
      </c>
    </row>
    <row r="467" spans="1:16" hidden="1" x14ac:dyDescent="0.3">
      <c r="A467">
        <v>24</v>
      </c>
      <c r="B467" t="str">
        <f>VLOOKUP($A467,[1]LISTA!$B:$C,2,0)</f>
        <v>JUNIO</v>
      </c>
      <c r="C467" s="1">
        <v>2025</v>
      </c>
      <c r="D467" s="1" t="str">
        <f>IF($A467&lt;=[1]RESULTADOS!$D$6,"YTD","YTG")</f>
        <v>YTD</v>
      </c>
      <c r="E467" t="s">
        <v>31</v>
      </c>
      <c r="F467" t="s">
        <v>18</v>
      </c>
      <c r="G467" t="s">
        <v>41</v>
      </c>
      <c r="H467" t="s">
        <v>315</v>
      </c>
      <c r="I467" t="s">
        <v>51</v>
      </c>
      <c r="J467" t="str">
        <f>IFERROR(VLOOKUP(I467,[1]AUTOS!$C:$G,2,0),"")</f>
        <v>VENTO</v>
      </c>
      <c r="K467">
        <f>IFERROR(VLOOKUP(I467,[1]AUTOS!$C:$G,3,0),"")</f>
        <v>2017</v>
      </c>
      <c r="L467" t="str">
        <f>IFERROR(VLOOKUP(I467,[1]AUTOS!$C:$G,4,0),"")</f>
        <v>GRIS</v>
      </c>
      <c r="M467" t="s">
        <v>22</v>
      </c>
      <c r="P467" s="3">
        <v>-700</v>
      </c>
    </row>
    <row r="468" spans="1:16" hidden="1" x14ac:dyDescent="0.3">
      <c r="A468">
        <v>24</v>
      </c>
      <c r="B468" t="str">
        <f>VLOOKUP($A468,[1]LISTA!$B:$C,2,0)</f>
        <v>JUNIO</v>
      </c>
      <c r="C468" s="1">
        <v>2025</v>
      </c>
      <c r="D468" s="1" t="str">
        <f>IF($A468&lt;=[1]RESULTADOS!$D$6,"YTD","YTG")</f>
        <v>YTD</v>
      </c>
      <c r="E468" t="s">
        <v>31</v>
      </c>
      <c r="F468" t="s">
        <v>18</v>
      </c>
      <c r="G468" t="s">
        <v>41</v>
      </c>
      <c r="H468" t="s">
        <v>315</v>
      </c>
      <c r="I468" t="s">
        <v>73</v>
      </c>
      <c r="J468" t="str">
        <f>IFERROR(VLOOKUP(I468,[1]AUTOS!$C:$G,2,0),"")</f>
        <v>VERSA</v>
      </c>
      <c r="K468">
        <f>IFERROR(VLOOKUP(I468,[1]AUTOS!$C:$G,3,0),"")</f>
        <v>2023</v>
      </c>
      <c r="L468" t="str">
        <f>IFERROR(VLOOKUP(I468,[1]AUTOS!$C:$G,4,0),"")</f>
        <v>PLATA</v>
      </c>
      <c r="M468" t="s">
        <v>43</v>
      </c>
      <c r="P468" s="3">
        <v>-700</v>
      </c>
    </row>
    <row r="469" spans="1:16" hidden="1" x14ac:dyDescent="0.3">
      <c r="A469">
        <v>24</v>
      </c>
      <c r="B469" t="str">
        <f>VLOOKUP($A469,[1]LISTA!$B:$C,2,0)</f>
        <v>JUNIO</v>
      </c>
      <c r="C469" s="1">
        <v>2025</v>
      </c>
      <c r="D469" s="1" t="str">
        <f>IF($A469&lt;=[1]RESULTADOS!$D$6,"YTD","YTG")</f>
        <v>YTD</v>
      </c>
      <c r="E469" t="s">
        <v>31</v>
      </c>
      <c r="F469" t="s">
        <v>18</v>
      </c>
      <c r="G469" t="s">
        <v>41</v>
      </c>
      <c r="H469" t="s">
        <v>315</v>
      </c>
      <c r="I469" t="s">
        <v>178</v>
      </c>
      <c r="J469" t="str">
        <f>IFERROR(VLOOKUP(I469,[1]AUTOS!$C:$G,2,0),"")</f>
        <v>VERSA</v>
      </c>
      <c r="K469">
        <f>IFERROR(VLOOKUP(I469,[1]AUTOS!$C:$G,3,0),"")</f>
        <v>2020</v>
      </c>
      <c r="L469" t="str">
        <f>IFERROR(VLOOKUP(I469,[1]AUTOS!$C:$G,4,0),"")</f>
        <v>BLANCO</v>
      </c>
      <c r="M469" t="s">
        <v>43</v>
      </c>
      <c r="P469" s="3">
        <v>-700</v>
      </c>
    </row>
    <row r="470" spans="1:16" hidden="1" x14ac:dyDescent="0.3">
      <c r="A470">
        <v>24</v>
      </c>
      <c r="B470" t="str">
        <f>VLOOKUP($A470,[1]LISTA!$B:$C,2,0)</f>
        <v>JUNIO</v>
      </c>
      <c r="C470" s="1">
        <v>2025</v>
      </c>
      <c r="D470" s="1" t="str">
        <f>IF($A470&lt;=[1]RESULTADOS!$D$6,"YTD","YTG")</f>
        <v>YTD</v>
      </c>
      <c r="E470" t="s">
        <v>31</v>
      </c>
      <c r="F470" t="s">
        <v>18</v>
      </c>
      <c r="G470" t="s">
        <v>41</v>
      </c>
      <c r="H470" t="s">
        <v>315</v>
      </c>
      <c r="I470" t="s">
        <v>162</v>
      </c>
      <c r="J470" t="str">
        <f>IFERROR(VLOOKUP(I470,[1]AUTOS!$C:$G,2,0),"")</f>
        <v>HYUNDAI</v>
      </c>
      <c r="K470">
        <f>IFERROR(VLOOKUP(I470,[1]AUTOS!$C:$G,3,0),"")</f>
        <v>2022</v>
      </c>
      <c r="L470" t="str">
        <f>IFERROR(VLOOKUP(I470,[1]AUTOS!$C:$G,4,0),"")</f>
        <v>PLATA</v>
      </c>
      <c r="M470" t="s">
        <v>43</v>
      </c>
      <c r="P470" s="3">
        <v>-700</v>
      </c>
    </row>
    <row r="471" spans="1:16" hidden="1" x14ac:dyDescent="0.3">
      <c r="A471">
        <v>24</v>
      </c>
      <c r="B471" t="str">
        <f>VLOOKUP($A471,[1]LISTA!$B:$C,2,0)</f>
        <v>JUNIO</v>
      </c>
      <c r="C471" s="1">
        <v>2025</v>
      </c>
      <c r="D471" s="1" t="str">
        <f>IF($A471&lt;=[1]RESULTADOS!$D$6,"YTD","YTG")</f>
        <v>YTD</v>
      </c>
      <c r="E471" t="s">
        <v>31</v>
      </c>
      <c r="F471" t="s">
        <v>18</v>
      </c>
      <c r="G471" t="s">
        <v>41</v>
      </c>
      <c r="H471" t="s">
        <v>315</v>
      </c>
      <c r="I471" t="s">
        <v>79</v>
      </c>
      <c r="J471" t="str">
        <f>IFERROR(VLOOKUP(I471,[1]AUTOS!$C:$G,2,0),"")</f>
        <v>AVEO</v>
      </c>
      <c r="K471">
        <f>IFERROR(VLOOKUP(I471,[1]AUTOS!$C:$G,3,0),"")</f>
        <v>2021</v>
      </c>
      <c r="L471" t="str">
        <f>IFERROR(VLOOKUP(I471,[1]AUTOS!$C:$G,4,0),"")</f>
        <v>OCRE</v>
      </c>
      <c r="M471" t="s">
        <v>43</v>
      </c>
      <c r="P471" s="3">
        <v>-700</v>
      </c>
    </row>
    <row r="472" spans="1:16" hidden="1" x14ac:dyDescent="0.3">
      <c r="A472">
        <v>24</v>
      </c>
      <c r="B472" t="str">
        <f>VLOOKUP($A472,[1]LISTA!$B:$C,2,0)</f>
        <v>JUNIO</v>
      </c>
      <c r="C472" s="1">
        <v>2025</v>
      </c>
      <c r="D472" s="1" t="str">
        <f>IF($A472&lt;=[1]RESULTADOS!$D$6,"YTD","YTG")</f>
        <v>YTD</v>
      </c>
      <c r="E472" t="s">
        <v>31</v>
      </c>
      <c r="F472" t="s">
        <v>18</v>
      </c>
      <c r="G472" t="s">
        <v>41</v>
      </c>
      <c r="H472" t="s">
        <v>315</v>
      </c>
      <c r="I472" t="s">
        <v>116</v>
      </c>
      <c r="J472" t="str">
        <f>IFERROR(VLOOKUP(I472,[1]AUTOS!$C:$G,2,0),"")</f>
        <v>AVEO</v>
      </c>
      <c r="K472">
        <f>IFERROR(VLOOKUP(I472,[1]AUTOS!$C:$G,3,0),"")</f>
        <v>2022</v>
      </c>
      <c r="L472" t="str">
        <f>IFERROR(VLOOKUP(I472,[1]AUTOS!$C:$G,4,0),"")</f>
        <v>AZUL</v>
      </c>
      <c r="M472" t="s">
        <v>43</v>
      </c>
      <c r="P472" s="3">
        <v>-700</v>
      </c>
    </row>
    <row r="473" spans="1:16" hidden="1" x14ac:dyDescent="0.3">
      <c r="A473">
        <v>24</v>
      </c>
      <c r="B473" t="str">
        <f>VLOOKUP($A473,[1]LISTA!$B:$C,2,0)</f>
        <v>JUNIO</v>
      </c>
      <c r="C473" s="1">
        <v>2025</v>
      </c>
      <c r="D473" s="1" t="str">
        <f>IF($A473&lt;=[1]RESULTADOS!$D$6,"YTD","YTG")</f>
        <v>YTD</v>
      </c>
      <c r="E473" t="s">
        <v>31</v>
      </c>
      <c r="F473" t="s">
        <v>18</v>
      </c>
      <c r="G473" t="s">
        <v>41</v>
      </c>
      <c r="H473" t="s">
        <v>315</v>
      </c>
      <c r="I473" t="s">
        <v>42</v>
      </c>
      <c r="J473" t="str">
        <f>IFERROR(VLOOKUP(I473,[1]AUTOS!$C:$G,2,0),"")</f>
        <v>VENTO</v>
      </c>
      <c r="K473">
        <f>IFERROR(VLOOKUP(I473,[1]AUTOS!$C:$G,3,0),"")</f>
        <v>2018</v>
      </c>
      <c r="L473" t="str">
        <f>IFERROR(VLOOKUP(I473,[1]AUTOS!$C:$G,4,0),"")</f>
        <v>AMARILLO</v>
      </c>
      <c r="M473" t="s">
        <v>43</v>
      </c>
      <c r="P473" s="3">
        <v>-700</v>
      </c>
    </row>
    <row r="474" spans="1:16" hidden="1" x14ac:dyDescent="0.3">
      <c r="A474">
        <v>24</v>
      </c>
      <c r="B474" t="str">
        <f>VLOOKUP($A474,[1]LISTA!$B:$C,2,0)</f>
        <v>JUNIO</v>
      </c>
      <c r="C474" s="1">
        <v>2025</v>
      </c>
      <c r="D474" s="1" t="str">
        <f>IF($A474&lt;=[1]RESULTADOS!$D$6,"YTD","YTG")</f>
        <v>YTD</v>
      </c>
      <c r="E474" t="s">
        <v>31</v>
      </c>
      <c r="F474" t="s">
        <v>18</v>
      </c>
      <c r="G474" t="s">
        <v>41</v>
      </c>
      <c r="H474" t="s">
        <v>315</v>
      </c>
      <c r="I474" t="s">
        <v>146</v>
      </c>
      <c r="J474" t="str">
        <f>IFERROR(VLOOKUP(I474,[1]AUTOS!$C:$G,2,0),"")</f>
        <v>KIA RIO</v>
      </c>
      <c r="K474">
        <f>IFERROR(VLOOKUP(I474,[1]AUTOS!$C:$G,3,0),"")</f>
        <v>2023</v>
      </c>
      <c r="L474" t="str">
        <f>IFERROR(VLOOKUP(I474,[1]AUTOS!$C:$G,4,0),"")</f>
        <v>ROJO</v>
      </c>
      <c r="M474" t="s">
        <v>35</v>
      </c>
      <c r="P474" s="3">
        <v>-700</v>
      </c>
    </row>
    <row r="475" spans="1:16" hidden="1" x14ac:dyDescent="0.3">
      <c r="A475">
        <v>24</v>
      </c>
      <c r="B475" t="str">
        <f>VLOOKUP($A475,[1]LISTA!$B:$C,2,0)</f>
        <v>JUNIO</v>
      </c>
      <c r="C475" s="1">
        <v>2025</v>
      </c>
      <c r="D475" s="1" t="str">
        <f>IF($A475&lt;=[1]RESULTADOS!$D$6,"YTD","YTG")</f>
        <v>YTD</v>
      </c>
      <c r="E475" t="s">
        <v>31</v>
      </c>
      <c r="F475" t="s">
        <v>18</v>
      </c>
      <c r="G475" t="s">
        <v>57</v>
      </c>
      <c r="H475" t="s">
        <v>219</v>
      </c>
      <c r="I475" t="s">
        <v>178</v>
      </c>
      <c r="J475" t="str">
        <f>IFERROR(VLOOKUP(I475,[1]AUTOS!$C:$G,2,0),"")</f>
        <v>VERSA</v>
      </c>
      <c r="K475">
        <f>IFERROR(VLOOKUP(I475,[1]AUTOS!$C:$G,3,0),"")</f>
        <v>2020</v>
      </c>
      <c r="L475" t="str">
        <f>IFERROR(VLOOKUP(I475,[1]AUTOS!$C:$G,4,0),"")</f>
        <v>BLANCO</v>
      </c>
      <c r="M475" t="s">
        <v>43</v>
      </c>
      <c r="P475" s="3">
        <v>-591</v>
      </c>
    </row>
    <row r="476" spans="1:16" x14ac:dyDescent="0.3">
      <c r="A476">
        <v>24</v>
      </c>
      <c r="B476" t="str">
        <f>VLOOKUP($A476,[1]LISTA!$B:$C,2,0)</f>
        <v>JUNIO</v>
      </c>
      <c r="C476" s="1">
        <v>2025</v>
      </c>
      <c r="D476" s="1" t="str">
        <f>IF($A476&lt;=[1]RESULTADOS!$D$6,"YTD","YTG")</f>
        <v>YTD</v>
      </c>
      <c r="E476" t="s">
        <v>31</v>
      </c>
      <c r="F476" t="s">
        <v>18</v>
      </c>
      <c r="G476" t="s">
        <v>57</v>
      </c>
      <c r="H476" t="s">
        <v>8</v>
      </c>
      <c r="I476" t="s">
        <v>72</v>
      </c>
      <c r="J476" t="str">
        <f>IFERROR(VLOOKUP(I476,[1]AUTOS!$C:$G,2,0),"")</f>
        <v>VENTO</v>
      </c>
      <c r="K476">
        <f>IFERROR(VLOOKUP(I476,[1]AUTOS!$C:$G,3,0),"")</f>
        <v>2020</v>
      </c>
      <c r="L476" t="str">
        <f>IFERROR(VLOOKUP(I476,[1]AUTOS!$C:$G,4,0),"")</f>
        <v>GRIS</v>
      </c>
      <c r="M476" t="s">
        <v>43</v>
      </c>
      <c r="P476" s="3">
        <v>-650</v>
      </c>
    </row>
    <row r="477" spans="1:16" hidden="1" x14ac:dyDescent="0.3">
      <c r="A477">
        <v>24</v>
      </c>
      <c r="B477" t="str">
        <f>VLOOKUP($A477,[1]LISTA!$B:$C,2,0)</f>
        <v>JUNIO</v>
      </c>
      <c r="C477" s="1">
        <v>2025</v>
      </c>
      <c r="D477" s="1" t="str">
        <f>IF($A477&lt;=[1]RESULTADOS!$D$6,"YTD","YTG")</f>
        <v>YTD</v>
      </c>
      <c r="E477" t="s">
        <v>31</v>
      </c>
      <c r="F477" t="s">
        <v>18</v>
      </c>
      <c r="G477" t="s">
        <v>57</v>
      </c>
      <c r="H477" t="s">
        <v>316</v>
      </c>
      <c r="I477" t="s">
        <v>73</v>
      </c>
      <c r="J477" t="str">
        <f>IFERROR(VLOOKUP(I477,[1]AUTOS!$C:$G,2,0),"")</f>
        <v>VERSA</v>
      </c>
      <c r="K477">
        <f>IFERROR(VLOOKUP(I477,[1]AUTOS!$C:$G,3,0),"")</f>
        <v>2023</v>
      </c>
      <c r="L477" t="str">
        <f>IFERROR(VLOOKUP(I477,[1]AUTOS!$C:$G,4,0),"")</f>
        <v>PLATA</v>
      </c>
      <c r="M477" t="s">
        <v>43</v>
      </c>
      <c r="P477" s="3">
        <v>-1850</v>
      </c>
    </row>
    <row r="478" spans="1:16" hidden="1" x14ac:dyDescent="0.3">
      <c r="A478">
        <v>24</v>
      </c>
      <c r="B478" t="str">
        <f>VLOOKUP($A478,[1]LISTA!$B:$C,2,0)</f>
        <v>JUNIO</v>
      </c>
      <c r="C478" s="1">
        <v>2025</v>
      </c>
      <c r="D478" s="1" t="str">
        <f>IF($A478&lt;=[1]RESULTADOS!$D$6,"YTD","YTG")</f>
        <v>YTD</v>
      </c>
      <c r="E478" t="s">
        <v>17</v>
      </c>
      <c r="F478" t="s">
        <v>18</v>
      </c>
      <c r="G478" t="s">
        <v>29</v>
      </c>
      <c r="H478" t="s">
        <v>317</v>
      </c>
      <c r="I478" t="s">
        <v>21</v>
      </c>
      <c r="J478" t="str">
        <f>IFERROR(VLOOKUP(I478,[1]AUTOS!$C:$G,2,0),"")</f>
        <v/>
      </c>
      <c r="K478" t="str">
        <f>IFERROR(VLOOKUP(I478,[1]AUTOS!$C:$G,3,0),"")</f>
        <v/>
      </c>
      <c r="L478" t="str">
        <f>IFERROR(VLOOKUP(I478,[1]AUTOS!$C:$G,4,0),"")</f>
        <v/>
      </c>
      <c r="M478" t="s">
        <v>22</v>
      </c>
      <c r="P478" s="3">
        <v>-200</v>
      </c>
    </row>
    <row r="479" spans="1:16" hidden="1" x14ac:dyDescent="0.3">
      <c r="A479">
        <v>24</v>
      </c>
      <c r="B479" t="str">
        <f>VLOOKUP($A479,[1]LISTA!$B:$C,2,0)</f>
        <v>JUNIO</v>
      </c>
      <c r="C479" s="1">
        <v>2025</v>
      </c>
      <c r="D479" s="1" t="str">
        <f>IF($A479&lt;=[1]RESULTADOS!$D$6,"YTD","YTG")</f>
        <v>YTD</v>
      </c>
      <c r="E479" t="s">
        <v>17</v>
      </c>
      <c r="F479" t="s">
        <v>18</v>
      </c>
      <c r="G479" t="s">
        <v>318</v>
      </c>
      <c r="H479" t="s">
        <v>319</v>
      </c>
      <c r="I479" t="s">
        <v>21</v>
      </c>
      <c r="J479" t="str">
        <f>IFERROR(VLOOKUP(I479,[1]AUTOS!$C:$G,2,0),"")</f>
        <v/>
      </c>
      <c r="K479" t="str">
        <f>IFERROR(VLOOKUP(I479,[1]AUTOS!$C:$G,3,0),"")</f>
        <v/>
      </c>
      <c r="L479" t="str">
        <f>IFERROR(VLOOKUP(I479,[1]AUTOS!$C:$G,4,0),"")</f>
        <v/>
      </c>
      <c r="M479" t="s">
        <v>22</v>
      </c>
      <c r="P479" s="3">
        <v>-44</v>
      </c>
    </row>
    <row r="480" spans="1:16" hidden="1" x14ac:dyDescent="0.3">
      <c r="A480">
        <v>24</v>
      </c>
      <c r="B480" t="str">
        <f>VLOOKUP($A480,[1]LISTA!$B:$C,2,0)</f>
        <v>JUNIO</v>
      </c>
      <c r="C480" s="1">
        <v>2025</v>
      </c>
      <c r="D480" s="1" t="str">
        <f>IF($A480&lt;=[1]RESULTADOS!$D$6,"YTD","YTG")</f>
        <v>YTD</v>
      </c>
      <c r="E480" t="s">
        <v>31</v>
      </c>
      <c r="F480" t="s">
        <v>18</v>
      </c>
      <c r="G480" t="s">
        <v>29</v>
      </c>
      <c r="H480" t="s">
        <v>320</v>
      </c>
      <c r="I480" t="s">
        <v>61</v>
      </c>
      <c r="J480" t="str">
        <f>IFERROR(VLOOKUP(I480,[1]AUTOS!$C:$G,2,0),"")</f>
        <v>KIA RIO</v>
      </c>
      <c r="K480">
        <f>IFERROR(VLOOKUP(I480,[1]AUTOS!$C:$G,3,0),"")</f>
        <v>2017</v>
      </c>
      <c r="L480" t="str">
        <f>IFERROR(VLOOKUP(I480,[1]AUTOS!$C:$G,4,0),"")</f>
        <v>ROJO</v>
      </c>
      <c r="M480" t="s">
        <v>35</v>
      </c>
      <c r="P480" s="3">
        <v>-250</v>
      </c>
    </row>
    <row r="481" spans="1:16" hidden="1" x14ac:dyDescent="0.3">
      <c r="A481">
        <v>24</v>
      </c>
      <c r="B481" t="str">
        <f>VLOOKUP($A481,[1]LISTA!$B:$C,2,0)</f>
        <v>JUNIO</v>
      </c>
      <c r="C481" s="1">
        <v>2025</v>
      </c>
      <c r="D481" s="1" t="str">
        <f>IF($A481&lt;=[1]RESULTADOS!$D$6,"YTD","YTG")</f>
        <v>YTD</v>
      </c>
      <c r="E481" t="s">
        <v>31</v>
      </c>
      <c r="F481" t="s">
        <v>18</v>
      </c>
      <c r="G481" t="s">
        <v>29</v>
      </c>
      <c r="H481" t="s">
        <v>113</v>
      </c>
      <c r="I481" t="s">
        <v>313</v>
      </c>
      <c r="J481" t="str">
        <f>IFERROR(VLOOKUP(I481,[1]AUTOS!$C:$G,2,0),"")</f>
        <v>MARCH</v>
      </c>
      <c r="K481">
        <f>IFERROR(VLOOKUP(I481,[1]AUTOS!$C:$G,3,0),"")</f>
        <v>2019</v>
      </c>
      <c r="L481" t="str">
        <f>IFERROR(VLOOKUP(I481,[1]AUTOS!$C:$G,4,0),"")</f>
        <v>TURQ</v>
      </c>
      <c r="M481" t="s">
        <v>140</v>
      </c>
      <c r="P481" s="3">
        <v>-165</v>
      </c>
    </row>
    <row r="482" spans="1:16" hidden="1" x14ac:dyDescent="0.3">
      <c r="A482">
        <v>24</v>
      </c>
      <c r="B482" t="str">
        <f>VLOOKUP($A482,[1]LISTA!$B:$C,2,0)</f>
        <v>JUNIO</v>
      </c>
      <c r="C482" s="1">
        <v>2025</v>
      </c>
      <c r="D482" s="1" t="str">
        <f>IF($A482&lt;=[1]RESULTADOS!$D$6,"YTD","YTG")</f>
        <v>YTD</v>
      </c>
      <c r="E482" t="s">
        <v>17</v>
      </c>
      <c r="F482" t="s">
        <v>18</v>
      </c>
      <c r="G482" t="s">
        <v>41</v>
      </c>
      <c r="H482" t="s">
        <v>321</v>
      </c>
      <c r="I482" t="s">
        <v>21</v>
      </c>
      <c r="J482" t="str">
        <f>IFERROR(VLOOKUP(I482,[1]AUTOS!$C:$G,2,0),"")</f>
        <v/>
      </c>
      <c r="K482" t="str">
        <f>IFERROR(VLOOKUP(I482,[1]AUTOS!$C:$G,3,0),"")</f>
        <v/>
      </c>
      <c r="L482" t="str">
        <f>IFERROR(VLOOKUP(I482,[1]AUTOS!$C:$G,4,0),"")</f>
        <v/>
      </c>
      <c r="M482" t="s">
        <v>22</v>
      </c>
      <c r="P482" s="3">
        <v>-15000</v>
      </c>
    </row>
    <row r="483" spans="1:16" hidden="1" x14ac:dyDescent="0.3">
      <c r="A483">
        <v>24</v>
      </c>
      <c r="B483" t="str">
        <f>VLOOKUP($A483,[1]LISTA!$B:$C,2,0)</f>
        <v>JUNIO</v>
      </c>
      <c r="C483" s="1">
        <v>2025</v>
      </c>
      <c r="D483" s="1" t="str">
        <f>IF($A483&lt;=[1]RESULTADOS!$D$6,"YTD","YTG")</f>
        <v>YTD</v>
      </c>
      <c r="E483" t="s">
        <v>31</v>
      </c>
      <c r="F483" t="s">
        <v>18</v>
      </c>
      <c r="G483" t="s">
        <v>57</v>
      </c>
      <c r="H483" t="s">
        <v>322</v>
      </c>
      <c r="I483" t="s">
        <v>178</v>
      </c>
      <c r="J483" t="str">
        <f>IFERROR(VLOOKUP(I483,[1]AUTOS!$C:$G,2,0),"")</f>
        <v>VERSA</v>
      </c>
      <c r="K483">
        <f>IFERROR(VLOOKUP(I483,[1]AUTOS!$C:$G,3,0),"")</f>
        <v>2020</v>
      </c>
      <c r="L483" t="str">
        <f>IFERROR(VLOOKUP(I483,[1]AUTOS!$C:$G,4,0),"")</f>
        <v>BLANCO</v>
      </c>
      <c r="M483" t="s">
        <v>43</v>
      </c>
      <c r="P483" s="3">
        <v>-1340</v>
      </c>
    </row>
    <row r="484" spans="1:16" hidden="1" x14ac:dyDescent="0.3">
      <c r="A484">
        <v>24</v>
      </c>
      <c r="B484" t="str">
        <f>VLOOKUP($A484,[1]LISTA!$B:$C,2,0)</f>
        <v>JUNIO</v>
      </c>
      <c r="C484" s="1">
        <v>2025</v>
      </c>
      <c r="D484" s="1" t="str">
        <f>IF($A484&lt;=[1]RESULTADOS!$D$6,"YTD","YTG")</f>
        <v>YTD</v>
      </c>
      <c r="E484" t="s">
        <v>31</v>
      </c>
      <c r="F484" t="s">
        <v>18</v>
      </c>
      <c r="G484" t="s">
        <v>77</v>
      </c>
      <c r="H484" t="s">
        <v>78</v>
      </c>
      <c r="I484" t="s">
        <v>76</v>
      </c>
      <c r="J484" t="str">
        <f>IFERROR(VLOOKUP(I484,[1]AUTOS!$C:$G,2,0),"")</f>
        <v>AVEO</v>
      </c>
      <c r="K484">
        <f>IFERROR(VLOOKUP(I484,[1]AUTOS!$C:$G,3,0),"")</f>
        <v>2018</v>
      </c>
      <c r="L484" t="str">
        <f>IFERROR(VLOOKUP(I484,[1]AUTOS!$C:$G,4,0),"")</f>
        <v>GRIS</v>
      </c>
      <c r="M484" t="s">
        <v>43</v>
      </c>
      <c r="P484" s="3">
        <v>-740</v>
      </c>
    </row>
    <row r="485" spans="1:16" hidden="1" x14ac:dyDescent="0.3">
      <c r="A485">
        <v>24</v>
      </c>
      <c r="B485" t="str">
        <f>VLOOKUP($A485,[1]LISTA!$B:$C,2,0)</f>
        <v>JUNIO</v>
      </c>
      <c r="C485" s="1">
        <v>2025</v>
      </c>
      <c r="D485" s="1" t="str">
        <f>IF($A485&lt;=[1]RESULTADOS!$D$6,"YTD","YTG")</f>
        <v>YTD</v>
      </c>
      <c r="E485" t="s">
        <v>31</v>
      </c>
      <c r="F485" t="s">
        <v>18</v>
      </c>
      <c r="G485" t="s">
        <v>77</v>
      </c>
      <c r="H485" t="s">
        <v>286</v>
      </c>
      <c r="I485" t="s">
        <v>76</v>
      </c>
      <c r="J485" t="str">
        <f>IFERROR(VLOOKUP(I485,[1]AUTOS!$C:$G,2,0),"")</f>
        <v>AVEO</v>
      </c>
      <c r="K485">
        <f>IFERROR(VLOOKUP(I485,[1]AUTOS!$C:$G,3,0),"")</f>
        <v>2018</v>
      </c>
      <c r="L485" t="str">
        <f>IFERROR(VLOOKUP(I485,[1]AUTOS!$C:$G,4,0),"")</f>
        <v>GRIS</v>
      </c>
      <c r="M485" t="s">
        <v>43</v>
      </c>
      <c r="P485" s="3">
        <v>-300</v>
      </c>
    </row>
    <row r="486" spans="1:16" hidden="1" x14ac:dyDescent="0.3">
      <c r="A486">
        <v>24</v>
      </c>
      <c r="B486" t="str">
        <f>VLOOKUP($A486,[1]LISTA!$B:$C,2,0)</f>
        <v>JUNIO</v>
      </c>
      <c r="C486" s="1">
        <v>2025</v>
      </c>
      <c r="D486" s="1" t="str">
        <f>IF($A486&lt;=[1]RESULTADOS!$D$6,"YTD","YTG")</f>
        <v>YTD</v>
      </c>
      <c r="E486" t="s">
        <v>31</v>
      </c>
      <c r="F486" t="s">
        <v>18</v>
      </c>
      <c r="G486" t="s">
        <v>57</v>
      </c>
      <c r="H486" t="s">
        <v>120</v>
      </c>
      <c r="I486" t="s">
        <v>37</v>
      </c>
      <c r="J486" t="str">
        <f>IFERROR(VLOOKUP(I486,[1]AUTOS!$C:$G,2,0),"")</f>
        <v>BEAT</v>
      </c>
      <c r="K486">
        <f>IFERROR(VLOOKUP(I486,[1]AUTOS!$C:$G,3,0),"")</f>
        <v>2020</v>
      </c>
      <c r="L486" t="str">
        <f>IFERROR(VLOOKUP(I486,[1]AUTOS!$C:$G,4,0),"")</f>
        <v>GRIS</v>
      </c>
      <c r="M486" t="s">
        <v>35</v>
      </c>
      <c r="P486" s="3">
        <v>-332</v>
      </c>
    </row>
    <row r="487" spans="1:16" hidden="1" x14ac:dyDescent="0.3">
      <c r="A487">
        <v>24</v>
      </c>
      <c r="B487" t="str">
        <f>VLOOKUP($A487,[1]LISTA!$B:$C,2,0)</f>
        <v>JUNIO</v>
      </c>
      <c r="C487" s="1">
        <v>2025</v>
      </c>
      <c r="D487" s="1" t="str">
        <f>IF($A487&lt;=[1]RESULTADOS!$D$6,"YTD","YTG")</f>
        <v>YTD</v>
      </c>
      <c r="E487" t="s">
        <v>31</v>
      </c>
      <c r="F487" t="s">
        <v>18</v>
      </c>
      <c r="G487" t="s">
        <v>32</v>
      </c>
      <c r="H487" t="s">
        <v>229</v>
      </c>
      <c r="I487" t="s">
        <v>178</v>
      </c>
      <c r="J487" t="str">
        <f>IFERROR(VLOOKUP(I487,[1]AUTOS!$C:$G,2,0),"")</f>
        <v>VERSA</v>
      </c>
      <c r="K487">
        <f>IFERROR(VLOOKUP(I487,[1]AUTOS!$C:$G,3,0),"")</f>
        <v>2020</v>
      </c>
      <c r="L487" t="str">
        <f>IFERROR(VLOOKUP(I487,[1]AUTOS!$C:$G,4,0),"")</f>
        <v>BLANCO</v>
      </c>
      <c r="M487" t="s">
        <v>43</v>
      </c>
      <c r="P487" s="3">
        <v>-370</v>
      </c>
    </row>
    <row r="488" spans="1:16" hidden="1" x14ac:dyDescent="0.3">
      <c r="A488">
        <v>24</v>
      </c>
      <c r="B488" t="str">
        <f>VLOOKUP($A488,[1]LISTA!$B:$C,2,0)</f>
        <v>JUNIO</v>
      </c>
      <c r="C488" s="1">
        <v>2025</v>
      </c>
      <c r="D488" s="1" t="str">
        <f>IF($A488&lt;=[1]RESULTADOS!$D$6,"YTD","YTG")</f>
        <v>YTD</v>
      </c>
      <c r="E488" t="s">
        <v>17</v>
      </c>
      <c r="F488" t="s">
        <v>18</v>
      </c>
      <c r="G488" t="s">
        <v>29</v>
      </c>
      <c r="H488" t="s">
        <v>30</v>
      </c>
      <c r="I488" t="s">
        <v>21</v>
      </c>
      <c r="J488" t="str">
        <f>IFERROR(VLOOKUP(I488,[1]AUTOS!$C:$G,2,0),"")</f>
        <v/>
      </c>
      <c r="K488" t="str">
        <f>IFERROR(VLOOKUP(I488,[1]AUTOS!$C:$G,3,0),"")</f>
        <v/>
      </c>
      <c r="L488" t="str">
        <f>IFERROR(VLOOKUP(I488,[1]AUTOS!$C:$G,4,0),"")</f>
        <v/>
      </c>
      <c r="M488" t="s">
        <v>22</v>
      </c>
      <c r="P488" s="3">
        <v>-1500</v>
      </c>
    </row>
    <row r="489" spans="1:16" hidden="1" x14ac:dyDescent="0.3">
      <c r="A489">
        <v>24</v>
      </c>
      <c r="B489" t="str">
        <f>VLOOKUP($A489,[1]LISTA!$B:$C,2,0)</f>
        <v>JUNIO</v>
      </c>
      <c r="C489" s="1">
        <v>2025</v>
      </c>
      <c r="D489" s="1" t="str">
        <f>IF($A489&lt;=[1]RESULTADOS!$D$6,"YTD","YTG")</f>
        <v>YTD</v>
      </c>
      <c r="E489" t="s">
        <v>17</v>
      </c>
      <c r="F489" t="s">
        <v>18</v>
      </c>
      <c r="G489" t="s">
        <v>19</v>
      </c>
      <c r="H489" t="s">
        <v>323</v>
      </c>
      <c r="I489" t="s">
        <v>21</v>
      </c>
      <c r="J489" t="str">
        <f>IFERROR(VLOOKUP(I489,[1]AUTOS!$C:$G,2,0),"")</f>
        <v/>
      </c>
      <c r="K489" t="str">
        <f>IFERROR(VLOOKUP(I489,[1]AUTOS!$C:$G,3,0),"")</f>
        <v/>
      </c>
      <c r="L489" t="str">
        <f>IFERROR(VLOOKUP(I489,[1]AUTOS!$C:$G,4,0),"")</f>
        <v/>
      </c>
      <c r="M489" t="s">
        <v>22</v>
      </c>
      <c r="P489" s="3">
        <v>-500</v>
      </c>
    </row>
    <row r="490" spans="1:16" hidden="1" x14ac:dyDescent="0.3">
      <c r="A490">
        <v>24</v>
      </c>
      <c r="B490" t="str">
        <f>VLOOKUP($A490,[1]LISTA!$B:$C,2,0)</f>
        <v>JUNIO</v>
      </c>
      <c r="C490" s="1">
        <v>2025</v>
      </c>
      <c r="D490" s="1" t="str">
        <f>IF($A490&lt;=[1]RESULTADOS!$D$6,"YTD","YTG")</f>
        <v>YTD</v>
      </c>
      <c r="E490" t="s">
        <v>17</v>
      </c>
      <c r="F490" t="s">
        <v>18</v>
      </c>
      <c r="G490" t="s">
        <v>57</v>
      </c>
      <c r="H490" t="s">
        <v>324</v>
      </c>
      <c r="I490" t="s">
        <v>21</v>
      </c>
      <c r="J490" t="str">
        <f>IFERROR(VLOOKUP(I490,[1]AUTOS!$C:$G,2,0),"")</f>
        <v/>
      </c>
      <c r="K490" t="str">
        <f>IFERROR(VLOOKUP(I490,[1]AUTOS!$C:$G,3,0),"")</f>
        <v/>
      </c>
      <c r="L490" t="str">
        <f>IFERROR(VLOOKUP(I490,[1]AUTOS!$C:$G,4,0),"")</f>
        <v/>
      </c>
      <c r="M490" t="s">
        <v>22</v>
      </c>
      <c r="P490" s="3">
        <v>-800</v>
      </c>
    </row>
    <row r="491" spans="1:16" hidden="1" x14ac:dyDescent="0.3">
      <c r="A491">
        <v>24</v>
      </c>
      <c r="B491" t="str">
        <f>VLOOKUP($A491,[1]LISTA!$B:$C,2,0)</f>
        <v>JUNIO</v>
      </c>
      <c r="C491" s="1">
        <v>2025</v>
      </c>
      <c r="D491" s="1" t="str">
        <f>IF($A491&lt;=[1]RESULTADOS!$D$6,"YTD","YTG")</f>
        <v>YTD</v>
      </c>
      <c r="E491" t="s">
        <v>31</v>
      </c>
      <c r="F491" t="s">
        <v>18</v>
      </c>
      <c r="G491" t="s">
        <v>53</v>
      </c>
      <c r="H491" t="s">
        <v>233</v>
      </c>
      <c r="I491" t="s">
        <v>73</v>
      </c>
      <c r="J491" t="str">
        <f>IFERROR(VLOOKUP(I491,[1]AUTOS!$C:$G,2,0),"")</f>
        <v>VERSA</v>
      </c>
      <c r="K491">
        <f>IFERROR(VLOOKUP(I491,[1]AUTOS!$C:$G,3,0),"")</f>
        <v>2023</v>
      </c>
      <c r="L491" t="str">
        <f>IFERROR(VLOOKUP(I491,[1]AUTOS!$C:$G,4,0),"")</f>
        <v>PLATA</v>
      </c>
      <c r="M491" t="s">
        <v>43</v>
      </c>
      <c r="P491" s="3">
        <v>-90</v>
      </c>
    </row>
    <row r="492" spans="1:16" hidden="1" x14ac:dyDescent="0.3">
      <c r="A492">
        <v>25</v>
      </c>
      <c r="B492" t="str">
        <f>VLOOKUP($A492,[1]LISTA!$B:$C,2,0)</f>
        <v>JUNIO</v>
      </c>
      <c r="C492" s="1">
        <v>2025</v>
      </c>
      <c r="D492" s="1" t="str">
        <f>IF($A492&lt;=[1]RESULTADOS!$D$6,"YTD","YTG")</f>
        <v>YTD</v>
      </c>
      <c r="E492" t="s">
        <v>31</v>
      </c>
      <c r="F492" t="s">
        <v>18</v>
      </c>
      <c r="G492" t="s">
        <v>32</v>
      </c>
      <c r="H492" t="s">
        <v>229</v>
      </c>
      <c r="I492" t="s">
        <v>42</v>
      </c>
      <c r="J492" t="str">
        <f>IFERROR(VLOOKUP(I492,[1]AUTOS!$C:$G,2,0),"")</f>
        <v>VENTO</v>
      </c>
      <c r="K492">
        <f>IFERROR(VLOOKUP(I492,[1]AUTOS!$C:$G,3,0),"")</f>
        <v>2018</v>
      </c>
      <c r="L492" t="str">
        <f>IFERROR(VLOOKUP(I492,[1]AUTOS!$C:$G,4,0),"")</f>
        <v>AMARILLO</v>
      </c>
      <c r="M492" t="s">
        <v>43</v>
      </c>
      <c r="P492" s="3">
        <v>-500</v>
      </c>
    </row>
    <row r="493" spans="1:16" hidden="1" x14ac:dyDescent="0.3">
      <c r="A493">
        <v>25</v>
      </c>
      <c r="B493" t="str">
        <f>VLOOKUP($A493,[1]LISTA!$B:$C,2,0)</f>
        <v>JUNIO</v>
      </c>
      <c r="C493" s="1">
        <v>2025</v>
      </c>
      <c r="D493" s="1" t="str">
        <f>IF($A493&lt;=[1]RESULTADOS!$D$6,"YTD","YTG")</f>
        <v>YTD</v>
      </c>
      <c r="E493" t="s">
        <v>31</v>
      </c>
      <c r="F493" t="s">
        <v>18</v>
      </c>
      <c r="G493" t="s">
        <v>29</v>
      </c>
      <c r="H493" t="s">
        <v>320</v>
      </c>
      <c r="I493" t="s">
        <v>59</v>
      </c>
      <c r="J493" t="str">
        <f>IFERROR(VLOOKUP(I493,[1]AUTOS!$C:$G,2,0),"")</f>
        <v>AVEO</v>
      </c>
      <c r="K493">
        <f>IFERROR(VLOOKUP(I493,[1]AUTOS!$C:$G,3,0),"")</f>
        <v>2019</v>
      </c>
      <c r="L493" t="str">
        <f>IFERROR(VLOOKUP(I493,[1]AUTOS!$C:$G,4,0),"")</f>
        <v>BLANCO</v>
      </c>
      <c r="M493" t="s">
        <v>43</v>
      </c>
      <c r="P493" s="3">
        <v>-245</v>
      </c>
    </row>
    <row r="494" spans="1:16" hidden="1" x14ac:dyDescent="0.3">
      <c r="A494">
        <v>25</v>
      </c>
      <c r="B494" t="str">
        <f>VLOOKUP($A494,[1]LISTA!$B:$C,2,0)</f>
        <v>JUNIO</v>
      </c>
      <c r="C494" s="1">
        <v>2025</v>
      </c>
      <c r="D494" s="1" t="str">
        <f>IF($A494&lt;=[1]RESULTADOS!$D$6,"YTD","YTG")</f>
        <v>YTD</v>
      </c>
      <c r="E494" t="s">
        <v>17</v>
      </c>
      <c r="F494" t="s">
        <v>18</v>
      </c>
      <c r="G494" t="s">
        <v>318</v>
      </c>
      <c r="H494" t="s">
        <v>325</v>
      </c>
      <c r="I494" t="s">
        <v>21</v>
      </c>
      <c r="J494" t="str">
        <f>IFERROR(VLOOKUP(I494,[1]AUTOS!$C:$G,2,0),"")</f>
        <v/>
      </c>
      <c r="K494" t="str">
        <f>IFERROR(VLOOKUP(I494,[1]AUTOS!$C:$G,3,0),"")</f>
        <v/>
      </c>
      <c r="L494" t="str">
        <f>IFERROR(VLOOKUP(I494,[1]AUTOS!$C:$G,4,0),"")</f>
        <v/>
      </c>
      <c r="M494" t="s">
        <v>22</v>
      </c>
      <c r="P494" s="3">
        <v>-82</v>
      </c>
    </row>
    <row r="495" spans="1:16" hidden="1" x14ac:dyDescent="0.3">
      <c r="A495">
        <v>25</v>
      </c>
      <c r="B495" t="str">
        <f>VLOOKUP($A495,[1]LISTA!$B:$C,2,0)</f>
        <v>JUNIO</v>
      </c>
      <c r="C495" s="1">
        <v>2025</v>
      </c>
      <c r="D495" s="1" t="str">
        <f>IF($A495&lt;=[1]RESULTADOS!$D$6,"YTD","YTG")</f>
        <v>YTD</v>
      </c>
      <c r="E495" t="s">
        <v>31</v>
      </c>
      <c r="F495" t="s">
        <v>18</v>
      </c>
      <c r="G495" t="s">
        <v>29</v>
      </c>
      <c r="H495" t="s">
        <v>326</v>
      </c>
      <c r="I495" t="s">
        <v>73</v>
      </c>
      <c r="J495" t="str">
        <f>IFERROR(VLOOKUP(I495,[1]AUTOS!$C:$G,2,0),"")</f>
        <v>VERSA</v>
      </c>
      <c r="K495">
        <f>IFERROR(VLOOKUP(I495,[1]AUTOS!$C:$G,3,0),"")</f>
        <v>2023</v>
      </c>
      <c r="L495" t="str">
        <f>IFERROR(VLOOKUP(I495,[1]AUTOS!$C:$G,4,0),"")</f>
        <v>PLATA</v>
      </c>
      <c r="M495" t="s">
        <v>43</v>
      </c>
      <c r="P495" s="3">
        <v>-200</v>
      </c>
    </row>
    <row r="496" spans="1:16" x14ac:dyDescent="0.3">
      <c r="A496">
        <v>25</v>
      </c>
      <c r="B496" t="str">
        <f>VLOOKUP($A496,[1]LISTA!$B:$C,2,0)</f>
        <v>JUNIO</v>
      </c>
      <c r="C496" s="1">
        <v>2025</v>
      </c>
      <c r="D496" s="1" t="str">
        <f>IF($A496&lt;=[1]RESULTADOS!$D$6,"YTD","YTG")</f>
        <v>YTD</v>
      </c>
      <c r="E496" t="s">
        <v>31</v>
      </c>
      <c r="F496" t="s">
        <v>18</v>
      </c>
      <c r="G496" t="s">
        <v>57</v>
      </c>
      <c r="H496" t="s">
        <v>209</v>
      </c>
      <c r="I496" t="s">
        <v>72</v>
      </c>
      <c r="J496" t="str">
        <f>IFERROR(VLOOKUP(I496,[1]AUTOS!$C:$G,2,0),"")</f>
        <v>VENTO</v>
      </c>
      <c r="K496">
        <f>IFERROR(VLOOKUP(I496,[1]AUTOS!$C:$G,3,0),"")</f>
        <v>2020</v>
      </c>
      <c r="L496" t="str">
        <f>IFERROR(VLOOKUP(I496,[1]AUTOS!$C:$G,4,0),"")</f>
        <v>GRIS</v>
      </c>
      <c r="M496" t="s">
        <v>43</v>
      </c>
      <c r="P496" s="3">
        <v>-700</v>
      </c>
    </row>
    <row r="497" spans="1:16" hidden="1" x14ac:dyDescent="0.3">
      <c r="A497">
        <v>27</v>
      </c>
      <c r="B497" t="str">
        <f>VLOOKUP($A497,[1]LISTA!$B:$C,2,0)</f>
        <v>JULIO</v>
      </c>
      <c r="C497" s="1">
        <v>2025</v>
      </c>
      <c r="D497" s="1" t="str">
        <f>IF($A497&lt;=[1]RESULTADOS!$D$6,"YTD","YTG")</f>
        <v>YTD</v>
      </c>
      <c r="E497" t="s">
        <v>17</v>
      </c>
      <c r="F497" t="s">
        <v>18</v>
      </c>
      <c r="G497" t="s">
        <v>327</v>
      </c>
      <c r="H497" t="s">
        <v>328</v>
      </c>
      <c r="I497" t="s">
        <v>21</v>
      </c>
      <c r="J497" t="str">
        <f>IFERROR(VLOOKUP(I497,[1]AUTOS!$C:$G,2,0),"")</f>
        <v/>
      </c>
      <c r="K497" t="str">
        <f>IFERROR(VLOOKUP(I497,[1]AUTOS!$C:$G,3,0),"")</f>
        <v/>
      </c>
      <c r="L497" t="str">
        <f>IFERROR(VLOOKUP(I497,[1]AUTOS!$C:$G,4,0),"")</f>
        <v/>
      </c>
      <c r="M497" t="s">
        <v>22</v>
      </c>
      <c r="P497" s="3">
        <v>-60</v>
      </c>
    </row>
    <row r="498" spans="1:16" hidden="1" x14ac:dyDescent="0.3">
      <c r="A498">
        <v>27</v>
      </c>
      <c r="B498" t="str">
        <f>VLOOKUP($A498,[1]LISTA!$B:$C,2,0)</f>
        <v>JULIO</v>
      </c>
      <c r="C498" s="1">
        <v>2025</v>
      </c>
      <c r="D498" s="1" t="str">
        <f>IF($A498&lt;=[1]RESULTADOS!$D$6,"YTD","YTG")</f>
        <v>YTD</v>
      </c>
      <c r="E498" t="s">
        <v>17</v>
      </c>
      <c r="F498" t="s">
        <v>18</v>
      </c>
      <c r="G498" t="s">
        <v>27</v>
      </c>
      <c r="H498" t="s">
        <v>329</v>
      </c>
      <c r="I498" t="s">
        <v>21</v>
      </c>
      <c r="J498" t="str">
        <f>IFERROR(VLOOKUP(I498,[1]AUTOS!$C:$G,2,0),"")</f>
        <v/>
      </c>
      <c r="K498" t="str">
        <f>IFERROR(VLOOKUP(I498,[1]AUTOS!$C:$G,3,0),"")</f>
        <v/>
      </c>
      <c r="L498" t="str">
        <f>IFERROR(VLOOKUP(I498,[1]AUTOS!$C:$G,4,0),"")</f>
        <v/>
      </c>
      <c r="M498" t="s">
        <v>22</v>
      </c>
      <c r="P498" s="3">
        <v>-100</v>
      </c>
    </row>
    <row r="499" spans="1:16" hidden="1" x14ac:dyDescent="0.3">
      <c r="A499">
        <v>27</v>
      </c>
      <c r="B499" t="str">
        <f>VLOOKUP($A499,[1]LISTA!$B:$C,2,0)</f>
        <v>JULIO</v>
      </c>
      <c r="C499" s="1">
        <v>2025</v>
      </c>
      <c r="D499" s="1" t="str">
        <f>IF($A499&lt;=[1]RESULTADOS!$D$6,"YTD","YTG")</f>
        <v>YTD</v>
      </c>
      <c r="E499" t="s">
        <v>17</v>
      </c>
      <c r="F499" t="s">
        <v>18</v>
      </c>
      <c r="G499" t="s">
        <v>147</v>
      </c>
      <c r="H499" t="s">
        <v>330</v>
      </c>
      <c r="I499" t="s">
        <v>21</v>
      </c>
      <c r="J499" t="str">
        <f>IFERROR(VLOOKUP(I499,[1]AUTOS!$C:$G,2,0),"")</f>
        <v/>
      </c>
      <c r="K499" t="str">
        <f>IFERROR(VLOOKUP(I499,[1]AUTOS!$C:$G,3,0),"")</f>
        <v/>
      </c>
      <c r="L499" t="str">
        <f>IFERROR(VLOOKUP(I499,[1]AUTOS!$C:$G,4,0),"")</f>
        <v/>
      </c>
      <c r="M499" t="s">
        <v>22</v>
      </c>
      <c r="P499" s="3">
        <v>-120</v>
      </c>
    </row>
    <row r="500" spans="1:16" hidden="1" x14ac:dyDescent="0.3">
      <c r="A500">
        <v>27</v>
      </c>
      <c r="B500" t="str">
        <f>VLOOKUP($A500,[1]LISTA!$B:$C,2,0)</f>
        <v>JULIO</v>
      </c>
      <c r="C500" s="1">
        <v>2025</v>
      </c>
      <c r="D500" s="1" t="str">
        <f>IF($A500&lt;=[1]RESULTADOS!$D$6,"YTD","YTG")</f>
        <v>YTD</v>
      </c>
      <c r="E500" t="s">
        <v>17</v>
      </c>
      <c r="F500" t="s">
        <v>18</v>
      </c>
      <c r="G500" t="s">
        <v>29</v>
      </c>
      <c r="H500" t="s">
        <v>331</v>
      </c>
      <c r="I500" t="s">
        <v>21</v>
      </c>
      <c r="J500" t="str">
        <f>IFERROR(VLOOKUP(I500,[1]AUTOS!$C:$G,2,0),"")</f>
        <v/>
      </c>
      <c r="K500" t="str">
        <f>IFERROR(VLOOKUP(I500,[1]AUTOS!$C:$G,3,0),"")</f>
        <v/>
      </c>
      <c r="L500" t="str">
        <f>IFERROR(VLOOKUP(I500,[1]AUTOS!$C:$G,4,0),"")</f>
        <v/>
      </c>
      <c r="M500" t="s">
        <v>22</v>
      </c>
      <c r="P500" s="3">
        <v>-1500</v>
      </c>
    </row>
    <row r="501" spans="1:16" hidden="1" x14ac:dyDescent="0.3">
      <c r="A501">
        <v>28</v>
      </c>
      <c r="B501" t="str">
        <f>VLOOKUP($A501,[1]LISTA!$B:$C,2,0)</f>
        <v>JULIO</v>
      </c>
      <c r="C501" s="1">
        <v>2025</v>
      </c>
      <c r="D501" s="1" t="str">
        <f>IF($A501&lt;=[1]RESULTADOS!$D$6,"YTD","YTG")</f>
        <v>YTD</v>
      </c>
      <c r="E501" t="s">
        <v>17</v>
      </c>
      <c r="F501" t="s">
        <v>18</v>
      </c>
      <c r="G501" t="s">
        <v>29</v>
      </c>
      <c r="H501" t="s">
        <v>331</v>
      </c>
      <c r="I501" t="s">
        <v>21</v>
      </c>
      <c r="J501" t="str">
        <f>IFERROR(VLOOKUP(I501,[1]AUTOS!$C:$G,2,0),"")</f>
        <v/>
      </c>
      <c r="K501" t="str">
        <f>IFERROR(VLOOKUP(I501,[1]AUTOS!$C:$G,3,0),"")</f>
        <v/>
      </c>
      <c r="L501" t="str">
        <f>IFERROR(VLOOKUP(I501,[1]AUTOS!$C:$G,4,0),"")</f>
        <v/>
      </c>
      <c r="M501" t="s">
        <v>22</v>
      </c>
      <c r="P501" s="3">
        <v>-1500</v>
      </c>
    </row>
    <row r="502" spans="1:16" hidden="1" x14ac:dyDescent="0.3">
      <c r="A502">
        <v>28</v>
      </c>
      <c r="B502" t="str">
        <f>VLOOKUP($A502,[1]LISTA!$B:$C,2,0)</f>
        <v>JULIO</v>
      </c>
      <c r="C502" s="1">
        <v>2025</v>
      </c>
      <c r="D502" s="1" t="str">
        <f>IF($A502&lt;=[1]RESULTADOS!$D$6,"YTD","YTG")</f>
        <v>YTD</v>
      </c>
      <c r="E502" t="s">
        <v>31</v>
      </c>
      <c r="F502" t="s">
        <v>18</v>
      </c>
      <c r="G502" t="s">
        <v>57</v>
      </c>
      <c r="H502" t="s">
        <v>332</v>
      </c>
      <c r="I502" t="s">
        <v>46</v>
      </c>
      <c r="J502" t="str">
        <f>IFERROR(VLOOKUP(I502,[1]AUTOS!$C:$G,2,0),"")</f>
        <v>MARCH</v>
      </c>
      <c r="K502">
        <f>IFERROR(VLOOKUP(I502,[1]AUTOS!$C:$G,3,0),"")</f>
        <v>2020</v>
      </c>
      <c r="L502" t="str">
        <f>IFERROR(VLOOKUP(I502,[1]AUTOS!$C:$G,4,0),"")</f>
        <v>TURQ</v>
      </c>
      <c r="M502" t="s">
        <v>43</v>
      </c>
      <c r="P502" s="3">
        <v>-60</v>
      </c>
    </row>
    <row r="503" spans="1:16" hidden="1" x14ac:dyDescent="0.3">
      <c r="A503">
        <v>28</v>
      </c>
      <c r="B503" t="str">
        <f>VLOOKUP($A503,[1]LISTA!$B:$C,2,0)</f>
        <v>JULIO</v>
      </c>
      <c r="C503" s="1">
        <v>2025</v>
      </c>
      <c r="D503" s="1" t="str">
        <f>IF($A503&lt;=[1]RESULTADOS!$D$6,"YTD","YTG")</f>
        <v>YTD</v>
      </c>
      <c r="E503" t="s">
        <v>31</v>
      </c>
      <c r="F503" t="s">
        <v>18</v>
      </c>
      <c r="G503" t="s">
        <v>137</v>
      </c>
      <c r="H503" t="s">
        <v>138</v>
      </c>
      <c r="I503" t="s">
        <v>333</v>
      </c>
      <c r="J503" t="str">
        <f>IFERROR(VLOOKUP(I503,[1]AUTOS!$C:$G,2,0),"")</f>
        <v>BEAT</v>
      </c>
      <c r="K503">
        <f>IFERROR(VLOOKUP(I503,[1]AUTOS!$C:$G,3,0),"")</f>
        <v>2019</v>
      </c>
      <c r="L503" t="str">
        <f>IFERROR(VLOOKUP(I503,[1]AUTOS!$C:$G,4,0),"")</f>
        <v>OCRE</v>
      </c>
      <c r="M503" t="s">
        <v>43</v>
      </c>
      <c r="P503" s="3">
        <v>-1150</v>
      </c>
    </row>
    <row r="504" spans="1:16" hidden="1" x14ac:dyDescent="0.3">
      <c r="A504">
        <v>28</v>
      </c>
      <c r="B504" t="str">
        <f>VLOOKUP($A504,[1]LISTA!$B:$C,2,0)</f>
        <v>JULIO</v>
      </c>
      <c r="C504" s="1">
        <v>2025</v>
      </c>
      <c r="D504" s="1" t="str">
        <f>IF($A504&lt;=[1]RESULTADOS!$D$6,"YTD","YTG")</f>
        <v>YTD</v>
      </c>
      <c r="E504" t="s">
        <v>31</v>
      </c>
      <c r="F504" t="s">
        <v>18</v>
      </c>
      <c r="G504" t="s">
        <v>137</v>
      </c>
      <c r="H504" t="s">
        <v>138</v>
      </c>
      <c r="I504" t="s">
        <v>46</v>
      </c>
      <c r="J504" t="str">
        <f>IFERROR(VLOOKUP(I504,[1]AUTOS!$C:$G,2,0),"")</f>
        <v>MARCH</v>
      </c>
      <c r="K504">
        <f>IFERROR(VLOOKUP(I504,[1]AUTOS!$C:$G,3,0),"")</f>
        <v>2020</v>
      </c>
      <c r="L504" t="str">
        <f>IFERROR(VLOOKUP(I504,[1]AUTOS!$C:$G,4,0),"")</f>
        <v>TURQ</v>
      </c>
      <c r="M504" t="s">
        <v>43</v>
      </c>
      <c r="P504" s="3">
        <v>-1150</v>
      </c>
    </row>
    <row r="505" spans="1:16" hidden="1" x14ac:dyDescent="0.3">
      <c r="A505">
        <v>27</v>
      </c>
      <c r="B505" t="str">
        <f>VLOOKUP($A505,[1]LISTA!$B:$C,2,0)</f>
        <v>JULIO</v>
      </c>
      <c r="C505" s="1">
        <v>2025</v>
      </c>
      <c r="D505" s="1" t="str">
        <f>IF($A505&lt;=[1]RESULTADOS!$D$6,"YTD","YTG")</f>
        <v>YTD</v>
      </c>
      <c r="E505" t="s">
        <v>31</v>
      </c>
      <c r="F505" t="s">
        <v>18</v>
      </c>
      <c r="G505" t="s">
        <v>92</v>
      </c>
      <c r="H505" t="s">
        <v>294</v>
      </c>
      <c r="I505" t="s">
        <v>46</v>
      </c>
      <c r="J505" t="str">
        <f>IFERROR(VLOOKUP(I505,[1]AUTOS!$C:$G,2,0),"")</f>
        <v>MARCH</v>
      </c>
      <c r="K505">
        <f>IFERROR(VLOOKUP(I505,[1]AUTOS!$C:$G,3,0),"")</f>
        <v>2020</v>
      </c>
      <c r="L505" t="str">
        <f>IFERROR(VLOOKUP(I505,[1]AUTOS!$C:$G,4,0),"")</f>
        <v>TURQ</v>
      </c>
      <c r="M505" t="s">
        <v>43</v>
      </c>
      <c r="P505" s="3">
        <v>-611</v>
      </c>
    </row>
    <row r="506" spans="1:16" hidden="1" x14ac:dyDescent="0.3">
      <c r="A506">
        <v>28</v>
      </c>
      <c r="B506" t="str">
        <f>VLOOKUP($A506,[1]LISTA!$B:$C,2,0)</f>
        <v>JULIO</v>
      </c>
      <c r="C506" s="1">
        <v>2025</v>
      </c>
      <c r="D506" s="1" t="str">
        <f>IF($A506&lt;=[1]RESULTADOS!$D$6,"YTD","YTG")</f>
        <v>YTD</v>
      </c>
      <c r="E506" t="s">
        <v>31</v>
      </c>
      <c r="F506" t="s">
        <v>18</v>
      </c>
      <c r="G506" t="s">
        <v>57</v>
      </c>
      <c r="H506" t="s">
        <v>334</v>
      </c>
      <c r="I506" t="s">
        <v>46</v>
      </c>
      <c r="J506" t="str">
        <f>IFERROR(VLOOKUP(I506,[1]AUTOS!$C:$G,2,0),"")</f>
        <v>MARCH</v>
      </c>
      <c r="K506">
        <f>IFERROR(VLOOKUP(I506,[1]AUTOS!$C:$G,3,0),"")</f>
        <v>2020</v>
      </c>
      <c r="L506" t="str">
        <f>IFERROR(VLOOKUP(I506,[1]AUTOS!$C:$G,4,0),"")</f>
        <v>TURQ</v>
      </c>
      <c r="M506" t="s">
        <v>43</v>
      </c>
      <c r="P506" s="3">
        <v>-300</v>
      </c>
    </row>
    <row r="507" spans="1:16" hidden="1" x14ac:dyDescent="0.3">
      <c r="A507">
        <v>28</v>
      </c>
      <c r="B507" t="str">
        <f>VLOOKUP($A507,[1]LISTA!$B:$C,2,0)</f>
        <v>JULIO</v>
      </c>
      <c r="C507" s="1">
        <v>2025</v>
      </c>
      <c r="D507" s="1" t="str">
        <f>IF($A507&lt;=[1]RESULTADOS!$D$6,"YTD","YTG")</f>
        <v>YTD</v>
      </c>
      <c r="E507" t="s">
        <v>31</v>
      </c>
      <c r="F507" t="s">
        <v>18</v>
      </c>
      <c r="G507" t="s">
        <v>87</v>
      </c>
      <c r="H507" t="s">
        <v>335</v>
      </c>
      <c r="I507" t="s">
        <v>46</v>
      </c>
      <c r="J507" t="str">
        <f>IFERROR(VLOOKUP(I507,[1]AUTOS!$C:$G,2,0),"")</f>
        <v>MARCH</v>
      </c>
      <c r="K507">
        <f>IFERROR(VLOOKUP(I507,[1]AUTOS!$C:$G,3,0),"")</f>
        <v>2020</v>
      </c>
      <c r="L507" t="str">
        <f>IFERROR(VLOOKUP(I507,[1]AUTOS!$C:$G,4,0),"")</f>
        <v>TURQ</v>
      </c>
      <c r="M507" t="s">
        <v>43</v>
      </c>
      <c r="P507" s="3">
        <v>-170</v>
      </c>
    </row>
    <row r="508" spans="1:16" hidden="1" x14ac:dyDescent="0.3">
      <c r="A508">
        <v>29</v>
      </c>
      <c r="B508" t="str">
        <f>VLOOKUP($A508,[1]LISTA!$B:$C,2,0)</f>
        <v>JULIO</v>
      </c>
      <c r="C508" s="1">
        <v>2025</v>
      </c>
      <c r="D508" s="1" t="str">
        <f>IF($A508&lt;=[1]RESULTADOS!$D$6,"YTD","YTG")</f>
        <v>YTD</v>
      </c>
      <c r="E508" t="s">
        <v>17</v>
      </c>
      <c r="F508" t="s">
        <v>18</v>
      </c>
      <c r="G508" t="s">
        <v>176</v>
      </c>
      <c r="H508" t="s">
        <v>288</v>
      </c>
      <c r="I508" t="s">
        <v>102</v>
      </c>
      <c r="J508" t="str">
        <f>IFERROR(VLOOKUP(I508,[1]AUTOS!$C:$G,2,0),"")</f>
        <v>AVEO</v>
      </c>
      <c r="K508">
        <f>IFERROR(VLOOKUP(I508,[1]AUTOS!$C:$G,3,0),"")</f>
        <v>2022</v>
      </c>
      <c r="L508" t="str">
        <f>IFERROR(VLOOKUP(I508,[1]AUTOS!$C:$G,4,0),"")</f>
        <v>AZUL</v>
      </c>
      <c r="M508" t="s">
        <v>22</v>
      </c>
      <c r="P508" s="3">
        <v>-144</v>
      </c>
    </row>
    <row r="509" spans="1:16" hidden="1" x14ac:dyDescent="0.3">
      <c r="A509">
        <v>29</v>
      </c>
      <c r="B509" t="str">
        <f>VLOOKUP($A509,[1]LISTA!$B:$C,2,0)</f>
        <v>JULIO</v>
      </c>
      <c r="C509" s="1">
        <v>2025</v>
      </c>
      <c r="D509" s="1" t="str">
        <f>IF($A509&lt;=[1]RESULTADOS!$D$6,"YTD","YTG")</f>
        <v>YTD</v>
      </c>
      <c r="E509" t="s">
        <v>31</v>
      </c>
      <c r="F509" t="s">
        <v>18</v>
      </c>
      <c r="G509" t="s">
        <v>176</v>
      </c>
      <c r="H509" t="s">
        <v>288</v>
      </c>
      <c r="I509" t="s">
        <v>51</v>
      </c>
      <c r="J509" t="str">
        <f>IFERROR(VLOOKUP(I509,[1]AUTOS!$C:$G,2,0),"")</f>
        <v>VENTO</v>
      </c>
      <c r="K509">
        <f>IFERROR(VLOOKUP(I509,[1]AUTOS!$C:$G,3,0),"")</f>
        <v>2017</v>
      </c>
      <c r="L509" t="str">
        <f>IFERROR(VLOOKUP(I509,[1]AUTOS!$C:$G,4,0),"")</f>
        <v>GRIS</v>
      </c>
      <c r="M509" t="s">
        <v>22</v>
      </c>
      <c r="P509" s="3">
        <v>-144</v>
      </c>
    </row>
    <row r="510" spans="1:16" x14ac:dyDescent="0.3">
      <c r="A510">
        <v>28</v>
      </c>
      <c r="B510" t="str">
        <f>VLOOKUP($A510,[1]LISTA!$B:$C,2,0)</f>
        <v>JULIO</v>
      </c>
      <c r="C510" s="1">
        <v>2025</v>
      </c>
      <c r="D510" s="1" t="str">
        <f>IF($A510&lt;=[1]RESULTADOS!$D$6,"YTD","YTG")</f>
        <v>YTD</v>
      </c>
      <c r="E510" t="s">
        <v>31</v>
      </c>
      <c r="F510" t="s">
        <v>18</v>
      </c>
      <c r="G510" t="s">
        <v>57</v>
      </c>
      <c r="H510" t="s">
        <v>336</v>
      </c>
      <c r="I510" t="s">
        <v>72</v>
      </c>
      <c r="J510" t="str">
        <f>IFERROR(VLOOKUP(I510,[1]AUTOS!$C:$G,2,0),"")</f>
        <v>VENTO</v>
      </c>
      <c r="K510">
        <f>IFERROR(VLOOKUP(I510,[1]AUTOS!$C:$G,3,0),"")</f>
        <v>2020</v>
      </c>
      <c r="L510" t="str">
        <f>IFERROR(VLOOKUP(I510,[1]AUTOS!$C:$G,4,0),"")</f>
        <v>GRIS</v>
      </c>
      <c r="M510" t="s">
        <v>43</v>
      </c>
      <c r="P510" s="3">
        <v>-150</v>
      </c>
    </row>
    <row r="511" spans="1:16" hidden="1" x14ac:dyDescent="0.3">
      <c r="A511">
        <v>28</v>
      </c>
      <c r="B511" t="str">
        <f>VLOOKUP($A511,[1]LISTA!$B:$C,2,0)</f>
        <v>JULIO</v>
      </c>
      <c r="C511" s="1">
        <v>2025</v>
      </c>
      <c r="D511" s="1" t="str">
        <f>IF($A511&lt;=[1]RESULTADOS!$D$6,"YTD","YTG")</f>
        <v>YTD</v>
      </c>
      <c r="E511" t="s">
        <v>31</v>
      </c>
      <c r="F511" t="s">
        <v>18</v>
      </c>
      <c r="G511" t="s">
        <v>57</v>
      </c>
      <c r="H511" t="s">
        <v>337</v>
      </c>
      <c r="I511" t="s">
        <v>46</v>
      </c>
      <c r="J511" t="str">
        <f>IFERROR(VLOOKUP(I511,[1]AUTOS!$C:$G,2,0),"")</f>
        <v>MARCH</v>
      </c>
      <c r="K511">
        <f>IFERROR(VLOOKUP(I511,[1]AUTOS!$C:$G,3,0),"")</f>
        <v>2020</v>
      </c>
      <c r="L511" t="str">
        <f>IFERROR(VLOOKUP(I511,[1]AUTOS!$C:$G,4,0),"")</f>
        <v>TURQ</v>
      </c>
      <c r="M511" t="s">
        <v>43</v>
      </c>
      <c r="P511" s="3">
        <v>-350</v>
      </c>
    </row>
    <row r="512" spans="1:16" hidden="1" x14ac:dyDescent="0.3">
      <c r="A512">
        <v>26</v>
      </c>
      <c r="B512" t="str">
        <f>VLOOKUP($A512,[1]LISTA!$B:$C,2,0)</f>
        <v>JUNIO</v>
      </c>
      <c r="C512" s="1">
        <v>2025</v>
      </c>
      <c r="D512" s="1" t="str">
        <f>IF($A512&lt;=[1]RESULTADOS!$D$6,"YTD","YTG")</f>
        <v>YTD</v>
      </c>
      <c r="E512" t="s">
        <v>31</v>
      </c>
      <c r="F512" t="s">
        <v>18</v>
      </c>
      <c r="G512" t="s">
        <v>53</v>
      </c>
      <c r="H512" t="s">
        <v>338</v>
      </c>
      <c r="I512" t="s">
        <v>73</v>
      </c>
      <c r="J512" t="str">
        <f>IFERROR(VLOOKUP(I512,[1]AUTOS!$C:$G,2,0),"")</f>
        <v>VERSA</v>
      </c>
      <c r="K512">
        <f>IFERROR(VLOOKUP(I512,[1]AUTOS!$C:$G,3,0),"")</f>
        <v>2023</v>
      </c>
      <c r="L512" t="str">
        <f>IFERROR(VLOOKUP(I512,[1]AUTOS!$C:$G,4,0),"")</f>
        <v>PLATA</v>
      </c>
      <c r="M512" t="s">
        <v>43</v>
      </c>
      <c r="P512" s="3">
        <v>-200</v>
      </c>
    </row>
    <row r="513" spans="1:16" hidden="1" x14ac:dyDescent="0.3">
      <c r="A513">
        <v>27</v>
      </c>
      <c r="B513" t="str">
        <f>VLOOKUP($A513,[1]LISTA!$B:$C,2,0)</f>
        <v>JULIO</v>
      </c>
      <c r="C513" s="1">
        <v>2025</v>
      </c>
      <c r="D513" s="1" t="str">
        <f>IF($A513&lt;=[1]RESULTADOS!$D$6,"YTD","YTG")</f>
        <v>YTD</v>
      </c>
      <c r="E513" t="s">
        <v>31</v>
      </c>
      <c r="F513" t="s">
        <v>18</v>
      </c>
      <c r="G513" t="s">
        <v>339</v>
      </c>
      <c r="H513" t="s">
        <v>340</v>
      </c>
      <c r="I513" t="s">
        <v>185</v>
      </c>
      <c r="J513" t="str">
        <f>IFERROR(VLOOKUP(I513,[1]AUTOS!$C:$G,2,0),"")</f>
        <v>MARCH</v>
      </c>
      <c r="K513">
        <f>IFERROR(VLOOKUP(I513,[1]AUTOS!$C:$G,3,0),"")</f>
        <v>2021</v>
      </c>
      <c r="L513" t="str">
        <f>IFERROR(VLOOKUP(I513,[1]AUTOS!$C:$G,4,0),"")</f>
        <v>ROJO</v>
      </c>
      <c r="M513" t="s">
        <v>43</v>
      </c>
      <c r="P513" s="3">
        <v>-130</v>
      </c>
    </row>
    <row r="514" spans="1:16" hidden="1" x14ac:dyDescent="0.3">
      <c r="A514">
        <v>27</v>
      </c>
      <c r="B514" t="str">
        <f>VLOOKUP($A514,[1]LISTA!$B:$C,2,0)</f>
        <v>JULIO</v>
      </c>
      <c r="C514" s="1">
        <v>2025</v>
      </c>
      <c r="D514" s="1" t="str">
        <f>IF($A514&lt;=[1]RESULTADOS!$D$6,"YTD","YTG")</f>
        <v>YTD</v>
      </c>
      <c r="E514" t="s">
        <v>31</v>
      </c>
      <c r="F514" t="s">
        <v>18</v>
      </c>
      <c r="G514" t="s">
        <v>115</v>
      </c>
      <c r="H514" t="s">
        <v>115</v>
      </c>
      <c r="I514" t="s">
        <v>333</v>
      </c>
      <c r="J514" t="str">
        <f>IFERROR(VLOOKUP(I514,[1]AUTOS!$C:$G,2,0),"")</f>
        <v>BEAT</v>
      </c>
      <c r="K514">
        <f>IFERROR(VLOOKUP(I514,[1]AUTOS!$C:$G,3,0),"")</f>
        <v>2019</v>
      </c>
      <c r="L514" t="str">
        <f>IFERROR(VLOOKUP(I514,[1]AUTOS!$C:$G,4,0),"")</f>
        <v>OCRE</v>
      </c>
      <c r="M514" t="s">
        <v>43</v>
      </c>
      <c r="P514" s="3">
        <v>-3236</v>
      </c>
    </row>
    <row r="515" spans="1:16" hidden="1" x14ac:dyDescent="0.3">
      <c r="A515">
        <v>27</v>
      </c>
      <c r="B515" t="str">
        <f>VLOOKUP($A515,[1]LISTA!$B:$C,2,0)</f>
        <v>JULIO</v>
      </c>
      <c r="C515" s="1">
        <v>2025</v>
      </c>
      <c r="D515" s="1" t="str">
        <f>IF($A515&lt;=[1]RESULTADOS!$D$6,"YTD","YTG")</f>
        <v>YTD</v>
      </c>
      <c r="E515" t="s">
        <v>31</v>
      </c>
      <c r="F515" t="s">
        <v>18</v>
      </c>
      <c r="G515" t="s">
        <v>115</v>
      </c>
      <c r="H515" t="s">
        <v>115</v>
      </c>
      <c r="I515" t="s">
        <v>46</v>
      </c>
      <c r="J515" t="str">
        <f>IFERROR(VLOOKUP(I515,[1]AUTOS!$C:$G,2,0),"")</f>
        <v>MARCH</v>
      </c>
      <c r="K515">
        <f>IFERROR(VLOOKUP(I515,[1]AUTOS!$C:$G,3,0),"")</f>
        <v>2020</v>
      </c>
      <c r="L515" t="str">
        <f>IFERROR(VLOOKUP(I515,[1]AUTOS!$C:$G,4,0),"")</f>
        <v>TURQ</v>
      </c>
      <c r="M515" t="s">
        <v>43</v>
      </c>
      <c r="P515" s="3">
        <v>-3169</v>
      </c>
    </row>
    <row r="516" spans="1:16" hidden="1" x14ac:dyDescent="0.3">
      <c r="A516">
        <v>27</v>
      </c>
      <c r="B516" t="str">
        <f>VLOOKUP($A516,[1]LISTA!$B:$C,2,0)</f>
        <v>JULIO</v>
      </c>
      <c r="C516" s="1">
        <v>2025</v>
      </c>
      <c r="D516" s="1" t="str">
        <f>IF($A516&lt;=[1]RESULTADOS!$D$6,"YTD","YTG")</f>
        <v>YTD</v>
      </c>
      <c r="E516" t="s">
        <v>31</v>
      </c>
      <c r="F516" t="s">
        <v>18</v>
      </c>
      <c r="G516" t="s">
        <v>115</v>
      </c>
      <c r="H516" t="s">
        <v>218</v>
      </c>
      <c r="I516" t="s">
        <v>333</v>
      </c>
      <c r="J516" t="str">
        <f>IFERROR(VLOOKUP(I516,[1]AUTOS!$C:$G,2,0),"")</f>
        <v>BEAT</v>
      </c>
      <c r="K516">
        <f>IFERROR(VLOOKUP(I516,[1]AUTOS!$C:$G,3,0),"")</f>
        <v>2019</v>
      </c>
      <c r="L516" t="str">
        <f>IFERROR(VLOOKUP(I516,[1]AUTOS!$C:$G,4,0),"")</f>
        <v>OCRE</v>
      </c>
      <c r="M516" t="s">
        <v>43</v>
      </c>
      <c r="P516" s="3">
        <v>-1300</v>
      </c>
    </row>
    <row r="517" spans="1:16" hidden="1" x14ac:dyDescent="0.3">
      <c r="A517">
        <v>27</v>
      </c>
      <c r="B517" t="str">
        <f>VLOOKUP($A517,[1]LISTA!$B:$C,2,0)</f>
        <v>JULIO</v>
      </c>
      <c r="C517" s="1">
        <v>2025</v>
      </c>
      <c r="D517" s="1" t="str">
        <f>IF($A517&lt;=[1]RESULTADOS!$D$6,"YTD","YTG")</f>
        <v>YTD</v>
      </c>
      <c r="E517" t="s">
        <v>31</v>
      </c>
      <c r="F517" t="s">
        <v>18</v>
      </c>
      <c r="G517" t="s">
        <v>115</v>
      </c>
      <c r="H517" t="s">
        <v>218</v>
      </c>
      <c r="I517" t="s">
        <v>46</v>
      </c>
      <c r="J517" t="str">
        <f>IFERROR(VLOOKUP(I517,[1]AUTOS!$C:$G,2,0),"")</f>
        <v>MARCH</v>
      </c>
      <c r="K517">
        <f>IFERROR(VLOOKUP(I517,[1]AUTOS!$C:$G,3,0),"")</f>
        <v>2020</v>
      </c>
      <c r="L517" t="str">
        <f>IFERROR(VLOOKUP(I517,[1]AUTOS!$C:$G,4,0),"")</f>
        <v>TURQ</v>
      </c>
      <c r="M517" t="s">
        <v>43</v>
      </c>
      <c r="P517" s="3">
        <v>-1300</v>
      </c>
    </row>
    <row r="518" spans="1:16" hidden="1" x14ac:dyDescent="0.3">
      <c r="A518">
        <v>27</v>
      </c>
      <c r="B518" t="str">
        <f>VLOOKUP($A518,[1]LISTA!$B:$C,2,0)</f>
        <v>JULIO</v>
      </c>
      <c r="C518" s="1">
        <v>2025</v>
      </c>
      <c r="D518" s="1" t="str">
        <f>IF($A518&lt;=[1]RESULTADOS!$D$6,"YTD","YTG")</f>
        <v>YTD</v>
      </c>
      <c r="E518" t="s">
        <v>31</v>
      </c>
      <c r="F518" t="s">
        <v>18</v>
      </c>
      <c r="G518" t="s">
        <v>32</v>
      </c>
      <c r="H518" t="s">
        <v>341</v>
      </c>
      <c r="I518" t="s">
        <v>178</v>
      </c>
      <c r="J518" t="str">
        <f>IFERROR(VLOOKUP(I518,[1]AUTOS!$C:$G,2,0),"")</f>
        <v>VERSA</v>
      </c>
      <c r="K518">
        <f>IFERROR(VLOOKUP(I518,[1]AUTOS!$C:$G,3,0),"")</f>
        <v>2020</v>
      </c>
      <c r="L518" t="str">
        <f>IFERROR(VLOOKUP(I518,[1]AUTOS!$C:$G,4,0),"")</f>
        <v>BLANCO</v>
      </c>
      <c r="M518" t="s">
        <v>43</v>
      </c>
      <c r="P518" s="3">
        <v>-200</v>
      </c>
    </row>
    <row r="519" spans="1:16" hidden="1" x14ac:dyDescent="0.3">
      <c r="A519">
        <v>27</v>
      </c>
      <c r="B519" t="str">
        <f>VLOOKUP($A519,[1]LISTA!$B:$C,2,0)</f>
        <v>JULIO</v>
      </c>
      <c r="C519" s="1">
        <v>2025</v>
      </c>
      <c r="D519" s="1" t="str">
        <f>IF($A519&lt;=[1]RESULTADOS!$D$6,"YTD","YTG")</f>
        <v>YTD</v>
      </c>
      <c r="E519" t="s">
        <v>31</v>
      </c>
      <c r="F519" t="s">
        <v>18</v>
      </c>
      <c r="G519" t="s">
        <v>64</v>
      </c>
      <c r="H519" t="s">
        <v>342</v>
      </c>
      <c r="I519" t="s">
        <v>178</v>
      </c>
      <c r="J519" t="str">
        <f>IFERROR(VLOOKUP(I519,[1]AUTOS!$C:$G,2,0),"")</f>
        <v>VERSA</v>
      </c>
      <c r="K519">
        <f>IFERROR(VLOOKUP(I519,[1]AUTOS!$C:$G,3,0),"")</f>
        <v>2020</v>
      </c>
      <c r="L519" t="str">
        <f>IFERROR(VLOOKUP(I519,[1]AUTOS!$C:$G,4,0),"")</f>
        <v>BLANCO</v>
      </c>
      <c r="M519" t="s">
        <v>43</v>
      </c>
      <c r="P519" s="3">
        <v>-500</v>
      </c>
    </row>
    <row r="520" spans="1:16" hidden="1" x14ac:dyDescent="0.3">
      <c r="A520">
        <v>27</v>
      </c>
      <c r="B520" t="str">
        <f>VLOOKUP($A520,[1]LISTA!$B:$C,2,0)</f>
        <v>JULIO</v>
      </c>
      <c r="C520" s="1">
        <v>2025</v>
      </c>
      <c r="D520" s="1" t="str">
        <f>IF($A520&lt;=[1]RESULTADOS!$D$6,"YTD","YTG")</f>
        <v>YTD</v>
      </c>
      <c r="E520" t="s">
        <v>17</v>
      </c>
      <c r="F520" t="s">
        <v>18</v>
      </c>
      <c r="G520" t="s">
        <v>77</v>
      </c>
      <c r="H520" t="s">
        <v>343</v>
      </c>
      <c r="I520" t="s">
        <v>21</v>
      </c>
      <c r="J520" t="str">
        <f>IFERROR(VLOOKUP(I520,[1]AUTOS!$C:$G,2,0),"")</f>
        <v/>
      </c>
      <c r="K520" t="str">
        <f>IFERROR(VLOOKUP(I520,[1]AUTOS!$C:$G,3,0),"")</f>
        <v/>
      </c>
      <c r="L520" t="str">
        <f>IFERROR(VLOOKUP(I520,[1]AUTOS!$C:$G,4,0),"")</f>
        <v/>
      </c>
      <c r="M520" t="s">
        <v>22</v>
      </c>
      <c r="P520" s="3">
        <v>-700</v>
      </c>
    </row>
    <row r="521" spans="1:16" x14ac:dyDescent="0.3">
      <c r="A521">
        <v>28</v>
      </c>
      <c r="B521" t="str">
        <f>VLOOKUP($A521,[1]LISTA!$B:$C,2,0)</f>
        <v>JULIO</v>
      </c>
      <c r="C521" s="1">
        <v>2025</v>
      </c>
      <c r="D521" s="1" t="str">
        <f>IF($A521&lt;=[1]RESULTADOS!$D$6,"YTD","YTG")</f>
        <v>YTD</v>
      </c>
      <c r="E521" t="s">
        <v>31</v>
      </c>
      <c r="F521" t="s">
        <v>18</v>
      </c>
      <c r="G521" t="s">
        <v>57</v>
      </c>
      <c r="H521" t="s">
        <v>344</v>
      </c>
      <c r="I521" t="s">
        <v>72</v>
      </c>
      <c r="J521" t="str">
        <f>IFERROR(VLOOKUP(I521,[1]AUTOS!$C:$G,2,0),"")</f>
        <v>VENTO</v>
      </c>
      <c r="K521">
        <f>IFERROR(VLOOKUP(I521,[1]AUTOS!$C:$G,3,0),"")</f>
        <v>2020</v>
      </c>
      <c r="L521" t="str">
        <f>IFERROR(VLOOKUP(I521,[1]AUTOS!$C:$G,4,0),"")</f>
        <v>GRIS</v>
      </c>
      <c r="M521" t="s">
        <v>43</v>
      </c>
      <c r="P521" s="3">
        <v>-1100</v>
      </c>
    </row>
    <row r="522" spans="1:16" hidden="1" x14ac:dyDescent="0.3">
      <c r="A522">
        <v>28</v>
      </c>
      <c r="B522" t="str">
        <f>VLOOKUP($A522,[1]LISTA!$B:$C,2,0)</f>
        <v>JULIO</v>
      </c>
      <c r="C522" s="1">
        <v>2025</v>
      </c>
      <c r="D522" s="1" t="str">
        <f>IF($A522&lt;=[1]RESULTADOS!$D$6,"YTD","YTG")</f>
        <v>YTD</v>
      </c>
      <c r="E522" t="s">
        <v>31</v>
      </c>
      <c r="F522" t="s">
        <v>18</v>
      </c>
      <c r="G522" t="s">
        <v>115</v>
      </c>
      <c r="H522" t="s">
        <v>345</v>
      </c>
      <c r="I522" t="s">
        <v>333</v>
      </c>
      <c r="J522" t="str">
        <f>IFERROR(VLOOKUP(I522,[1]AUTOS!$C:$G,2,0),"")</f>
        <v>BEAT</v>
      </c>
      <c r="K522">
        <f>IFERROR(VLOOKUP(I522,[1]AUTOS!$C:$G,3,0),"")</f>
        <v>2019</v>
      </c>
      <c r="L522" t="str">
        <f>IFERROR(VLOOKUP(I522,[1]AUTOS!$C:$G,4,0),"")</f>
        <v>OCRE</v>
      </c>
      <c r="M522" t="s">
        <v>43</v>
      </c>
      <c r="P522" s="3">
        <v>-15</v>
      </c>
    </row>
    <row r="523" spans="1:16" hidden="1" x14ac:dyDescent="0.3">
      <c r="A523">
        <v>28</v>
      </c>
      <c r="B523" t="str">
        <f>VLOOKUP($A523,[1]LISTA!$B:$C,2,0)</f>
        <v>JULIO</v>
      </c>
      <c r="C523" s="1">
        <v>2025</v>
      </c>
      <c r="D523" s="1" t="str">
        <f>IF($A523&lt;=[1]RESULTADOS!$D$6,"YTD","YTG")</f>
        <v>YTD</v>
      </c>
      <c r="E523" t="s">
        <v>31</v>
      </c>
      <c r="F523" t="s">
        <v>18</v>
      </c>
      <c r="G523" t="s">
        <v>115</v>
      </c>
      <c r="H523" t="s">
        <v>345</v>
      </c>
      <c r="I523" t="s">
        <v>46</v>
      </c>
      <c r="J523" t="str">
        <f>IFERROR(VLOOKUP(I523,[1]AUTOS!$C:$G,2,0),"")</f>
        <v>MARCH</v>
      </c>
      <c r="K523">
        <f>IFERROR(VLOOKUP(I523,[1]AUTOS!$C:$G,3,0),"")</f>
        <v>2020</v>
      </c>
      <c r="L523" t="str">
        <f>IFERROR(VLOOKUP(I523,[1]AUTOS!$C:$G,4,0),"")</f>
        <v>TURQ</v>
      </c>
      <c r="M523" t="s">
        <v>43</v>
      </c>
      <c r="P523" s="3">
        <v>-15</v>
      </c>
    </row>
    <row r="524" spans="1:16" hidden="1" x14ac:dyDescent="0.3">
      <c r="A524">
        <v>28</v>
      </c>
      <c r="B524" t="str">
        <f>VLOOKUP($A524,[1]LISTA!$B:$C,2,0)</f>
        <v>JULIO</v>
      </c>
      <c r="C524" s="1">
        <v>2025</v>
      </c>
      <c r="D524" s="1" t="str">
        <f>IF($A524&lt;=[1]RESULTADOS!$D$6,"YTD","YTG")</f>
        <v>YTD</v>
      </c>
      <c r="E524" t="s">
        <v>17</v>
      </c>
      <c r="F524" t="s">
        <v>18</v>
      </c>
      <c r="G524" t="s">
        <v>147</v>
      </c>
      <c r="H524" t="s">
        <v>346</v>
      </c>
      <c r="I524" t="s">
        <v>21</v>
      </c>
      <c r="J524" t="str">
        <f>IFERROR(VLOOKUP(I524,[1]AUTOS!$C:$G,2,0),"")</f>
        <v/>
      </c>
      <c r="K524" t="str">
        <f>IFERROR(VLOOKUP(I524,[1]AUTOS!$C:$G,3,0),"")</f>
        <v/>
      </c>
      <c r="L524" t="str">
        <f>IFERROR(VLOOKUP(I524,[1]AUTOS!$C:$G,4,0),"")</f>
        <v/>
      </c>
      <c r="M524" t="s">
        <v>22</v>
      </c>
      <c r="P524" s="3">
        <v>-170</v>
      </c>
    </row>
    <row r="525" spans="1:16" hidden="1" x14ac:dyDescent="0.3">
      <c r="A525">
        <v>29</v>
      </c>
      <c r="B525" t="str">
        <f>VLOOKUP($A525,[1]LISTA!$B:$C,2,0)</f>
        <v>JULIO</v>
      </c>
      <c r="C525" s="1">
        <v>2025</v>
      </c>
      <c r="D525" s="1" t="str">
        <f>IF($A525&lt;=[1]RESULTADOS!$D$6,"YTD","YTG")</f>
        <v>YTD</v>
      </c>
      <c r="E525" t="s">
        <v>31</v>
      </c>
      <c r="F525" t="s">
        <v>18</v>
      </c>
      <c r="G525" t="s">
        <v>57</v>
      </c>
      <c r="H525" t="s">
        <v>347</v>
      </c>
      <c r="I525" t="s">
        <v>34</v>
      </c>
      <c r="J525" t="str">
        <f>IFERROR(VLOOKUP(I525,[1]AUTOS!$C:$G,2,0),"")</f>
        <v>AVEO</v>
      </c>
      <c r="K525">
        <f>IFERROR(VLOOKUP(I525,[1]AUTOS!$C:$G,3,0),"")</f>
        <v>2018</v>
      </c>
      <c r="L525" t="str">
        <f>IFERROR(VLOOKUP(I525,[1]AUTOS!$C:$G,4,0),"")</f>
        <v>ROJO</v>
      </c>
      <c r="M525" t="s">
        <v>35</v>
      </c>
      <c r="P525" s="3">
        <v>-1500</v>
      </c>
    </row>
    <row r="526" spans="1:16" hidden="1" x14ac:dyDescent="0.3">
      <c r="A526">
        <v>28</v>
      </c>
      <c r="B526" t="str">
        <f>VLOOKUP($A526,[1]LISTA!$B:$C,2,0)</f>
        <v>JULIO</v>
      </c>
      <c r="C526" s="1">
        <v>2025</v>
      </c>
      <c r="D526" s="1" t="str">
        <f>IF($A526&lt;=[1]RESULTADOS!$D$6,"YTD","YTG")</f>
        <v>YTD</v>
      </c>
      <c r="E526" t="s">
        <v>31</v>
      </c>
      <c r="F526" t="s">
        <v>18</v>
      </c>
      <c r="G526" t="s">
        <v>57</v>
      </c>
      <c r="H526" t="s">
        <v>348</v>
      </c>
      <c r="I526" t="s">
        <v>37</v>
      </c>
      <c r="J526" t="str">
        <f>IFERROR(VLOOKUP(I526,[1]AUTOS!$C:$G,2,0),"")</f>
        <v>BEAT</v>
      </c>
      <c r="K526">
        <f>IFERROR(VLOOKUP(I526,[1]AUTOS!$C:$G,3,0),"")</f>
        <v>2020</v>
      </c>
      <c r="L526" t="str">
        <f>IFERROR(VLOOKUP(I526,[1]AUTOS!$C:$G,4,0),"")</f>
        <v>GRIS</v>
      </c>
      <c r="M526" t="s">
        <v>35</v>
      </c>
      <c r="P526" s="3">
        <v>-50</v>
      </c>
    </row>
    <row r="527" spans="1:16" hidden="1" x14ac:dyDescent="0.3">
      <c r="A527">
        <v>27</v>
      </c>
      <c r="B527" t="str">
        <f>VLOOKUP($A527,[1]LISTA!$B:$C,2,0)</f>
        <v>JULIO</v>
      </c>
      <c r="C527" s="1">
        <v>2025</v>
      </c>
      <c r="D527" s="1" t="str">
        <f>IF($A527&lt;=[1]RESULTADOS!$D$6,"YTD","YTG")</f>
        <v>YTD</v>
      </c>
      <c r="E527" t="s">
        <v>17</v>
      </c>
      <c r="F527" t="s">
        <v>18</v>
      </c>
      <c r="G527" t="s">
        <v>57</v>
      </c>
      <c r="H527" t="s">
        <v>349</v>
      </c>
      <c r="I527" t="s">
        <v>21</v>
      </c>
      <c r="J527" t="str">
        <f>IFERROR(VLOOKUP(I527,[1]AUTOS!$C:$G,2,0),"")</f>
        <v/>
      </c>
      <c r="K527" t="str">
        <f>IFERROR(VLOOKUP(I527,[1]AUTOS!$C:$G,3,0),"")</f>
        <v/>
      </c>
      <c r="L527" t="str">
        <f>IFERROR(VLOOKUP(I527,[1]AUTOS!$C:$G,4,0),"")</f>
        <v/>
      </c>
      <c r="M527" t="s">
        <v>22</v>
      </c>
      <c r="P527" s="3">
        <v>-640</v>
      </c>
    </row>
    <row r="528" spans="1:16" hidden="1" x14ac:dyDescent="0.3">
      <c r="A528">
        <v>27</v>
      </c>
      <c r="B528" t="str">
        <f>VLOOKUP($A528,[1]LISTA!$B:$C,2,0)</f>
        <v>JULIO</v>
      </c>
      <c r="C528" s="1">
        <v>2025</v>
      </c>
      <c r="D528" s="1" t="str">
        <f>IF($A528&lt;=[1]RESULTADOS!$D$6,"YTD","YTG")</f>
        <v>YTD</v>
      </c>
      <c r="E528" t="s">
        <v>31</v>
      </c>
      <c r="F528" t="s">
        <v>18</v>
      </c>
      <c r="G528" t="s">
        <v>53</v>
      </c>
      <c r="H528" t="s">
        <v>338</v>
      </c>
      <c r="I528" t="s">
        <v>112</v>
      </c>
      <c r="J528" t="str">
        <f>IFERROR(VLOOKUP(I528,[1]AUTOS!$C:$G,2,0),"")</f>
        <v>KIA RIO</v>
      </c>
      <c r="K528">
        <f>IFERROR(VLOOKUP(I528,[1]AUTOS!$C:$G,3,0),"")</f>
        <v>2020</v>
      </c>
      <c r="L528" t="str">
        <f>IFERROR(VLOOKUP(I528,[1]AUTOS!$C:$G,4,0),"")</f>
        <v>ROJO</v>
      </c>
      <c r="M528" t="s">
        <v>43</v>
      </c>
      <c r="P528" s="3">
        <v>-150</v>
      </c>
    </row>
    <row r="529" spans="1:16" hidden="1" x14ac:dyDescent="0.3">
      <c r="A529">
        <v>27</v>
      </c>
      <c r="B529" t="str">
        <f>VLOOKUP($A529,[1]LISTA!$B:$C,2,0)</f>
        <v>JULIO</v>
      </c>
      <c r="C529" s="1">
        <v>2025</v>
      </c>
      <c r="D529" s="1" t="str">
        <f>IF($A529&lt;=[1]RESULTADOS!$D$6,"YTD","YTG")</f>
        <v>YTD</v>
      </c>
      <c r="E529" t="s">
        <v>31</v>
      </c>
      <c r="F529" t="s">
        <v>18</v>
      </c>
      <c r="G529" t="s">
        <v>57</v>
      </c>
      <c r="H529" t="s">
        <v>350</v>
      </c>
      <c r="I529" t="s">
        <v>37</v>
      </c>
      <c r="J529" t="str">
        <f>IFERROR(VLOOKUP(I529,[1]AUTOS!$C:$G,2,0),"")</f>
        <v>BEAT</v>
      </c>
      <c r="K529">
        <f>IFERROR(VLOOKUP(I529,[1]AUTOS!$C:$G,3,0),"")</f>
        <v>2020</v>
      </c>
      <c r="L529" t="str">
        <f>IFERROR(VLOOKUP(I529,[1]AUTOS!$C:$G,4,0),"")</f>
        <v>GRIS</v>
      </c>
      <c r="M529" t="s">
        <v>35</v>
      </c>
      <c r="P529" s="3">
        <v>-1677</v>
      </c>
    </row>
    <row r="530" spans="1:16" hidden="1" x14ac:dyDescent="0.3">
      <c r="A530">
        <v>28</v>
      </c>
      <c r="B530" t="str">
        <f>VLOOKUP($A530,[1]LISTA!$B:$C,2,0)</f>
        <v>JULIO</v>
      </c>
      <c r="C530" s="1">
        <v>2025</v>
      </c>
      <c r="D530" s="1" t="str">
        <f>IF($A530&lt;=[1]RESULTADOS!$D$6,"YTD","YTG")</f>
        <v>YTD</v>
      </c>
      <c r="E530" t="s">
        <v>31</v>
      </c>
      <c r="F530" t="s">
        <v>18</v>
      </c>
      <c r="G530" t="s">
        <v>141</v>
      </c>
      <c r="H530" t="s">
        <v>351</v>
      </c>
      <c r="I530" t="s">
        <v>46</v>
      </c>
      <c r="J530" t="str">
        <f>IFERROR(VLOOKUP(I530,[1]AUTOS!$C:$G,2,0),"")</f>
        <v>MARCH</v>
      </c>
      <c r="K530">
        <f>IFERROR(VLOOKUP(I530,[1]AUTOS!$C:$G,3,0),"")</f>
        <v>2020</v>
      </c>
      <c r="L530" t="str">
        <f>IFERROR(VLOOKUP(I530,[1]AUTOS!$C:$G,4,0),"")</f>
        <v>TURQ</v>
      </c>
      <c r="M530" t="s">
        <v>43</v>
      </c>
      <c r="P530" s="3">
        <v>-3086</v>
      </c>
    </row>
    <row r="531" spans="1:16" hidden="1" x14ac:dyDescent="0.3">
      <c r="A531">
        <v>27</v>
      </c>
      <c r="B531" t="str">
        <f>VLOOKUP($A531,[1]LISTA!$B:$C,2,0)</f>
        <v>JULIO</v>
      </c>
      <c r="C531" s="1">
        <v>2025</v>
      </c>
      <c r="D531" s="1" t="str">
        <f>IF($A531&lt;=[1]RESULTADOS!$D$6,"YTD","YTG")</f>
        <v>YTD</v>
      </c>
      <c r="E531" t="s">
        <v>17</v>
      </c>
      <c r="F531" t="s">
        <v>18</v>
      </c>
      <c r="G531" t="s">
        <v>69</v>
      </c>
      <c r="H531" t="s">
        <v>352</v>
      </c>
      <c r="I531" t="s">
        <v>21</v>
      </c>
      <c r="J531" t="str">
        <f>IFERROR(VLOOKUP(I531,[1]AUTOS!$C:$G,2,0),"")</f>
        <v/>
      </c>
      <c r="K531" t="str">
        <f>IFERROR(VLOOKUP(I531,[1]AUTOS!$C:$G,3,0),"")</f>
        <v/>
      </c>
      <c r="L531" t="str">
        <f>IFERROR(VLOOKUP(I531,[1]AUTOS!$C:$G,4,0),"")</f>
        <v/>
      </c>
      <c r="M531" t="s">
        <v>22</v>
      </c>
      <c r="P531" s="3">
        <v>-500</v>
      </c>
    </row>
    <row r="532" spans="1:16" hidden="1" x14ac:dyDescent="0.3">
      <c r="A532">
        <v>27</v>
      </c>
      <c r="B532" t="str">
        <f>VLOOKUP($A532,[1]LISTA!$B:$C,2,0)</f>
        <v>JULIO</v>
      </c>
      <c r="C532" s="1">
        <v>2025</v>
      </c>
      <c r="D532" s="1" t="str">
        <f>IF($A532&lt;=[1]RESULTADOS!$D$6,"YTD","YTG")</f>
        <v>YTD</v>
      </c>
      <c r="E532" t="s">
        <v>31</v>
      </c>
      <c r="F532" t="s">
        <v>18</v>
      </c>
      <c r="G532" t="s">
        <v>57</v>
      </c>
      <c r="H532" t="s">
        <v>353</v>
      </c>
      <c r="I532" t="s">
        <v>37</v>
      </c>
      <c r="J532" t="str">
        <f>IFERROR(VLOOKUP(I532,[1]AUTOS!$C:$G,2,0),"")</f>
        <v>BEAT</v>
      </c>
      <c r="K532">
        <f>IFERROR(VLOOKUP(I532,[1]AUTOS!$C:$G,3,0),"")</f>
        <v>2020</v>
      </c>
      <c r="L532" t="str">
        <f>IFERROR(VLOOKUP(I532,[1]AUTOS!$C:$G,4,0),"")</f>
        <v>GRIS</v>
      </c>
      <c r="M532" t="s">
        <v>35</v>
      </c>
      <c r="P532" s="3">
        <v>-100</v>
      </c>
    </row>
    <row r="533" spans="1:16" hidden="1" x14ac:dyDescent="0.3">
      <c r="A533">
        <v>27</v>
      </c>
      <c r="B533" t="str">
        <f>VLOOKUP($A533,[1]LISTA!$B:$C,2,0)</f>
        <v>JULIO</v>
      </c>
      <c r="C533" s="1">
        <v>2025</v>
      </c>
      <c r="D533" s="1" t="str">
        <f>IF($A533&lt;=[1]RESULTADOS!$D$6,"YTD","YTG")</f>
        <v>YTD</v>
      </c>
      <c r="E533" t="s">
        <v>31</v>
      </c>
      <c r="F533" t="s">
        <v>18</v>
      </c>
      <c r="G533" t="s">
        <v>64</v>
      </c>
      <c r="H533" t="s">
        <v>64</v>
      </c>
      <c r="I533" t="s">
        <v>37</v>
      </c>
      <c r="J533" t="str">
        <f>IFERROR(VLOOKUP(I533,[1]AUTOS!$C:$G,2,0),"")</f>
        <v>BEAT</v>
      </c>
      <c r="K533">
        <f>IFERROR(VLOOKUP(I533,[1]AUTOS!$C:$G,3,0),"")</f>
        <v>2020</v>
      </c>
      <c r="L533" t="str">
        <f>IFERROR(VLOOKUP(I533,[1]AUTOS!$C:$G,4,0),"")</f>
        <v>GRIS</v>
      </c>
      <c r="M533" t="s">
        <v>35</v>
      </c>
      <c r="P533" s="3">
        <v>-120</v>
      </c>
    </row>
    <row r="534" spans="1:16" hidden="1" x14ac:dyDescent="0.3">
      <c r="A534">
        <v>28</v>
      </c>
      <c r="B534" t="str">
        <f>VLOOKUP($A534,[1]LISTA!$B:$C,2,0)</f>
        <v>JULIO</v>
      </c>
      <c r="C534" s="1">
        <v>2025</v>
      </c>
      <c r="D534" s="1" t="str">
        <f>IF($A534&lt;=[1]RESULTADOS!$D$6,"YTD","YTG")</f>
        <v>YTD</v>
      </c>
      <c r="E534" t="s">
        <v>31</v>
      </c>
      <c r="F534" t="s">
        <v>18</v>
      </c>
      <c r="G534" t="s">
        <v>57</v>
      </c>
      <c r="H534" t="s">
        <v>354</v>
      </c>
      <c r="I534" t="s">
        <v>34</v>
      </c>
      <c r="J534" t="str">
        <f>IFERROR(VLOOKUP(I534,[1]AUTOS!$C:$G,2,0),"")</f>
        <v>AVEO</v>
      </c>
      <c r="K534">
        <f>IFERROR(VLOOKUP(I534,[1]AUTOS!$C:$G,3,0),"")</f>
        <v>2018</v>
      </c>
      <c r="L534" t="str">
        <f>IFERROR(VLOOKUP(I534,[1]AUTOS!$C:$G,4,0),"")</f>
        <v>ROJO</v>
      </c>
      <c r="M534" t="s">
        <v>35</v>
      </c>
      <c r="P534" s="3">
        <v>-2097</v>
      </c>
    </row>
    <row r="535" spans="1:16" hidden="1" x14ac:dyDescent="0.3">
      <c r="A535">
        <v>27</v>
      </c>
      <c r="B535" t="str">
        <f>VLOOKUP($A535,[1]LISTA!$B:$C,2,0)</f>
        <v>JULIO</v>
      </c>
      <c r="C535" s="1">
        <v>2025</v>
      </c>
      <c r="D535" s="1" t="str">
        <f>IF($A535&lt;=[1]RESULTADOS!$D$6,"YTD","YTG")</f>
        <v>YTD</v>
      </c>
      <c r="E535" t="s">
        <v>31</v>
      </c>
      <c r="F535" t="s">
        <v>18</v>
      </c>
      <c r="G535" t="s">
        <v>53</v>
      </c>
      <c r="H535" t="s">
        <v>355</v>
      </c>
      <c r="I535" t="s">
        <v>37</v>
      </c>
      <c r="J535" t="str">
        <f>IFERROR(VLOOKUP(I535,[1]AUTOS!$C:$G,2,0),"")</f>
        <v>BEAT</v>
      </c>
      <c r="K535">
        <f>IFERROR(VLOOKUP(I535,[1]AUTOS!$C:$G,3,0),"")</f>
        <v>2020</v>
      </c>
      <c r="L535" t="str">
        <f>IFERROR(VLOOKUP(I535,[1]AUTOS!$C:$G,4,0),"")</f>
        <v>GRIS</v>
      </c>
      <c r="M535" t="s">
        <v>35</v>
      </c>
      <c r="P535" s="3">
        <v>-120</v>
      </c>
    </row>
    <row r="536" spans="1:16" hidden="1" x14ac:dyDescent="0.3">
      <c r="A536">
        <v>28</v>
      </c>
      <c r="B536" t="str">
        <f>VLOOKUP($A536,[1]LISTA!$B:$C,2,0)</f>
        <v>JULIO</v>
      </c>
      <c r="C536" s="1">
        <v>2025</v>
      </c>
      <c r="D536" s="1" t="str">
        <f>IF($A536&lt;=[1]RESULTADOS!$D$6,"YTD","YTG")</f>
        <v>YTD</v>
      </c>
      <c r="E536" t="s">
        <v>31</v>
      </c>
      <c r="F536" t="s">
        <v>18</v>
      </c>
      <c r="G536" t="s">
        <v>57</v>
      </c>
      <c r="H536" t="s">
        <v>356</v>
      </c>
      <c r="I536" t="s">
        <v>131</v>
      </c>
      <c r="J536" t="str">
        <f>IFERROR(VLOOKUP(I536,[1]AUTOS!$C:$G,2,0),"")</f>
        <v>AVEO</v>
      </c>
      <c r="K536">
        <f>IFERROR(VLOOKUP(I536,[1]AUTOS!$C:$G,3,0),"")</f>
        <v>2024</v>
      </c>
      <c r="L536" t="str">
        <f>IFERROR(VLOOKUP(I536,[1]AUTOS!$C:$G,4,0),"")</f>
        <v>GRIS</v>
      </c>
      <c r="M536" t="s">
        <v>43</v>
      </c>
      <c r="P536" s="3">
        <v>-2000</v>
      </c>
    </row>
    <row r="537" spans="1:16" hidden="1" x14ac:dyDescent="0.3">
      <c r="A537">
        <v>28</v>
      </c>
      <c r="B537" t="str">
        <f>VLOOKUP($A537,[1]LISTA!$B:$C,2,0)</f>
        <v>JULIO</v>
      </c>
      <c r="C537" s="1">
        <v>2025</v>
      </c>
      <c r="D537" s="1" t="str">
        <f>IF($A537&lt;=[1]RESULTADOS!$D$6,"YTD","YTG")</f>
        <v>YTD</v>
      </c>
      <c r="E537" t="s">
        <v>31</v>
      </c>
      <c r="F537" t="s">
        <v>18</v>
      </c>
      <c r="G537" t="s">
        <v>87</v>
      </c>
      <c r="H537" t="s">
        <v>357</v>
      </c>
      <c r="I537" t="s">
        <v>34</v>
      </c>
      <c r="J537" t="str">
        <f>IFERROR(VLOOKUP(I537,[1]AUTOS!$C:$G,2,0),"")</f>
        <v>AVEO</v>
      </c>
      <c r="K537">
        <f>IFERROR(VLOOKUP(I537,[1]AUTOS!$C:$G,3,0),"")</f>
        <v>2018</v>
      </c>
      <c r="L537" t="str">
        <f>IFERROR(VLOOKUP(I537,[1]AUTOS!$C:$G,4,0),"")</f>
        <v>ROJO</v>
      </c>
      <c r="M537" t="s">
        <v>35</v>
      </c>
      <c r="P537" s="3">
        <v>-2200</v>
      </c>
    </row>
    <row r="538" spans="1:16" hidden="1" x14ac:dyDescent="0.3">
      <c r="A538">
        <v>28</v>
      </c>
      <c r="B538" t="str">
        <f>VLOOKUP($A538,[1]LISTA!$B:$C,2,0)</f>
        <v>JULIO</v>
      </c>
      <c r="C538" s="1">
        <v>2025</v>
      </c>
      <c r="D538" s="1" t="str">
        <f>IF($A538&lt;=[1]RESULTADOS!$D$6,"YTD","YTG")</f>
        <v>YTD</v>
      </c>
      <c r="E538" t="s">
        <v>31</v>
      </c>
      <c r="F538" t="s">
        <v>18</v>
      </c>
      <c r="G538" t="s">
        <v>92</v>
      </c>
      <c r="H538" t="s">
        <v>294</v>
      </c>
      <c r="I538" t="s">
        <v>34</v>
      </c>
      <c r="J538" t="str">
        <f>IFERROR(VLOOKUP(I538,[1]AUTOS!$C:$G,2,0),"")</f>
        <v>AVEO</v>
      </c>
      <c r="K538">
        <f>IFERROR(VLOOKUP(I538,[1]AUTOS!$C:$G,3,0),"")</f>
        <v>2018</v>
      </c>
      <c r="L538" t="str">
        <f>IFERROR(VLOOKUP(I538,[1]AUTOS!$C:$G,4,0),"")</f>
        <v>ROJO</v>
      </c>
      <c r="M538" t="s">
        <v>35</v>
      </c>
      <c r="P538" s="3">
        <v>-1300</v>
      </c>
    </row>
    <row r="539" spans="1:16" hidden="1" x14ac:dyDescent="0.3">
      <c r="A539">
        <v>28</v>
      </c>
      <c r="B539" t="str">
        <f>VLOOKUP($A539,[1]LISTA!$B:$C,2,0)</f>
        <v>JULIO</v>
      </c>
      <c r="C539" s="1">
        <v>2025</v>
      </c>
      <c r="D539" s="1" t="str">
        <f>IF($A539&lt;=[1]RESULTADOS!$D$6,"YTD","YTG")</f>
        <v>YTD</v>
      </c>
      <c r="E539" t="s">
        <v>31</v>
      </c>
      <c r="F539" t="s">
        <v>18</v>
      </c>
      <c r="G539" t="s">
        <v>64</v>
      </c>
      <c r="H539" t="s">
        <v>64</v>
      </c>
      <c r="I539" t="s">
        <v>34</v>
      </c>
      <c r="J539" t="str">
        <f>IFERROR(VLOOKUP(I539,[1]AUTOS!$C:$G,2,0),"")</f>
        <v>AVEO</v>
      </c>
      <c r="K539">
        <f>IFERROR(VLOOKUP(I539,[1]AUTOS!$C:$G,3,0),"")</f>
        <v>2018</v>
      </c>
      <c r="L539" t="str">
        <f>IFERROR(VLOOKUP(I539,[1]AUTOS!$C:$G,4,0),"")</f>
        <v>ROJO</v>
      </c>
      <c r="M539" t="s">
        <v>35</v>
      </c>
      <c r="P539" s="3">
        <v>-1000</v>
      </c>
    </row>
    <row r="540" spans="1:16" hidden="1" x14ac:dyDescent="0.3">
      <c r="A540">
        <v>26</v>
      </c>
      <c r="B540" t="str">
        <f>VLOOKUP($A540,[1]LISTA!$B:$C,2,0)</f>
        <v>JUNIO</v>
      </c>
      <c r="C540" s="1">
        <v>2025</v>
      </c>
      <c r="D540" s="1" t="str">
        <f>IF($A540&lt;=[1]RESULTADOS!$D$6,"YTD","YTG")</f>
        <v>YTD</v>
      </c>
      <c r="E540" t="s">
        <v>31</v>
      </c>
      <c r="F540" t="s">
        <v>18</v>
      </c>
      <c r="G540" t="s">
        <v>57</v>
      </c>
      <c r="H540" t="s">
        <v>358</v>
      </c>
      <c r="I540" t="s">
        <v>131</v>
      </c>
      <c r="J540" t="str">
        <f>IFERROR(VLOOKUP(I540,[1]AUTOS!$C:$G,2,0),"")</f>
        <v>AVEO</v>
      </c>
      <c r="K540">
        <f>IFERROR(VLOOKUP(I540,[1]AUTOS!$C:$G,3,0),"")</f>
        <v>2024</v>
      </c>
      <c r="L540" t="str">
        <f>IFERROR(VLOOKUP(I540,[1]AUTOS!$C:$G,4,0),"")</f>
        <v>GRIS</v>
      </c>
      <c r="M540" t="s">
        <v>43</v>
      </c>
      <c r="P540" s="3">
        <v>-2900</v>
      </c>
    </row>
    <row r="541" spans="1:16" hidden="1" x14ac:dyDescent="0.3">
      <c r="A541">
        <v>27</v>
      </c>
      <c r="B541" t="str">
        <f>VLOOKUP($A541,[1]LISTA!$B:$C,2,0)</f>
        <v>JULIO</v>
      </c>
      <c r="C541" s="1">
        <v>2025</v>
      </c>
      <c r="D541" s="1" t="str">
        <f>IF($A541&lt;=[1]RESULTADOS!$D$6,"YTD","YTG")</f>
        <v>YTD</v>
      </c>
      <c r="E541" t="s">
        <v>31</v>
      </c>
      <c r="F541" t="s">
        <v>18</v>
      </c>
      <c r="G541" t="s">
        <v>53</v>
      </c>
      <c r="H541" t="s">
        <v>233</v>
      </c>
      <c r="I541" t="s">
        <v>131</v>
      </c>
      <c r="J541" t="str">
        <f>IFERROR(VLOOKUP(I541,[1]AUTOS!$C:$G,2,0),"")</f>
        <v>AVEO</v>
      </c>
      <c r="K541">
        <f>IFERROR(VLOOKUP(I541,[1]AUTOS!$C:$G,3,0),"")</f>
        <v>2024</v>
      </c>
      <c r="L541" t="str">
        <f>IFERROR(VLOOKUP(I541,[1]AUTOS!$C:$G,4,0),"")</f>
        <v>GRIS</v>
      </c>
      <c r="M541" t="s">
        <v>43</v>
      </c>
      <c r="P541" s="3">
        <v>-100</v>
      </c>
    </row>
    <row r="542" spans="1:16" hidden="1" x14ac:dyDescent="0.3">
      <c r="A542">
        <v>27</v>
      </c>
      <c r="B542" t="str">
        <f>VLOOKUP($A542,[1]LISTA!$B:$C,2,0)</f>
        <v>JULIO</v>
      </c>
      <c r="C542" s="1">
        <v>2025</v>
      </c>
      <c r="D542" s="1" t="str">
        <f>IF($A542&lt;=[1]RESULTADOS!$D$6,"YTD","YTG")</f>
        <v>YTD</v>
      </c>
      <c r="E542" t="s">
        <v>31</v>
      </c>
      <c r="F542" t="s">
        <v>18</v>
      </c>
      <c r="G542" t="s">
        <v>53</v>
      </c>
      <c r="H542" t="s">
        <v>233</v>
      </c>
      <c r="I542" t="s">
        <v>182</v>
      </c>
      <c r="J542" t="str">
        <f>IFERROR(VLOOKUP(I542,[1]AUTOS!$C:$G,2,0),"")</f>
        <v>AVEO</v>
      </c>
      <c r="K542">
        <f>IFERROR(VLOOKUP(I542,[1]AUTOS!$C:$G,3,0),"")</f>
        <v>2020</v>
      </c>
      <c r="L542" t="str">
        <f>IFERROR(VLOOKUP(I542,[1]AUTOS!$C:$G,4,0),"")</f>
        <v>AZUL</v>
      </c>
      <c r="M542" t="s">
        <v>43</v>
      </c>
      <c r="P542" s="3">
        <v>-100</v>
      </c>
    </row>
    <row r="543" spans="1:16" hidden="1" x14ac:dyDescent="0.3">
      <c r="A543">
        <v>29</v>
      </c>
      <c r="B543" t="str">
        <f>VLOOKUP($A543,[1]LISTA!$B:$C,2,0)</f>
        <v>JULIO</v>
      </c>
      <c r="C543" s="1">
        <v>2025</v>
      </c>
      <c r="D543" s="1" t="str">
        <f>IF($A543&lt;=[1]RESULTADOS!$D$6,"YTD","YTG")</f>
        <v>YTD</v>
      </c>
      <c r="E543" t="s">
        <v>17</v>
      </c>
      <c r="F543" t="s">
        <v>18</v>
      </c>
      <c r="G543" t="s">
        <v>23</v>
      </c>
      <c r="H543" t="s">
        <v>238</v>
      </c>
      <c r="I543" t="s">
        <v>21</v>
      </c>
      <c r="J543" t="str">
        <f>IFERROR(VLOOKUP(I543,[1]AUTOS!$C:$G,2,0),"")</f>
        <v/>
      </c>
      <c r="K543" t="str">
        <f>IFERROR(VLOOKUP(I543,[1]AUTOS!$C:$G,3,0),"")</f>
        <v/>
      </c>
      <c r="L543" t="str">
        <f>IFERROR(VLOOKUP(I543,[1]AUTOS!$C:$G,4,0),"")</f>
        <v/>
      </c>
      <c r="M543" t="s">
        <v>22</v>
      </c>
      <c r="P543" s="3">
        <v>-20</v>
      </c>
    </row>
    <row r="544" spans="1:16" hidden="1" x14ac:dyDescent="0.3">
      <c r="A544">
        <v>29</v>
      </c>
      <c r="B544" t="str">
        <f>VLOOKUP($A544,[1]LISTA!$B:$C,2,0)</f>
        <v>JULIO</v>
      </c>
      <c r="C544" s="1">
        <v>2025</v>
      </c>
      <c r="D544" s="1" t="str">
        <f>IF($A544&lt;=[1]RESULTADOS!$D$6,"YTD","YTG")</f>
        <v>YTD</v>
      </c>
      <c r="E544" t="s">
        <v>17</v>
      </c>
      <c r="F544" t="s">
        <v>18</v>
      </c>
      <c r="G544" t="s">
        <v>57</v>
      </c>
      <c r="H544" t="s">
        <v>359</v>
      </c>
      <c r="I544" t="s">
        <v>21</v>
      </c>
      <c r="J544" t="str">
        <f>IFERROR(VLOOKUP(I544,[1]AUTOS!$C:$G,2,0),"")</f>
        <v/>
      </c>
      <c r="K544" t="str">
        <f>IFERROR(VLOOKUP(I544,[1]AUTOS!$C:$G,3,0),"")</f>
        <v/>
      </c>
      <c r="L544" t="str">
        <f>IFERROR(VLOOKUP(I544,[1]AUTOS!$C:$G,4,0),"")</f>
        <v/>
      </c>
      <c r="M544" t="s">
        <v>22</v>
      </c>
      <c r="P544" s="3">
        <v>-120</v>
      </c>
    </row>
    <row r="545" spans="1:16" hidden="1" x14ac:dyDescent="0.3">
      <c r="A545">
        <v>29</v>
      </c>
      <c r="B545" t="str">
        <f>VLOOKUP($A545,[1]LISTA!$B:$C,2,0)</f>
        <v>JULIO</v>
      </c>
      <c r="C545" s="1">
        <v>2025</v>
      </c>
      <c r="D545" s="1" t="str">
        <f>IF($A545&lt;=[1]RESULTADOS!$D$6,"YTD","YTG")</f>
        <v>YTD</v>
      </c>
      <c r="E545" t="s">
        <v>31</v>
      </c>
      <c r="F545" t="s">
        <v>18</v>
      </c>
      <c r="G545" t="s">
        <v>53</v>
      </c>
      <c r="H545" t="s">
        <v>360</v>
      </c>
      <c r="I545" t="s">
        <v>185</v>
      </c>
      <c r="J545" t="str">
        <f>IFERROR(VLOOKUP(I545,[1]AUTOS!$C:$G,2,0),"")</f>
        <v>MARCH</v>
      </c>
      <c r="K545">
        <f>IFERROR(VLOOKUP(I545,[1]AUTOS!$C:$G,3,0),"")</f>
        <v>2021</v>
      </c>
      <c r="L545" t="str">
        <f>IFERROR(VLOOKUP(I545,[1]AUTOS!$C:$G,4,0),"")</f>
        <v>ROJO</v>
      </c>
      <c r="M545" t="s">
        <v>43</v>
      </c>
      <c r="P545" s="3">
        <v>-263</v>
      </c>
    </row>
    <row r="546" spans="1:16" hidden="1" x14ac:dyDescent="0.3">
      <c r="A546">
        <v>29</v>
      </c>
      <c r="B546" t="str">
        <f>VLOOKUP($A546,[1]LISTA!$B:$C,2,0)</f>
        <v>JULIO</v>
      </c>
      <c r="C546" s="1">
        <v>2025</v>
      </c>
      <c r="D546" s="1" t="str">
        <f>IF($A546&lt;=[1]RESULTADOS!$D$6,"YTD","YTG")</f>
        <v>YTD</v>
      </c>
      <c r="E546" t="s">
        <v>31</v>
      </c>
      <c r="F546" t="s">
        <v>18</v>
      </c>
      <c r="G546" t="s">
        <v>38</v>
      </c>
      <c r="H546" t="s">
        <v>194</v>
      </c>
      <c r="I546" t="s">
        <v>333</v>
      </c>
      <c r="J546" t="str">
        <f>IFERROR(VLOOKUP(I546,[1]AUTOS!$C:$G,2,0),"")</f>
        <v>BEAT</v>
      </c>
      <c r="K546">
        <f>IFERROR(VLOOKUP(I546,[1]AUTOS!$C:$G,3,0),"")</f>
        <v>2019</v>
      </c>
      <c r="L546" t="str">
        <f>IFERROR(VLOOKUP(I546,[1]AUTOS!$C:$G,4,0),"")</f>
        <v>OCRE</v>
      </c>
      <c r="M546" t="s">
        <v>43</v>
      </c>
      <c r="P546" s="3">
        <v>-40</v>
      </c>
    </row>
    <row r="547" spans="1:16" hidden="1" x14ac:dyDescent="0.3">
      <c r="A547">
        <v>29</v>
      </c>
      <c r="B547" t="str">
        <f>VLOOKUP($A547,[1]LISTA!$B:$C,2,0)</f>
        <v>JULIO</v>
      </c>
      <c r="C547" s="1">
        <v>2025</v>
      </c>
      <c r="D547" s="1" t="str">
        <f>IF($A547&lt;=[1]RESULTADOS!$D$6,"YTD","YTG")</f>
        <v>YTD</v>
      </c>
      <c r="E547" t="s">
        <v>31</v>
      </c>
      <c r="F547" t="s">
        <v>18</v>
      </c>
      <c r="G547" t="s">
        <v>57</v>
      </c>
      <c r="H547" t="s">
        <v>361</v>
      </c>
      <c r="I547" t="s">
        <v>34</v>
      </c>
      <c r="J547" t="str">
        <f>IFERROR(VLOOKUP(I547,[1]AUTOS!$C:$G,2,0),"")</f>
        <v>AVEO</v>
      </c>
      <c r="K547">
        <f>IFERROR(VLOOKUP(I547,[1]AUTOS!$C:$G,3,0),"")</f>
        <v>2018</v>
      </c>
      <c r="L547" t="str">
        <f>IFERROR(VLOOKUP(I547,[1]AUTOS!$C:$G,4,0),"")</f>
        <v>ROJO</v>
      </c>
      <c r="M547" t="s">
        <v>35</v>
      </c>
      <c r="P547" s="3">
        <v>-330</v>
      </c>
    </row>
    <row r="548" spans="1:16" hidden="1" x14ac:dyDescent="0.3">
      <c r="A548">
        <v>29</v>
      </c>
      <c r="B548" t="str">
        <f>VLOOKUP($A548,[1]LISTA!$B:$C,2,0)</f>
        <v>JULIO</v>
      </c>
      <c r="C548" s="1">
        <v>2025</v>
      </c>
      <c r="D548" s="1" t="str">
        <f>IF($A548&lt;=[1]RESULTADOS!$D$6,"YTD","YTG")</f>
        <v>YTD</v>
      </c>
      <c r="E548" t="s">
        <v>31</v>
      </c>
      <c r="F548" t="s">
        <v>18</v>
      </c>
      <c r="G548" t="s">
        <v>57</v>
      </c>
      <c r="H548" t="s">
        <v>249</v>
      </c>
      <c r="I548" t="s">
        <v>42</v>
      </c>
      <c r="J548" t="str">
        <f>IFERROR(VLOOKUP(I548,[1]AUTOS!$C:$G,2,0),"")</f>
        <v>VENTO</v>
      </c>
      <c r="K548">
        <f>IFERROR(VLOOKUP(I548,[1]AUTOS!$C:$G,3,0),"")</f>
        <v>2018</v>
      </c>
      <c r="L548" t="str">
        <f>IFERROR(VLOOKUP(I548,[1]AUTOS!$C:$G,4,0),"")</f>
        <v>AMARILLO</v>
      </c>
      <c r="M548" t="s">
        <v>43</v>
      </c>
      <c r="P548" s="3">
        <v>-200</v>
      </c>
    </row>
    <row r="549" spans="1:16" hidden="1" x14ac:dyDescent="0.3">
      <c r="A549">
        <v>29</v>
      </c>
      <c r="B549" t="str">
        <f>VLOOKUP($A549,[1]LISTA!$B:$C,2,0)</f>
        <v>JULIO</v>
      </c>
      <c r="C549" s="1">
        <v>2025</v>
      </c>
      <c r="D549" s="1" t="str">
        <f>IF($A549&lt;=[1]RESULTADOS!$D$6,"YTD","YTG")</f>
        <v>YTD</v>
      </c>
      <c r="E549" t="s">
        <v>31</v>
      </c>
      <c r="F549" t="s">
        <v>18</v>
      </c>
      <c r="G549" t="s">
        <v>57</v>
      </c>
      <c r="H549" t="s">
        <v>201</v>
      </c>
      <c r="I549" t="s">
        <v>144</v>
      </c>
      <c r="J549" t="str">
        <f>IFERROR(VLOOKUP(I549,[1]AUTOS!$C:$G,2,0),"")</f>
        <v>VERSA</v>
      </c>
      <c r="K549">
        <f>IFERROR(VLOOKUP(I549,[1]AUTOS!$C:$G,3,0),"")</f>
        <v>2020</v>
      </c>
      <c r="L549" t="str">
        <f>IFERROR(VLOOKUP(I549,[1]AUTOS!$C:$G,4,0),"")</f>
        <v>ROJO</v>
      </c>
      <c r="M549" t="s">
        <v>43</v>
      </c>
      <c r="P549" s="3">
        <v>-720</v>
      </c>
    </row>
    <row r="550" spans="1:16" hidden="1" x14ac:dyDescent="0.3">
      <c r="A550">
        <v>29</v>
      </c>
      <c r="B550" t="str">
        <f>VLOOKUP($A550,[1]LISTA!$B:$C,2,0)</f>
        <v>JULIO</v>
      </c>
      <c r="C550" s="1">
        <v>2025</v>
      </c>
      <c r="D550" s="1" t="str">
        <f>IF($A550&lt;=[1]RESULTADOS!$D$6,"YTD","YTG")</f>
        <v>YTD</v>
      </c>
      <c r="E550" t="s">
        <v>31</v>
      </c>
      <c r="F550" t="s">
        <v>18</v>
      </c>
      <c r="G550" t="s">
        <v>57</v>
      </c>
      <c r="H550" t="s">
        <v>120</v>
      </c>
      <c r="I550" t="s">
        <v>102</v>
      </c>
      <c r="J550" t="str">
        <f>IFERROR(VLOOKUP(I550,[1]AUTOS!$C:$G,2,0),"")</f>
        <v>AVEO</v>
      </c>
      <c r="K550">
        <f>IFERROR(VLOOKUP(I550,[1]AUTOS!$C:$G,3,0),"")</f>
        <v>2022</v>
      </c>
      <c r="L550" t="str">
        <f>IFERROR(VLOOKUP(I550,[1]AUTOS!$C:$G,4,0),"")</f>
        <v>AZUL</v>
      </c>
      <c r="M550" t="s">
        <v>43</v>
      </c>
      <c r="P550" s="3">
        <v>-531</v>
      </c>
    </row>
    <row r="551" spans="1:16" hidden="1" x14ac:dyDescent="0.3">
      <c r="A551">
        <v>29</v>
      </c>
      <c r="B551" t="str">
        <f>VLOOKUP($A551,[1]LISTA!$B:$C,2,0)</f>
        <v>JULIO</v>
      </c>
      <c r="C551" s="1">
        <v>2025</v>
      </c>
      <c r="D551" s="1" t="str">
        <f>IF($A551&lt;=[1]RESULTADOS!$D$6,"YTD","YTG")</f>
        <v>YTD</v>
      </c>
      <c r="E551" t="s">
        <v>17</v>
      </c>
      <c r="F551" t="s">
        <v>18</v>
      </c>
      <c r="G551" t="s">
        <v>57</v>
      </c>
      <c r="H551" t="s">
        <v>362</v>
      </c>
      <c r="I551" t="s">
        <v>21</v>
      </c>
      <c r="J551" t="str">
        <f>IFERROR(VLOOKUP(I551,[1]AUTOS!$C:$G,2,0),"")</f>
        <v/>
      </c>
      <c r="K551" t="str">
        <f>IFERROR(VLOOKUP(I551,[1]AUTOS!$C:$G,3,0),"")</f>
        <v/>
      </c>
      <c r="L551" t="str">
        <f>IFERROR(VLOOKUP(I551,[1]AUTOS!$C:$G,4,0),"")</f>
        <v/>
      </c>
      <c r="M551" t="s">
        <v>22</v>
      </c>
      <c r="P551" s="3">
        <v>-324</v>
      </c>
    </row>
    <row r="552" spans="1:16" hidden="1" x14ac:dyDescent="0.3">
      <c r="A552">
        <v>29</v>
      </c>
      <c r="B552" t="str">
        <f>VLOOKUP($A552,[1]LISTA!$B:$C,2,0)</f>
        <v>JULIO</v>
      </c>
      <c r="C552" s="1">
        <v>2025</v>
      </c>
      <c r="D552" s="1" t="str">
        <f>IF($A552&lt;=[1]RESULTADOS!$D$6,"YTD","YTG")</f>
        <v>YTD</v>
      </c>
      <c r="E552" t="s">
        <v>31</v>
      </c>
      <c r="F552" t="s">
        <v>18</v>
      </c>
      <c r="G552" t="s">
        <v>48</v>
      </c>
      <c r="H552" t="s">
        <v>363</v>
      </c>
      <c r="I552" t="s">
        <v>144</v>
      </c>
      <c r="J552" t="str">
        <f>IFERROR(VLOOKUP(I552,[1]AUTOS!$C:$G,2,0),"")</f>
        <v>VERSA</v>
      </c>
      <c r="K552">
        <f>IFERROR(VLOOKUP(I552,[1]AUTOS!$C:$G,3,0),"")</f>
        <v>2020</v>
      </c>
      <c r="L552" t="str">
        <f>IFERROR(VLOOKUP(I552,[1]AUTOS!$C:$G,4,0),"")</f>
        <v>ROJO</v>
      </c>
      <c r="M552" t="s">
        <v>43</v>
      </c>
      <c r="P552" s="3">
        <v>-2400</v>
      </c>
    </row>
    <row r="553" spans="1:16" hidden="1" x14ac:dyDescent="0.3">
      <c r="A553">
        <v>29</v>
      </c>
      <c r="B553" t="str">
        <f>VLOOKUP($A553,[1]LISTA!$B:$C,2,0)</f>
        <v>JULIO</v>
      </c>
      <c r="C553" s="1">
        <v>2025</v>
      </c>
      <c r="D553" s="1" t="str">
        <f>IF($A553&lt;=[1]RESULTADOS!$D$6,"YTD","YTG")</f>
        <v>YTD</v>
      </c>
      <c r="E553" t="s">
        <v>31</v>
      </c>
      <c r="F553" t="s">
        <v>18</v>
      </c>
      <c r="G553" t="s">
        <v>48</v>
      </c>
      <c r="H553" t="s">
        <v>363</v>
      </c>
      <c r="I553" t="s">
        <v>178</v>
      </c>
      <c r="J553" t="str">
        <f>IFERROR(VLOOKUP(I553,[1]AUTOS!$C:$G,2,0),"")</f>
        <v>VERSA</v>
      </c>
      <c r="K553">
        <f>IFERROR(VLOOKUP(I553,[1]AUTOS!$C:$G,3,0),"")</f>
        <v>2020</v>
      </c>
      <c r="L553" t="str">
        <f>IFERROR(VLOOKUP(I553,[1]AUTOS!$C:$G,4,0),"")</f>
        <v>BLANCO</v>
      </c>
      <c r="M553" t="s">
        <v>43</v>
      </c>
      <c r="P553" s="3">
        <v>-2360</v>
      </c>
    </row>
    <row r="554" spans="1:16" hidden="1" x14ac:dyDescent="0.3">
      <c r="A554">
        <v>29</v>
      </c>
      <c r="B554" t="str">
        <f>VLOOKUP($A554,[1]LISTA!$B:$C,2,0)</f>
        <v>JULIO</v>
      </c>
      <c r="C554" s="1">
        <v>2025</v>
      </c>
      <c r="D554" s="1" t="str">
        <f>IF($A554&lt;=[1]RESULTADOS!$D$6,"YTD","YTG")</f>
        <v>YTD</v>
      </c>
      <c r="E554" t="s">
        <v>31</v>
      </c>
      <c r="F554" t="s">
        <v>18</v>
      </c>
      <c r="G554" t="s">
        <v>53</v>
      </c>
      <c r="H554" t="s">
        <v>233</v>
      </c>
      <c r="I554" t="s">
        <v>185</v>
      </c>
      <c r="J554" t="str">
        <f>IFERROR(VLOOKUP(I554,[1]AUTOS!$C:$G,2,0),"")</f>
        <v>MARCH</v>
      </c>
      <c r="K554">
        <f>IFERROR(VLOOKUP(I554,[1]AUTOS!$C:$G,3,0),"")</f>
        <v>2021</v>
      </c>
      <c r="L554" t="str">
        <f>IFERROR(VLOOKUP(I554,[1]AUTOS!$C:$G,4,0),"")</f>
        <v>ROJO</v>
      </c>
      <c r="M554" t="s">
        <v>43</v>
      </c>
      <c r="P554" s="3">
        <v>-100</v>
      </c>
    </row>
    <row r="555" spans="1:16" hidden="1" x14ac:dyDescent="0.3">
      <c r="A555">
        <v>29</v>
      </c>
      <c r="B555" t="str">
        <f>VLOOKUP($A555,[1]LISTA!$B:$C,2,0)</f>
        <v>JULIO</v>
      </c>
      <c r="C555" s="1">
        <v>2025</v>
      </c>
      <c r="D555" s="1" t="str">
        <f>IF($A555&lt;=[1]RESULTADOS!$D$6,"YTD","YTG")</f>
        <v>YTD</v>
      </c>
      <c r="E555" t="s">
        <v>31</v>
      </c>
      <c r="F555" t="s">
        <v>18</v>
      </c>
      <c r="G555" t="s">
        <v>57</v>
      </c>
      <c r="H555" t="s">
        <v>120</v>
      </c>
      <c r="I555" t="s">
        <v>102</v>
      </c>
      <c r="J555" t="str">
        <f>IFERROR(VLOOKUP(I555,[1]AUTOS!$C:$G,2,0),"")</f>
        <v>AVEO</v>
      </c>
      <c r="K555">
        <f>IFERROR(VLOOKUP(I555,[1]AUTOS!$C:$G,3,0),"")</f>
        <v>2022</v>
      </c>
      <c r="L555" t="str">
        <f>IFERROR(VLOOKUP(I555,[1]AUTOS!$C:$G,4,0),"")</f>
        <v>AZUL</v>
      </c>
      <c r="M555" t="s">
        <v>43</v>
      </c>
      <c r="P555" s="3">
        <v>-531</v>
      </c>
    </row>
    <row r="556" spans="1:16" hidden="1" x14ac:dyDescent="0.3">
      <c r="A556">
        <v>29</v>
      </c>
      <c r="B556" t="str">
        <f>VLOOKUP($A556,[1]LISTA!$B:$C,2,0)</f>
        <v>JULIO</v>
      </c>
      <c r="C556" s="1">
        <v>2025</v>
      </c>
      <c r="D556" s="1" t="str">
        <f>IF($A556&lt;=[1]RESULTADOS!$D$6,"YTD","YTG")</f>
        <v>YTD</v>
      </c>
      <c r="E556" t="s">
        <v>31</v>
      </c>
      <c r="F556" t="s">
        <v>18</v>
      </c>
      <c r="G556" t="s">
        <v>115</v>
      </c>
      <c r="H556" t="s">
        <v>115</v>
      </c>
      <c r="I556" t="s">
        <v>185</v>
      </c>
      <c r="J556" t="str">
        <f>IFERROR(VLOOKUP(I556,[1]AUTOS!$C:$G,2,0),"")</f>
        <v>MARCH</v>
      </c>
      <c r="K556">
        <f>IFERROR(VLOOKUP(I556,[1]AUTOS!$C:$G,3,0),"")</f>
        <v>2021</v>
      </c>
      <c r="L556" t="str">
        <f>IFERROR(VLOOKUP(I556,[1]AUTOS!$C:$G,4,0),"")</f>
        <v>ROJO</v>
      </c>
      <c r="M556" t="s">
        <v>43</v>
      </c>
      <c r="P556" s="3">
        <v>-4797</v>
      </c>
    </row>
    <row r="557" spans="1:16" hidden="1" x14ac:dyDescent="0.3">
      <c r="A557">
        <v>30</v>
      </c>
      <c r="B557" t="str">
        <f>VLOOKUP($A557,[1]LISTA!$B:$C,2,0)</f>
        <v>JULIO</v>
      </c>
      <c r="C557" s="1">
        <v>2025</v>
      </c>
      <c r="D557" s="1" t="str">
        <f>IF($A557&lt;=[1]RESULTADOS!$D$6,"YTD","YTG")</f>
        <v>YTD</v>
      </c>
      <c r="E557" t="s">
        <v>31</v>
      </c>
      <c r="F557" t="s">
        <v>18</v>
      </c>
      <c r="G557" t="s">
        <v>115</v>
      </c>
      <c r="H557" t="s">
        <v>218</v>
      </c>
      <c r="I557" t="s">
        <v>185</v>
      </c>
      <c r="J557" t="str">
        <f>IFERROR(VLOOKUP(I557,[1]AUTOS!$C:$G,2,0),"")</f>
        <v>MARCH</v>
      </c>
      <c r="K557">
        <f>IFERROR(VLOOKUP(I557,[1]AUTOS!$C:$G,3,0),"")</f>
        <v>2021</v>
      </c>
      <c r="L557" t="str">
        <f>IFERROR(VLOOKUP(I557,[1]AUTOS!$C:$G,4,0),"")</f>
        <v>ROJO</v>
      </c>
      <c r="M557" t="s">
        <v>43</v>
      </c>
      <c r="P557" s="3">
        <v>-2500</v>
      </c>
    </row>
    <row r="558" spans="1:16" x14ac:dyDescent="0.3">
      <c r="A558">
        <v>29</v>
      </c>
      <c r="B558" t="str">
        <f>VLOOKUP($A558,[1]LISTA!$B:$C,2,0)</f>
        <v>JULIO</v>
      </c>
      <c r="C558" s="1">
        <v>2025</v>
      </c>
      <c r="D558" s="1" t="str">
        <f>IF($A558&lt;=[1]RESULTADOS!$D$6,"YTD","YTG")</f>
        <v>YTD</v>
      </c>
      <c r="E558" t="s">
        <v>31</v>
      </c>
      <c r="F558" t="s">
        <v>18</v>
      </c>
      <c r="G558" t="s">
        <v>57</v>
      </c>
      <c r="H558" t="s">
        <v>120</v>
      </c>
      <c r="I558" t="s">
        <v>72</v>
      </c>
      <c r="J558" t="str">
        <f>IFERROR(VLOOKUP(I558,[1]AUTOS!$C:$G,2,0),"")</f>
        <v>VENTO</v>
      </c>
      <c r="K558">
        <f>IFERROR(VLOOKUP(I558,[1]AUTOS!$C:$G,3,0),"")</f>
        <v>2020</v>
      </c>
      <c r="L558" t="str">
        <f>IFERROR(VLOOKUP(I558,[1]AUTOS!$C:$G,4,0),"")</f>
        <v>GRIS</v>
      </c>
      <c r="M558" t="s">
        <v>43</v>
      </c>
      <c r="P558" s="3">
        <v>-580</v>
      </c>
    </row>
    <row r="559" spans="1:16" hidden="1" x14ac:dyDescent="0.3">
      <c r="A559">
        <v>29</v>
      </c>
      <c r="B559" t="str">
        <f>VLOOKUP($A559,[1]LISTA!$B:$C,2,0)</f>
        <v>JULIO</v>
      </c>
      <c r="C559" s="1">
        <v>2025</v>
      </c>
      <c r="D559" s="1" t="str">
        <f>IF($A559&lt;=[1]RESULTADOS!$D$6,"YTD","YTG")</f>
        <v>YTD</v>
      </c>
      <c r="E559" t="s">
        <v>31</v>
      </c>
      <c r="F559" t="s">
        <v>18</v>
      </c>
      <c r="G559" t="s">
        <v>57</v>
      </c>
      <c r="H559" t="s">
        <v>260</v>
      </c>
      <c r="I559" t="s">
        <v>46</v>
      </c>
      <c r="J559" t="str">
        <f>IFERROR(VLOOKUP(I559,[1]AUTOS!$C:$G,2,0),"")</f>
        <v>MARCH</v>
      </c>
      <c r="K559">
        <f>IFERROR(VLOOKUP(I559,[1]AUTOS!$C:$G,3,0),"")</f>
        <v>2020</v>
      </c>
      <c r="L559" t="str">
        <f>IFERROR(VLOOKUP(I559,[1]AUTOS!$C:$G,4,0),"")</f>
        <v>TURQ</v>
      </c>
      <c r="M559" t="s">
        <v>43</v>
      </c>
      <c r="P559" s="3">
        <v>-845</v>
      </c>
    </row>
    <row r="560" spans="1:16" x14ac:dyDescent="0.3">
      <c r="A560">
        <v>29</v>
      </c>
      <c r="B560" t="str">
        <f>VLOOKUP($A560,[1]LISTA!$B:$C,2,0)</f>
        <v>JULIO</v>
      </c>
      <c r="C560" s="1">
        <v>2025</v>
      </c>
      <c r="D560" s="1" t="str">
        <f>IF($A560&lt;=[1]RESULTADOS!$D$6,"YTD","YTG")</f>
        <v>YTD</v>
      </c>
      <c r="E560" t="s">
        <v>31</v>
      </c>
      <c r="F560" t="s">
        <v>18</v>
      </c>
      <c r="G560" t="s">
        <v>87</v>
      </c>
      <c r="H560" t="s">
        <v>335</v>
      </c>
      <c r="I560" t="s">
        <v>72</v>
      </c>
      <c r="J560" t="str">
        <f>IFERROR(VLOOKUP(I560,[1]AUTOS!$C:$G,2,0),"")</f>
        <v>VENTO</v>
      </c>
      <c r="K560">
        <f>IFERROR(VLOOKUP(I560,[1]AUTOS!$C:$G,3,0),"")</f>
        <v>2020</v>
      </c>
      <c r="L560" t="str">
        <f>IFERROR(VLOOKUP(I560,[1]AUTOS!$C:$G,4,0),"")</f>
        <v>GRIS</v>
      </c>
      <c r="M560" t="s">
        <v>43</v>
      </c>
      <c r="P560" s="3">
        <v>-400</v>
      </c>
    </row>
    <row r="561" spans="1:16" hidden="1" x14ac:dyDescent="0.3">
      <c r="A561">
        <v>29</v>
      </c>
      <c r="B561" t="str">
        <f>VLOOKUP($A561,[1]LISTA!$B:$C,2,0)</f>
        <v>JULIO</v>
      </c>
      <c r="C561" s="1">
        <v>2025</v>
      </c>
      <c r="D561" s="1" t="str">
        <f>IF($A561&lt;=[1]RESULTADOS!$D$6,"YTD","YTG")</f>
        <v>YTD</v>
      </c>
      <c r="E561" t="s">
        <v>31</v>
      </c>
      <c r="F561" t="s">
        <v>18</v>
      </c>
      <c r="G561" t="s">
        <v>29</v>
      </c>
      <c r="H561" t="s">
        <v>113</v>
      </c>
      <c r="I561" t="s">
        <v>333</v>
      </c>
      <c r="J561" t="str">
        <f>IFERROR(VLOOKUP(I561,[1]AUTOS!$C:$G,2,0),"")</f>
        <v>BEAT</v>
      </c>
      <c r="K561">
        <f>IFERROR(VLOOKUP(I561,[1]AUTOS!$C:$G,3,0),"")</f>
        <v>2019</v>
      </c>
      <c r="L561" t="str">
        <f>IFERROR(VLOOKUP(I561,[1]AUTOS!$C:$G,4,0),"")</f>
        <v>OCRE</v>
      </c>
      <c r="M561" t="s">
        <v>43</v>
      </c>
      <c r="P561" s="3">
        <v>-250</v>
      </c>
    </row>
    <row r="562" spans="1:16" hidden="1" x14ac:dyDescent="0.3">
      <c r="A562">
        <v>29</v>
      </c>
      <c r="B562" t="str">
        <f>VLOOKUP($A562,[1]LISTA!$B:$C,2,0)</f>
        <v>JULIO</v>
      </c>
      <c r="C562" s="1">
        <v>2025</v>
      </c>
      <c r="D562" s="1" t="str">
        <f>IF($A562&lt;=[1]RESULTADOS!$D$6,"YTD","YTG")</f>
        <v>YTD</v>
      </c>
      <c r="E562" t="s">
        <v>31</v>
      </c>
      <c r="F562" t="s">
        <v>18</v>
      </c>
      <c r="G562" t="s">
        <v>57</v>
      </c>
      <c r="H562" t="s">
        <v>364</v>
      </c>
      <c r="I562" t="s">
        <v>144</v>
      </c>
      <c r="J562" t="str">
        <f>IFERROR(VLOOKUP(I562,[1]AUTOS!$C:$G,2,0),"")</f>
        <v>VERSA</v>
      </c>
      <c r="K562">
        <f>IFERROR(VLOOKUP(I562,[1]AUTOS!$C:$G,3,0),"")</f>
        <v>2020</v>
      </c>
      <c r="L562" t="str">
        <f>IFERROR(VLOOKUP(I562,[1]AUTOS!$C:$G,4,0),"")</f>
        <v>ROJO</v>
      </c>
      <c r="M562" t="s">
        <v>43</v>
      </c>
      <c r="P562" s="3">
        <v>-320</v>
      </c>
    </row>
    <row r="563" spans="1:16" hidden="1" x14ac:dyDescent="0.3">
      <c r="A563">
        <v>29</v>
      </c>
      <c r="B563" t="str">
        <f>VLOOKUP($A563,[1]LISTA!$B:$C,2,0)</f>
        <v>JULIO</v>
      </c>
      <c r="C563" s="1">
        <v>2025</v>
      </c>
      <c r="D563" s="1" t="str">
        <f>IF($A563&lt;=[1]RESULTADOS!$D$6,"YTD","YTG")</f>
        <v>YTD</v>
      </c>
      <c r="E563" t="s">
        <v>31</v>
      </c>
      <c r="F563" t="s">
        <v>18</v>
      </c>
      <c r="G563" t="s">
        <v>29</v>
      </c>
      <c r="H563" t="s">
        <v>320</v>
      </c>
      <c r="I563" t="s">
        <v>144</v>
      </c>
      <c r="J563" t="str">
        <f>IFERROR(VLOOKUP(I563,[1]AUTOS!$C:$G,2,0),"")</f>
        <v>VERSA</v>
      </c>
      <c r="K563">
        <f>IFERROR(VLOOKUP(I563,[1]AUTOS!$C:$G,3,0),"")</f>
        <v>2020</v>
      </c>
      <c r="L563" t="str">
        <f>IFERROR(VLOOKUP(I563,[1]AUTOS!$C:$G,4,0),"")</f>
        <v>ROJO</v>
      </c>
      <c r="M563" t="s">
        <v>43</v>
      </c>
      <c r="P563" s="3">
        <v>-250</v>
      </c>
    </row>
    <row r="564" spans="1:16" hidden="1" x14ac:dyDescent="0.3">
      <c r="A564">
        <v>29</v>
      </c>
      <c r="B564" t="str">
        <f>VLOOKUP($A564,[1]LISTA!$B:$C,2,0)</f>
        <v>JULIO</v>
      </c>
      <c r="C564" s="1">
        <v>2025</v>
      </c>
      <c r="D564" s="1" t="str">
        <f>IF($A564&lt;=[1]RESULTADOS!$D$6,"YTD","YTG")</f>
        <v>YTD</v>
      </c>
      <c r="E564" t="s">
        <v>31</v>
      </c>
      <c r="F564" t="s">
        <v>18</v>
      </c>
      <c r="G564" t="s">
        <v>19</v>
      </c>
      <c r="H564" t="s">
        <v>365</v>
      </c>
      <c r="I564" t="s">
        <v>366</v>
      </c>
      <c r="J564" t="str">
        <f>IFERROR(VLOOKUP(I564,[1]AUTOS!$C:$G,2,0),"")</f>
        <v>VENTO</v>
      </c>
      <c r="K564">
        <f>IFERROR(VLOOKUP(I564,[1]AUTOS!$C:$G,3,0),"")</f>
        <v>2019</v>
      </c>
      <c r="L564" t="str">
        <f>IFERROR(VLOOKUP(I564,[1]AUTOS!$C:$G,4,0),"")</f>
        <v>BLANCO</v>
      </c>
      <c r="M564" t="s">
        <v>215</v>
      </c>
      <c r="P564" s="3">
        <v>-2304</v>
      </c>
    </row>
    <row r="565" spans="1:16" hidden="1" x14ac:dyDescent="0.3">
      <c r="A565">
        <v>29</v>
      </c>
      <c r="B565" t="str">
        <f>VLOOKUP($A565,[1]LISTA!$B:$C,2,0)</f>
        <v>JULIO</v>
      </c>
      <c r="C565" s="1">
        <v>2025</v>
      </c>
      <c r="D565" s="1" t="str">
        <f>IF($A565&lt;=[1]RESULTADOS!$D$6,"YTD","YTG")</f>
        <v>YTD</v>
      </c>
      <c r="E565" t="s">
        <v>31</v>
      </c>
      <c r="F565" t="s">
        <v>18</v>
      </c>
      <c r="G565" t="s">
        <v>19</v>
      </c>
      <c r="H565" t="s">
        <v>365</v>
      </c>
      <c r="I565" t="s">
        <v>366</v>
      </c>
      <c r="J565" t="str">
        <f>IFERROR(VLOOKUP(I565,[1]AUTOS!$C:$G,2,0),"")</f>
        <v>VENTO</v>
      </c>
      <c r="K565">
        <f>IFERROR(VLOOKUP(I565,[1]AUTOS!$C:$G,3,0),"")</f>
        <v>2019</v>
      </c>
      <c r="L565" t="str">
        <f>IFERROR(VLOOKUP(I565,[1]AUTOS!$C:$G,4,0),"")</f>
        <v>BLANCO</v>
      </c>
      <c r="M565" t="s">
        <v>215</v>
      </c>
      <c r="P565" s="3">
        <v>-89</v>
      </c>
    </row>
    <row r="566" spans="1:16" hidden="1" x14ac:dyDescent="0.3">
      <c r="A566">
        <v>31</v>
      </c>
      <c r="B566" t="str">
        <f>VLOOKUP($A566,[1]LISTA!$B:$C,2,0)</f>
        <v>JULIO</v>
      </c>
      <c r="C566" s="1">
        <v>2025</v>
      </c>
      <c r="D566" s="1" t="str">
        <f>IF($A566&lt;=[1]RESULTADOS!$D$6,"YTD","YTG")</f>
        <v>YTD</v>
      </c>
      <c r="E566" t="s">
        <v>31</v>
      </c>
      <c r="F566" t="s">
        <v>18</v>
      </c>
      <c r="G566" t="s">
        <v>57</v>
      </c>
      <c r="H566" t="s">
        <v>350</v>
      </c>
      <c r="I566" t="s">
        <v>61</v>
      </c>
      <c r="J566" t="str">
        <f>IFERROR(VLOOKUP(I566,[1]AUTOS!$C:$G,2,0),"")</f>
        <v>KIA RIO</v>
      </c>
      <c r="K566">
        <f>IFERROR(VLOOKUP(I566,[1]AUTOS!$C:$G,3,0),"")</f>
        <v>2017</v>
      </c>
      <c r="L566" t="str">
        <f>IFERROR(VLOOKUP(I566,[1]AUTOS!$C:$G,4,0),"")</f>
        <v>ROJO</v>
      </c>
      <c r="M566" t="s">
        <v>35</v>
      </c>
      <c r="P566" s="3">
        <v>-1750</v>
      </c>
    </row>
    <row r="567" spans="1:16" hidden="1" x14ac:dyDescent="0.3">
      <c r="A567">
        <v>29</v>
      </c>
      <c r="B567" t="str">
        <f>VLOOKUP($A567,[1]LISTA!$B:$C,2,0)</f>
        <v>JULIO</v>
      </c>
      <c r="C567" s="1">
        <v>2025</v>
      </c>
      <c r="D567" s="1" t="str">
        <f>IF($A567&lt;=[1]RESULTADOS!$D$6,"YTD","YTG")</f>
        <v>YTD</v>
      </c>
      <c r="E567" t="s">
        <v>17</v>
      </c>
      <c r="F567" t="s">
        <v>18</v>
      </c>
      <c r="G567" t="s">
        <v>327</v>
      </c>
      <c r="H567" t="s">
        <v>328</v>
      </c>
      <c r="I567" t="s">
        <v>21</v>
      </c>
      <c r="J567" t="str">
        <f>IFERROR(VLOOKUP(I567,[1]AUTOS!$C:$G,2,0),"")</f>
        <v/>
      </c>
      <c r="K567" t="str">
        <f>IFERROR(VLOOKUP(I567,[1]AUTOS!$C:$G,3,0),"")</f>
        <v/>
      </c>
      <c r="L567" t="str">
        <f>IFERROR(VLOOKUP(I567,[1]AUTOS!$C:$G,4,0),"")</f>
        <v/>
      </c>
      <c r="M567" t="s">
        <v>22</v>
      </c>
      <c r="P567" s="3">
        <v>-60</v>
      </c>
    </row>
    <row r="568" spans="1:16" hidden="1" x14ac:dyDescent="0.3">
      <c r="A568">
        <v>30</v>
      </c>
      <c r="B568" t="str">
        <f>VLOOKUP($A568,[1]LISTA!$B:$C,2,0)</f>
        <v>JULIO</v>
      </c>
      <c r="C568" s="1">
        <v>2025</v>
      </c>
      <c r="D568" s="1" t="str">
        <f>IF($A568&lt;=[1]RESULTADOS!$D$6,"YTD","YTG")</f>
        <v>YTD</v>
      </c>
      <c r="E568" t="s">
        <v>31</v>
      </c>
      <c r="F568" t="s">
        <v>18</v>
      </c>
      <c r="G568" t="s">
        <v>57</v>
      </c>
      <c r="H568" t="s">
        <v>367</v>
      </c>
      <c r="I568" t="s">
        <v>333</v>
      </c>
      <c r="J568" t="str">
        <f>IFERROR(VLOOKUP(I568,[1]AUTOS!$C:$G,2,0),"")</f>
        <v>BEAT</v>
      </c>
      <c r="K568">
        <f>IFERROR(VLOOKUP(I568,[1]AUTOS!$C:$G,3,0),"")</f>
        <v>2019</v>
      </c>
      <c r="L568" t="str">
        <f>IFERROR(VLOOKUP(I568,[1]AUTOS!$C:$G,4,0),"")</f>
        <v>OCRE</v>
      </c>
      <c r="M568" t="s">
        <v>43</v>
      </c>
      <c r="P568" s="3">
        <v>-2400</v>
      </c>
    </row>
    <row r="569" spans="1:16" hidden="1" x14ac:dyDescent="0.3">
      <c r="A569">
        <v>29</v>
      </c>
      <c r="B569" t="str">
        <f>VLOOKUP($A569,[1]LISTA!$B:$C,2,0)</f>
        <v>JULIO</v>
      </c>
      <c r="C569" s="1">
        <v>2025</v>
      </c>
      <c r="D569" s="1" t="str">
        <f>IF($A569&lt;=[1]RESULTADOS!$D$6,"YTD","YTG")</f>
        <v>YTD</v>
      </c>
      <c r="E569" t="s">
        <v>17</v>
      </c>
      <c r="F569" t="s">
        <v>18</v>
      </c>
      <c r="G569" t="s">
        <v>27</v>
      </c>
      <c r="H569" t="s">
        <v>329</v>
      </c>
      <c r="I569" t="s">
        <v>21</v>
      </c>
      <c r="J569" t="str">
        <f>IFERROR(VLOOKUP(I569,[1]AUTOS!$C:$G,2,0),"")</f>
        <v/>
      </c>
      <c r="K569" t="str">
        <f>IFERROR(VLOOKUP(I569,[1]AUTOS!$C:$G,3,0),"")</f>
        <v/>
      </c>
      <c r="L569" t="str">
        <f>IFERROR(VLOOKUP(I569,[1]AUTOS!$C:$G,4,0),"")</f>
        <v/>
      </c>
      <c r="M569" t="s">
        <v>22</v>
      </c>
      <c r="P569" s="3">
        <v>-100</v>
      </c>
    </row>
    <row r="570" spans="1:16" hidden="1" x14ac:dyDescent="0.3">
      <c r="A570">
        <v>29</v>
      </c>
      <c r="B570" t="str">
        <f>VLOOKUP($A570,[1]LISTA!$B:$C,2,0)</f>
        <v>JULIO</v>
      </c>
      <c r="C570" s="1">
        <v>2025</v>
      </c>
      <c r="D570" s="1" t="str">
        <f>IF($A570&lt;=[1]RESULTADOS!$D$6,"YTD","YTG")</f>
        <v>YTD</v>
      </c>
      <c r="E570" t="s">
        <v>17</v>
      </c>
      <c r="F570" t="s">
        <v>18</v>
      </c>
      <c r="G570" t="s">
        <v>29</v>
      </c>
      <c r="H570" t="s">
        <v>331</v>
      </c>
      <c r="I570" t="s">
        <v>21</v>
      </c>
      <c r="J570" t="str">
        <f>IFERROR(VLOOKUP(I570,[1]AUTOS!$C:$G,2,0),"")</f>
        <v/>
      </c>
      <c r="K570" t="str">
        <f>IFERROR(VLOOKUP(I570,[1]AUTOS!$C:$G,3,0),"")</f>
        <v/>
      </c>
      <c r="L570" t="str">
        <f>IFERROR(VLOOKUP(I570,[1]AUTOS!$C:$G,4,0),"")</f>
        <v/>
      </c>
      <c r="M570" t="s">
        <v>22</v>
      </c>
      <c r="P570" s="3">
        <v>-1500</v>
      </c>
    </row>
    <row r="571" spans="1:16" hidden="1" x14ac:dyDescent="0.3">
      <c r="A571">
        <v>30</v>
      </c>
      <c r="B571" t="str">
        <f>VLOOKUP($A571,[1]LISTA!$B:$C,2,0)</f>
        <v>JULIO</v>
      </c>
      <c r="C571" s="1">
        <v>2025</v>
      </c>
      <c r="D571" s="1" t="str">
        <f>IF($A571&lt;=[1]RESULTADOS!$D$6,"YTD","YTG")</f>
        <v>YTD</v>
      </c>
      <c r="E571" t="s">
        <v>17</v>
      </c>
      <c r="F571" t="s">
        <v>18</v>
      </c>
      <c r="G571" t="s">
        <v>29</v>
      </c>
      <c r="H571" t="s">
        <v>331</v>
      </c>
      <c r="I571" t="s">
        <v>21</v>
      </c>
      <c r="J571" t="str">
        <f>IFERROR(VLOOKUP(I571,[1]AUTOS!$C:$G,2,0),"")</f>
        <v/>
      </c>
      <c r="K571" t="str">
        <f>IFERROR(VLOOKUP(I571,[1]AUTOS!$C:$G,3,0),"")</f>
        <v/>
      </c>
      <c r="L571" t="str">
        <f>IFERROR(VLOOKUP(I571,[1]AUTOS!$C:$G,4,0),"")</f>
        <v/>
      </c>
      <c r="M571" t="s">
        <v>22</v>
      </c>
      <c r="P571" s="3">
        <v>-1500</v>
      </c>
    </row>
    <row r="572" spans="1:16" hidden="1" x14ac:dyDescent="0.3">
      <c r="A572">
        <v>31</v>
      </c>
      <c r="B572" t="str">
        <f>VLOOKUP($A572,[1]LISTA!$B:$C,2,0)</f>
        <v>JULIO</v>
      </c>
      <c r="C572" s="1">
        <v>2025</v>
      </c>
      <c r="D572" s="1" t="str">
        <f>IF($A572&lt;=[1]RESULTADOS!$D$6,"YTD","YTG")</f>
        <v>YTD</v>
      </c>
      <c r="E572" t="s">
        <v>17</v>
      </c>
      <c r="F572" t="s">
        <v>18</v>
      </c>
      <c r="G572" t="s">
        <v>29</v>
      </c>
      <c r="H572" t="s">
        <v>331</v>
      </c>
      <c r="I572" t="s">
        <v>21</v>
      </c>
      <c r="J572" t="str">
        <f>IFERROR(VLOOKUP(I572,[1]AUTOS!$C:$G,2,0),"")</f>
        <v/>
      </c>
      <c r="K572" t="str">
        <f>IFERROR(VLOOKUP(I572,[1]AUTOS!$C:$G,3,0),"")</f>
        <v/>
      </c>
      <c r="L572" t="str">
        <f>IFERROR(VLOOKUP(I572,[1]AUTOS!$C:$G,4,0),"")</f>
        <v/>
      </c>
      <c r="M572" t="s">
        <v>22</v>
      </c>
      <c r="P572" s="3">
        <v>-1500</v>
      </c>
    </row>
    <row r="573" spans="1:16" hidden="1" x14ac:dyDescent="0.3">
      <c r="A573">
        <v>30</v>
      </c>
      <c r="B573" t="str">
        <f>VLOOKUP($A573,[1]LISTA!$B:$C,2,0)</f>
        <v>JULIO</v>
      </c>
      <c r="C573" s="1">
        <v>2025</v>
      </c>
      <c r="D573" s="1" t="str">
        <f>IF($A573&lt;=[1]RESULTADOS!$D$6,"YTD","YTG")</f>
        <v>YTD</v>
      </c>
      <c r="E573" t="s">
        <v>31</v>
      </c>
      <c r="F573" t="s">
        <v>18</v>
      </c>
      <c r="G573" t="s">
        <v>57</v>
      </c>
      <c r="H573" t="s">
        <v>368</v>
      </c>
      <c r="I573" t="s">
        <v>333</v>
      </c>
      <c r="J573" t="str">
        <f>IFERROR(VLOOKUP(I573,[1]AUTOS!$C:$G,2,0),"")</f>
        <v>BEAT</v>
      </c>
      <c r="K573">
        <f>IFERROR(VLOOKUP(I573,[1]AUTOS!$C:$G,3,0),"")</f>
        <v>2019</v>
      </c>
      <c r="L573" t="str">
        <f>IFERROR(VLOOKUP(I573,[1]AUTOS!$C:$G,4,0),"")</f>
        <v>OCRE</v>
      </c>
      <c r="M573" t="s">
        <v>43</v>
      </c>
      <c r="P573" s="4">
        <v>-1822</v>
      </c>
    </row>
    <row r="574" spans="1:16" hidden="1" x14ac:dyDescent="0.3">
      <c r="A574">
        <v>30</v>
      </c>
      <c r="B574" t="str">
        <f>VLOOKUP($A574,[1]LISTA!$B:$C,2,0)</f>
        <v>JULIO</v>
      </c>
      <c r="C574" s="1">
        <v>2025</v>
      </c>
      <c r="D574" s="1" t="str">
        <f>IF($A574&lt;=[1]RESULTADOS!$D$6,"YTD","YTG")</f>
        <v>YTD</v>
      </c>
      <c r="E574" t="s">
        <v>31</v>
      </c>
      <c r="F574" t="s">
        <v>18</v>
      </c>
      <c r="G574" t="s">
        <v>57</v>
      </c>
      <c r="H574" t="s">
        <v>369</v>
      </c>
      <c r="I574" t="s">
        <v>333</v>
      </c>
      <c r="J574" t="str">
        <f>IFERROR(VLOOKUP(I574,[1]AUTOS!$C:$G,2,0),"")</f>
        <v>BEAT</v>
      </c>
      <c r="K574">
        <f>IFERROR(VLOOKUP(I574,[1]AUTOS!$C:$G,3,0),"")</f>
        <v>2019</v>
      </c>
      <c r="L574" t="str">
        <f>IFERROR(VLOOKUP(I574,[1]AUTOS!$C:$G,4,0),"")</f>
        <v>OCRE</v>
      </c>
      <c r="M574" t="s">
        <v>43</v>
      </c>
      <c r="P574" s="4">
        <v>-120</v>
      </c>
    </row>
    <row r="575" spans="1:16" hidden="1" x14ac:dyDescent="0.3">
      <c r="A575">
        <v>30</v>
      </c>
      <c r="B575" t="str">
        <f>VLOOKUP($A575,[1]LISTA!$B:$C,2,0)</f>
        <v>JULIO</v>
      </c>
      <c r="C575" s="1">
        <v>2025</v>
      </c>
      <c r="D575" s="1" t="str">
        <f>IF($A575&lt;=[1]RESULTADOS!$D$6,"YTD","YTG")</f>
        <v>YTD</v>
      </c>
      <c r="E575" t="s">
        <v>31</v>
      </c>
      <c r="F575" t="s">
        <v>18</v>
      </c>
      <c r="G575" t="s">
        <v>53</v>
      </c>
      <c r="H575" t="s">
        <v>355</v>
      </c>
      <c r="I575" t="s">
        <v>370</v>
      </c>
      <c r="J575" t="str">
        <f>IFERROR(VLOOKUP(I575,[1]AUTOS!$C:$G,2,0),"")</f>
        <v>KIA RIO</v>
      </c>
      <c r="K575">
        <f>IFERROR(VLOOKUP(I575,[1]AUTOS!$C:$G,3,0),"")</f>
        <v>2020</v>
      </c>
      <c r="L575" t="str">
        <f>IFERROR(VLOOKUP(I575,[1]AUTOS!$C:$G,4,0),"")</f>
        <v>AZUL</v>
      </c>
      <c r="M575" t="s">
        <v>215</v>
      </c>
      <c r="P575" s="4">
        <v>-100</v>
      </c>
    </row>
    <row r="576" spans="1:16" hidden="1" x14ac:dyDescent="0.3">
      <c r="A576">
        <v>31</v>
      </c>
      <c r="B576" t="str">
        <f>VLOOKUP($A576,[1]LISTA!$B:$C,2,0)</f>
        <v>JULIO</v>
      </c>
      <c r="C576" s="1">
        <v>2025</v>
      </c>
      <c r="D576" s="1" t="str">
        <f>IF($A576&lt;=[1]RESULTADOS!$D$6,"YTD","YTG")</f>
        <v>YTD</v>
      </c>
      <c r="E576" t="s">
        <v>31</v>
      </c>
      <c r="F576" t="s">
        <v>18</v>
      </c>
      <c r="G576" t="s">
        <v>87</v>
      </c>
      <c r="H576" t="s">
        <v>335</v>
      </c>
      <c r="I576" t="s">
        <v>102</v>
      </c>
      <c r="J576" t="str">
        <f>IFERROR(VLOOKUP(I576,[1]AUTOS!$C:$G,2,0),"")</f>
        <v>AVEO</v>
      </c>
      <c r="K576">
        <f>IFERROR(VLOOKUP(I576,[1]AUTOS!$C:$G,3,0),"")</f>
        <v>2022</v>
      </c>
      <c r="L576" t="str">
        <f>IFERROR(VLOOKUP(I576,[1]AUTOS!$C:$G,4,0),"")</f>
        <v>AZUL</v>
      </c>
      <c r="M576" t="s">
        <v>43</v>
      </c>
      <c r="P576" s="3">
        <v>-500</v>
      </c>
    </row>
    <row r="577" spans="1:16" hidden="1" x14ac:dyDescent="0.3">
      <c r="A577">
        <v>31</v>
      </c>
      <c r="B577" t="str">
        <f>VLOOKUP($A577,[1]LISTA!$B:$C,2,0)</f>
        <v>JULIO</v>
      </c>
      <c r="C577" s="1">
        <v>2025</v>
      </c>
      <c r="D577" s="1" t="str">
        <f>IF($A577&lt;=[1]RESULTADOS!$D$6,"YTD","YTG")</f>
        <v>YTD</v>
      </c>
      <c r="E577" t="s">
        <v>31</v>
      </c>
      <c r="F577" t="s">
        <v>18</v>
      </c>
      <c r="G577" t="s">
        <v>77</v>
      </c>
      <c r="H577" t="s">
        <v>343</v>
      </c>
      <c r="I577" t="s">
        <v>178</v>
      </c>
      <c r="J577" t="str">
        <f>IFERROR(VLOOKUP(I577,[1]AUTOS!$C:$G,2,0),"")</f>
        <v>VERSA</v>
      </c>
      <c r="K577">
        <f>IFERROR(VLOOKUP(I577,[1]AUTOS!$C:$G,3,0),"")</f>
        <v>2020</v>
      </c>
      <c r="L577" t="str">
        <f>IFERROR(VLOOKUP(I577,[1]AUTOS!$C:$G,4,0),"")</f>
        <v>BLANCO</v>
      </c>
      <c r="M577" t="s">
        <v>43</v>
      </c>
      <c r="P577" s="3">
        <v>-750</v>
      </c>
    </row>
    <row r="578" spans="1:16" hidden="1" x14ac:dyDescent="0.3">
      <c r="A578">
        <v>31</v>
      </c>
      <c r="B578" t="str">
        <f>VLOOKUP($A578,[1]LISTA!$B:$C,2,0)</f>
        <v>JULIO</v>
      </c>
      <c r="C578" s="1">
        <v>2025</v>
      </c>
      <c r="D578" s="1" t="str">
        <f>IF($A578&lt;=[1]RESULTADOS!$D$6,"YTD","YTG")</f>
        <v>YTD</v>
      </c>
      <c r="E578" t="s">
        <v>31</v>
      </c>
      <c r="F578" t="s">
        <v>18</v>
      </c>
      <c r="G578" t="s">
        <v>57</v>
      </c>
      <c r="H578" t="s">
        <v>371</v>
      </c>
      <c r="I578" t="s">
        <v>42</v>
      </c>
      <c r="J578" t="str">
        <f>IFERROR(VLOOKUP(I578,[1]AUTOS!$C:$G,2,0),"")</f>
        <v>VENTO</v>
      </c>
      <c r="K578">
        <f>IFERROR(VLOOKUP(I578,[1]AUTOS!$C:$G,3,0),"")</f>
        <v>2018</v>
      </c>
      <c r="L578" t="str">
        <f>IFERROR(VLOOKUP(I578,[1]AUTOS!$C:$G,4,0),"")</f>
        <v>AMARILLO</v>
      </c>
      <c r="M578" t="s">
        <v>43</v>
      </c>
      <c r="P578" s="3">
        <v>-150</v>
      </c>
    </row>
    <row r="579" spans="1:16" hidden="1" x14ac:dyDescent="0.3">
      <c r="A579">
        <v>31</v>
      </c>
      <c r="B579" t="str">
        <f>VLOOKUP($A579,[1]LISTA!$B:$C,2,0)</f>
        <v>JULIO</v>
      </c>
      <c r="C579" s="1">
        <v>2025</v>
      </c>
      <c r="D579" s="1" t="str">
        <f>IF($A579&lt;=[1]RESULTADOS!$D$6,"YTD","YTG")</f>
        <v>YTD</v>
      </c>
      <c r="E579" t="s">
        <v>31</v>
      </c>
      <c r="F579" t="s">
        <v>18</v>
      </c>
      <c r="G579" t="s">
        <v>87</v>
      </c>
      <c r="H579" t="s">
        <v>166</v>
      </c>
      <c r="I579" t="s">
        <v>42</v>
      </c>
      <c r="J579" t="str">
        <f>IFERROR(VLOOKUP(I579,[1]AUTOS!$C:$G,2,0),"")</f>
        <v>VENTO</v>
      </c>
      <c r="K579">
        <f>IFERROR(VLOOKUP(I579,[1]AUTOS!$C:$G,3,0),"")</f>
        <v>2018</v>
      </c>
      <c r="L579" t="str">
        <f>IFERROR(VLOOKUP(I579,[1]AUTOS!$C:$G,4,0),"")</f>
        <v>AMARILLO</v>
      </c>
      <c r="M579" t="s">
        <v>43</v>
      </c>
      <c r="P579" s="3">
        <v>-120</v>
      </c>
    </row>
    <row r="580" spans="1:16" hidden="1" x14ac:dyDescent="0.3">
      <c r="A580">
        <v>31</v>
      </c>
      <c r="B580" t="str">
        <f>VLOOKUP($A580,[1]LISTA!$B:$C,2,0)</f>
        <v>JULIO</v>
      </c>
      <c r="C580" s="1">
        <v>2025</v>
      </c>
      <c r="D580" s="1" t="str">
        <f>IF($A580&lt;=[1]RESULTADOS!$D$6,"YTD","YTG")</f>
        <v>YTD</v>
      </c>
      <c r="E580" t="s">
        <v>31</v>
      </c>
      <c r="F580" t="s">
        <v>18</v>
      </c>
      <c r="G580" t="s">
        <v>57</v>
      </c>
      <c r="H580" t="s">
        <v>372</v>
      </c>
      <c r="I580" t="s">
        <v>42</v>
      </c>
      <c r="J580" t="str">
        <f>IFERROR(VLOOKUP(I580,[1]AUTOS!$C:$G,2,0),"")</f>
        <v>VENTO</v>
      </c>
      <c r="K580">
        <f>IFERROR(VLOOKUP(I580,[1]AUTOS!$C:$G,3,0),"")</f>
        <v>2018</v>
      </c>
      <c r="L580" t="str">
        <f>IFERROR(VLOOKUP(I580,[1]AUTOS!$C:$G,4,0),"")</f>
        <v>AMARILLO</v>
      </c>
      <c r="M580" t="s">
        <v>43</v>
      </c>
      <c r="P580" s="3">
        <v>-565</v>
      </c>
    </row>
    <row r="581" spans="1:16" hidden="1" x14ac:dyDescent="0.3">
      <c r="A581">
        <v>30</v>
      </c>
      <c r="B581" t="str">
        <f>VLOOKUP($A581,[1]LISTA!$B:$C,2,0)</f>
        <v>JULIO</v>
      </c>
      <c r="C581" s="1">
        <v>2025</v>
      </c>
      <c r="D581" s="1" t="str">
        <f>IF($A581&lt;=[1]RESULTADOS!$D$6,"YTD","YTG")</f>
        <v>YTD</v>
      </c>
      <c r="E581" t="s">
        <v>31</v>
      </c>
      <c r="F581" t="s">
        <v>18</v>
      </c>
      <c r="G581" t="s">
        <v>57</v>
      </c>
      <c r="H581" t="s">
        <v>373</v>
      </c>
      <c r="I581" t="s">
        <v>42</v>
      </c>
      <c r="J581" t="str">
        <f>IFERROR(VLOOKUP(I581,[1]AUTOS!$C:$G,2,0),"")</f>
        <v>VENTO</v>
      </c>
      <c r="K581">
        <f>IFERROR(VLOOKUP(I581,[1]AUTOS!$C:$G,3,0),"")</f>
        <v>2018</v>
      </c>
      <c r="L581" t="str">
        <f>IFERROR(VLOOKUP(I581,[1]AUTOS!$C:$G,4,0),"")</f>
        <v>AMARILLO</v>
      </c>
      <c r="M581" t="s">
        <v>43</v>
      </c>
      <c r="P581" s="3">
        <v>-2088</v>
      </c>
    </row>
    <row r="582" spans="1:16" hidden="1" x14ac:dyDescent="0.3">
      <c r="A582">
        <v>30</v>
      </c>
      <c r="B582" t="str">
        <f>VLOOKUP($A582,[1]LISTA!$B:$C,2,0)</f>
        <v>JULIO</v>
      </c>
      <c r="C582" s="1">
        <v>2025</v>
      </c>
      <c r="D582" s="1" t="str">
        <f>IF($A582&lt;=[1]RESULTADOS!$D$6,"YTD","YTG")</f>
        <v>YTD</v>
      </c>
      <c r="E582" t="s">
        <v>31</v>
      </c>
      <c r="F582" t="s">
        <v>18</v>
      </c>
      <c r="G582" t="s">
        <v>29</v>
      </c>
      <c r="H582" t="s">
        <v>113</v>
      </c>
      <c r="I582" t="s">
        <v>333</v>
      </c>
      <c r="J582" t="str">
        <f>IFERROR(VLOOKUP(I582,[1]AUTOS!$C:$G,2,0),"")</f>
        <v>BEAT</v>
      </c>
      <c r="K582">
        <f>IFERROR(VLOOKUP(I582,[1]AUTOS!$C:$G,3,0),"")</f>
        <v>2019</v>
      </c>
      <c r="L582" t="str">
        <f>IFERROR(VLOOKUP(I582,[1]AUTOS!$C:$G,4,0),"")</f>
        <v>OCRE</v>
      </c>
      <c r="M582" t="s">
        <v>43</v>
      </c>
      <c r="P582" s="4">
        <v>-200</v>
      </c>
    </row>
    <row r="583" spans="1:16" hidden="1" x14ac:dyDescent="0.3">
      <c r="A583">
        <v>30</v>
      </c>
      <c r="B583" t="str">
        <f>VLOOKUP($A583,[1]LISTA!$B:$C,2,0)</f>
        <v>JULIO</v>
      </c>
      <c r="C583" s="1">
        <v>2025</v>
      </c>
      <c r="D583" s="1" t="str">
        <f>IF($A583&lt;=[1]RESULTADOS!$D$6,"YTD","YTG")</f>
        <v>YTD</v>
      </c>
      <c r="E583" t="s">
        <v>31</v>
      </c>
      <c r="F583" t="s">
        <v>18</v>
      </c>
      <c r="G583" t="s">
        <v>53</v>
      </c>
      <c r="H583" t="s">
        <v>355</v>
      </c>
      <c r="I583" t="s">
        <v>333</v>
      </c>
      <c r="J583" t="str">
        <f>IFERROR(VLOOKUP(I583,[1]AUTOS!$C:$G,2,0),"")</f>
        <v>BEAT</v>
      </c>
      <c r="K583">
        <f>IFERROR(VLOOKUP(I583,[1]AUTOS!$C:$G,3,0),"")</f>
        <v>2019</v>
      </c>
      <c r="L583" t="str">
        <f>IFERROR(VLOOKUP(I583,[1]AUTOS!$C:$G,4,0),"")</f>
        <v>OCRE</v>
      </c>
      <c r="M583" t="s">
        <v>43</v>
      </c>
      <c r="P583" s="4">
        <v>-120</v>
      </c>
    </row>
    <row r="584" spans="1:16" hidden="1" x14ac:dyDescent="0.3">
      <c r="A584">
        <v>30</v>
      </c>
      <c r="B584" t="str">
        <f>VLOOKUP($A584,[1]LISTA!$B:$C,2,0)</f>
        <v>JULIO</v>
      </c>
      <c r="C584" s="1">
        <v>2025</v>
      </c>
      <c r="D584" s="1" t="str">
        <f>IF($A584&lt;=[1]RESULTADOS!$D$6,"YTD","YTG")</f>
        <v>YTD</v>
      </c>
      <c r="E584" t="s">
        <v>31</v>
      </c>
      <c r="F584" t="s">
        <v>18</v>
      </c>
      <c r="G584" t="s">
        <v>77</v>
      </c>
      <c r="H584" t="s">
        <v>343</v>
      </c>
      <c r="I584" t="s">
        <v>333</v>
      </c>
      <c r="J584" t="str">
        <f>IFERROR(VLOOKUP(I584,[1]AUTOS!$C:$G,2,0),"")</f>
        <v>BEAT</v>
      </c>
      <c r="K584">
        <f>IFERROR(VLOOKUP(I584,[1]AUTOS!$C:$G,3,0),"")</f>
        <v>2019</v>
      </c>
      <c r="L584" t="str">
        <f>IFERROR(VLOOKUP(I584,[1]AUTOS!$C:$G,4,0),"")</f>
        <v>OCRE</v>
      </c>
      <c r="M584" t="s">
        <v>43</v>
      </c>
      <c r="P584" s="4">
        <v>-720</v>
      </c>
    </row>
    <row r="585" spans="1:16" hidden="1" x14ac:dyDescent="0.3">
      <c r="A585">
        <v>31</v>
      </c>
      <c r="B585" t="str">
        <f>VLOOKUP($A585,[1]LISTA!$B:$C,2,0)</f>
        <v>JULIO</v>
      </c>
      <c r="C585" s="1">
        <v>2025</v>
      </c>
      <c r="D585" s="1" t="str">
        <f>IF($A585&lt;=[1]RESULTADOS!$D$6,"YTD","YTG")</f>
        <v>YTD</v>
      </c>
      <c r="E585" t="s">
        <v>31</v>
      </c>
      <c r="F585" t="s">
        <v>18</v>
      </c>
      <c r="G585" t="s">
        <v>77</v>
      </c>
      <c r="H585" t="s">
        <v>343</v>
      </c>
      <c r="I585" t="s">
        <v>67</v>
      </c>
      <c r="J585" t="str">
        <f>IFERROR(VLOOKUP(I585,[1]AUTOS!$C:$G,2,0),"")</f>
        <v>KIA RIO</v>
      </c>
      <c r="K585">
        <f>IFERROR(VLOOKUP(I585,[1]AUTOS!$C:$G,3,0),"")</f>
        <v>2020</v>
      </c>
      <c r="L585" t="str">
        <f>IFERROR(VLOOKUP(I585,[1]AUTOS!$C:$G,4,0),"")</f>
        <v>GRIS</v>
      </c>
      <c r="M585" t="s">
        <v>43</v>
      </c>
      <c r="P585" s="3">
        <v>-720</v>
      </c>
    </row>
    <row r="586" spans="1:16" hidden="1" x14ac:dyDescent="0.3">
      <c r="A586">
        <v>31</v>
      </c>
      <c r="B586" t="str">
        <f>VLOOKUP($A586,[1]LISTA!$B:$C,2,0)</f>
        <v>JULIO</v>
      </c>
      <c r="C586" s="1">
        <v>2025</v>
      </c>
      <c r="D586" s="1" t="str">
        <f>IF($A586&lt;=[1]RESULTADOS!$D$6,"YTD","YTG")</f>
        <v>YTD</v>
      </c>
      <c r="E586" t="s">
        <v>31</v>
      </c>
      <c r="F586" t="s">
        <v>18</v>
      </c>
      <c r="G586" t="s">
        <v>77</v>
      </c>
      <c r="H586" t="s">
        <v>343</v>
      </c>
      <c r="I586" t="s">
        <v>102</v>
      </c>
      <c r="J586" t="str">
        <f>IFERROR(VLOOKUP(I586,[1]AUTOS!$C:$G,2,0),"")</f>
        <v>AVEO</v>
      </c>
      <c r="K586">
        <f>IFERROR(VLOOKUP(I586,[1]AUTOS!$C:$G,3,0),"")</f>
        <v>2022</v>
      </c>
      <c r="L586" t="str">
        <f>IFERROR(VLOOKUP(I586,[1]AUTOS!$C:$G,4,0),"")</f>
        <v>AZUL</v>
      </c>
      <c r="M586" t="s">
        <v>43</v>
      </c>
      <c r="P586" s="3">
        <v>-720</v>
      </c>
    </row>
    <row r="587" spans="1:16" hidden="1" x14ac:dyDescent="0.3">
      <c r="A587">
        <v>31</v>
      </c>
      <c r="B587" t="str">
        <f>VLOOKUP($A587,[1]LISTA!$B:$C,2,0)</f>
        <v>JULIO</v>
      </c>
      <c r="C587" s="1">
        <v>2025</v>
      </c>
      <c r="D587" s="1" t="str">
        <f>IF($A587&lt;=[1]RESULTADOS!$D$6,"YTD","YTG")</f>
        <v>YTD</v>
      </c>
      <c r="E587" t="s">
        <v>31</v>
      </c>
      <c r="F587" t="s">
        <v>18</v>
      </c>
      <c r="G587" t="s">
        <v>57</v>
      </c>
      <c r="H587" t="s">
        <v>374</v>
      </c>
      <c r="I587" t="s">
        <v>333</v>
      </c>
      <c r="J587" t="str">
        <f>IFERROR(VLOOKUP(I587,[1]AUTOS!$C:$G,2,0),"")</f>
        <v>BEAT</v>
      </c>
      <c r="K587">
        <f>IFERROR(VLOOKUP(I587,[1]AUTOS!$C:$G,3,0),"")</f>
        <v>2019</v>
      </c>
      <c r="L587" t="str">
        <f>IFERROR(VLOOKUP(I587,[1]AUTOS!$C:$G,4,0),"")</f>
        <v>OCRE</v>
      </c>
      <c r="M587" t="s">
        <v>43</v>
      </c>
      <c r="P587" s="3">
        <v>-600</v>
      </c>
    </row>
    <row r="588" spans="1:16" hidden="1" x14ac:dyDescent="0.3">
      <c r="A588">
        <v>31</v>
      </c>
      <c r="B588" t="str">
        <f>VLOOKUP($A588,[1]LISTA!$B:$C,2,0)</f>
        <v>JULIO</v>
      </c>
      <c r="C588" s="1">
        <v>2025</v>
      </c>
      <c r="D588" s="1" t="str">
        <f>IF($A588&lt;=[1]RESULTADOS!$D$6,"YTD","YTG")</f>
        <v>YTD</v>
      </c>
      <c r="E588" t="s">
        <v>31</v>
      </c>
      <c r="F588" t="s">
        <v>18</v>
      </c>
      <c r="G588" t="s">
        <v>153</v>
      </c>
      <c r="H588" t="s">
        <v>375</v>
      </c>
      <c r="I588" t="s">
        <v>51</v>
      </c>
      <c r="J588" t="str">
        <f>IFERROR(VLOOKUP(I588,[1]AUTOS!$C:$G,2,0),"")</f>
        <v>VENTO</v>
      </c>
      <c r="K588">
        <f>IFERROR(VLOOKUP(I588,[1]AUTOS!$C:$G,3,0),"")</f>
        <v>2017</v>
      </c>
      <c r="L588" t="str">
        <f>IFERROR(VLOOKUP(I588,[1]AUTOS!$C:$G,4,0),"")</f>
        <v>GRIS</v>
      </c>
      <c r="M588" t="s">
        <v>22</v>
      </c>
      <c r="P588" s="3">
        <f>-470+150</f>
        <v>-320</v>
      </c>
    </row>
    <row r="589" spans="1:16" hidden="1" x14ac:dyDescent="0.3">
      <c r="A589">
        <v>31</v>
      </c>
      <c r="B589" t="str">
        <f>VLOOKUP($A589,[1]LISTA!$B:$C,2,0)</f>
        <v>JULIO</v>
      </c>
      <c r="C589" s="1">
        <v>2025</v>
      </c>
      <c r="D589" s="1" t="str">
        <f>IF($A589&lt;=[1]RESULTADOS!$D$6,"YTD","YTG")</f>
        <v>YTD</v>
      </c>
      <c r="E589" t="s">
        <v>31</v>
      </c>
      <c r="F589" t="s">
        <v>18</v>
      </c>
      <c r="G589" t="s">
        <v>57</v>
      </c>
      <c r="H589" t="s">
        <v>184</v>
      </c>
      <c r="I589" t="s">
        <v>51</v>
      </c>
      <c r="J589" t="str">
        <f>IFERROR(VLOOKUP(I589,[1]AUTOS!$C:$G,2,0),"")</f>
        <v>VENTO</v>
      </c>
      <c r="K589">
        <f>IFERROR(VLOOKUP(I589,[1]AUTOS!$C:$G,3,0),"")</f>
        <v>2017</v>
      </c>
      <c r="L589" t="str">
        <f>IFERROR(VLOOKUP(I589,[1]AUTOS!$C:$G,4,0),"")</f>
        <v>GRIS</v>
      </c>
      <c r="M589" t="s">
        <v>22</v>
      </c>
      <c r="P589" s="3">
        <v>-150</v>
      </c>
    </row>
    <row r="590" spans="1:16" hidden="1" x14ac:dyDescent="0.3">
      <c r="A590">
        <v>31</v>
      </c>
      <c r="B590" t="str">
        <f>VLOOKUP($A590,[1]LISTA!$B:$C,2,0)</f>
        <v>JULIO</v>
      </c>
      <c r="C590" s="1">
        <v>2025</v>
      </c>
      <c r="D590" s="1" t="str">
        <f>IF($A590&lt;=[1]RESULTADOS!$D$6,"YTD","YTG")</f>
        <v>YTD</v>
      </c>
      <c r="E590" t="s">
        <v>31</v>
      </c>
      <c r="F590" t="s">
        <v>18</v>
      </c>
      <c r="G590" t="s">
        <v>48</v>
      </c>
      <c r="H590" t="s">
        <v>376</v>
      </c>
      <c r="I590" t="s">
        <v>51</v>
      </c>
      <c r="J590" t="str">
        <f>IFERROR(VLOOKUP(I590,[1]AUTOS!$C:$G,2,0),"")</f>
        <v>VENTO</v>
      </c>
      <c r="K590">
        <f>IFERROR(VLOOKUP(I590,[1]AUTOS!$C:$G,3,0),"")</f>
        <v>2017</v>
      </c>
      <c r="L590" t="str">
        <f>IFERROR(VLOOKUP(I590,[1]AUTOS!$C:$G,4,0),"")</f>
        <v>GRIS</v>
      </c>
      <c r="M590" t="s">
        <v>22</v>
      </c>
      <c r="P590" s="3">
        <v>-480</v>
      </c>
    </row>
    <row r="591" spans="1:16" hidden="1" x14ac:dyDescent="0.3">
      <c r="A591">
        <v>31</v>
      </c>
      <c r="B591" t="str">
        <f>VLOOKUP($A591,[1]LISTA!$B:$C,2,0)</f>
        <v>JULIO</v>
      </c>
      <c r="C591" s="1">
        <v>2025</v>
      </c>
      <c r="D591" s="1" t="str">
        <f>IF($A591&lt;=[1]RESULTADOS!$D$6,"YTD","YTG")</f>
        <v>YTD</v>
      </c>
      <c r="E591" t="s">
        <v>31</v>
      </c>
      <c r="F591" t="s">
        <v>18</v>
      </c>
      <c r="G591" t="s">
        <v>32</v>
      </c>
      <c r="H591" t="s">
        <v>229</v>
      </c>
      <c r="I591" t="s">
        <v>51</v>
      </c>
      <c r="J591" t="str">
        <f>IFERROR(VLOOKUP(I591,[1]AUTOS!$C:$G,2,0),"")</f>
        <v>VENTO</v>
      </c>
      <c r="K591">
        <f>IFERROR(VLOOKUP(I591,[1]AUTOS!$C:$G,3,0),"")</f>
        <v>2017</v>
      </c>
      <c r="L591" t="str">
        <f>IFERROR(VLOOKUP(I591,[1]AUTOS!$C:$G,4,0),"")</f>
        <v>GRIS</v>
      </c>
      <c r="M591" t="s">
        <v>22</v>
      </c>
      <c r="P591" s="3">
        <v>-160</v>
      </c>
    </row>
    <row r="592" spans="1:16" hidden="1" x14ac:dyDescent="0.3">
      <c r="A592">
        <v>33</v>
      </c>
      <c r="B592" t="str">
        <f>VLOOKUP($A592,[1]LISTA!$B:$C,2,0)</f>
        <v>AGOSTO</v>
      </c>
      <c r="C592" s="1">
        <v>2025</v>
      </c>
      <c r="D592" s="1" t="str">
        <f>IF($A592&lt;=[1]RESULTADOS!$D$6,"YTD","YTG")</f>
        <v>YTD</v>
      </c>
      <c r="E592" t="s">
        <v>377</v>
      </c>
      <c r="F592" t="s">
        <v>18</v>
      </c>
      <c r="G592" t="s">
        <v>153</v>
      </c>
      <c r="H592" t="s">
        <v>155</v>
      </c>
      <c r="I592" t="s">
        <v>51</v>
      </c>
      <c r="J592" t="str">
        <f>IFERROR(VLOOKUP(I592,[1]AUTOS!$C:$G,2,0),"")</f>
        <v>VENTO</v>
      </c>
      <c r="K592">
        <f>IFERROR(VLOOKUP(I592,[1]AUTOS!$C:$G,3,0),"")</f>
        <v>2017</v>
      </c>
      <c r="L592" t="str">
        <f>IFERROR(VLOOKUP(I592,[1]AUTOS!$C:$G,4,0),"")</f>
        <v>GRIS</v>
      </c>
      <c r="M592" t="s">
        <v>22</v>
      </c>
      <c r="P592" s="3">
        <v>-350</v>
      </c>
    </row>
    <row r="593" spans="1:16" hidden="1" x14ac:dyDescent="0.3">
      <c r="A593">
        <v>33</v>
      </c>
      <c r="B593" t="str">
        <f>VLOOKUP($A593,[1]LISTA!$B:$C,2,0)</f>
        <v>AGOSTO</v>
      </c>
      <c r="C593" s="1">
        <v>2025</v>
      </c>
      <c r="D593" s="1" t="str">
        <f>IF($A593&lt;=[1]RESULTADOS!$D$6,"YTD","YTG")</f>
        <v>YTD</v>
      </c>
      <c r="E593" t="s">
        <v>377</v>
      </c>
      <c r="F593" t="s">
        <v>18</v>
      </c>
      <c r="G593" t="s">
        <v>57</v>
      </c>
      <c r="H593" t="s">
        <v>378</v>
      </c>
      <c r="I593" t="s">
        <v>51</v>
      </c>
      <c r="J593" t="str">
        <f>IFERROR(VLOOKUP(I593,[1]AUTOS!$C:$G,2,0),"")</f>
        <v>VENTO</v>
      </c>
      <c r="K593">
        <f>IFERROR(VLOOKUP(I593,[1]AUTOS!$C:$G,3,0),"")</f>
        <v>2017</v>
      </c>
      <c r="L593" t="str">
        <f>IFERROR(VLOOKUP(I593,[1]AUTOS!$C:$G,4,0),"")</f>
        <v>GRIS</v>
      </c>
      <c r="M593" t="s">
        <v>22</v>
      </c>
      <c r="P593" s="3">
        <v>-120</v>
      </c>
    </row>
    <row r="594" spans="1:16" hidden="1" x14ac:dyDescent="0.3">
      <c r="A594">
        <v>33</v>
      </c>
      <c r="B594" t="str">
        <f>VLOOKUP($A594,[1]LISTA!$B:$C,2,0)</f>
        <v>AGOSTO</v>
      </c>
      <c r="C594" s="1">
        <v>2025</v>
      </c>
      <c r="D594" s="1" t="str">
        <f>IF($A594&lt;=[1]RESULTADOS!$D$6,"YTD","YTG")</f>
        <v>YTD</v>
      </c>
      <c r="E594" t="s">
        <v>377</v>
      </c>
      <c r="F594" t="s">
        <v>18</v>
      </c>
      <c r="G594" t="s">
        <v>48</v>
      </c>
      <c r="H594" t="s">
        <v>379</v>
      </c>
      <c r="I594" t="s">
        <v>51</v>
      </c>
      <c r="J594" t="str">
        <f>IFERROR(VLOOKUP(I594,[1]AUTOS!$C:$G,2,0),"")</f>
        <v>VENTO</v>
      </c>
      <c r="K594">
        <f>IFERROR(VLOOKUP(I594,[1]AUTOS!$C:$G,3,0),"")</f>
        <v>2017</v>
      </c>
      <c r="L594" t="str">
        <f>IFERROR(VLOOKUP(I594,[1]AUTOS!$C:$G,4,0),"")</f>
        <v>GRIS</v>
      </c>
      <c r="M594" t="s">
        <v>22</v>
      </c>
      <c r="P594" s="3">
        <v>-400</v>
      </c>
    </row>
    <row r="595" spans="1:16" hidden="1" x14ac:dyDescent="0.3">
      <c r="A595">
        <v>33</v>
      </c>
      <c r="B595" t="str">
        <f>VLOOKUP($A595,[1]LISTA!$B:$C,2,0)</f>
        <v>AGOSTO</v>
      </c>
      <c r="C595" s="1">
        <v>2025</v>
      </c>
      <c r="D595" s="1" t="str">
        <f>IF($A595&lt;=[1]RESULTADOS!$D$6,"YTD","YTG")</f>
        <v>YTD</v>
      </c>
      <c r="E595" t="s">
        <v>377</v>
      </c>
      <c r="F595" t="s">
        <v>18</v>
      </c>
      <c r="G595" t="s">
        <v>48</v>
      </c>
      <c r="H595" t="s">
        <v>380</v>
      </c>
      <c r="I595" t="s">
        <v>51</v>
      </c>
      <c r="J595" t="str">
        <f>IFERROR(VLOOKUP(I595,[1]AUTOS!$C:$G,2,0),"")</f>
        <v>VENTO</v>
      </c>
      <c r="K595">
        <f>IFERROR(VLOOKUP(I595,[1]AUTOS!$C:$G,3,0),"")</f>
        <v>2017</v>
      </c>
      <c r="L595" t="str">
        <f>IFERROR(VLOOKUP(I595,[1]AUTOS!$C:$G,4,0),"")</f>
        <v>GRIS</v>
      </c>
      <c r="M595" t="s">
        <v>22</v>
      </c>
      <c r="P595" s="3">
        <v>-160</v>
      </c>
    </row>
    <row r="596" spans="1:16" hidden="1" x14ac:dyDescent="0.3">
      <c r="A596">
        <v>33</v>
      </c>
      <c r="B596" t="str">
        <f>VLOOKUP($A596,[1]LISTA!$B:$C,2,0)</f>
        <v>AGOSTO</v>
      </c>
      <c r="C596" s="1">
        <v>2025</v>
      </c>
      <c r="D596" s="1" t="str">
        <f>IF($A596&lt;=[1]RESULTADOS!$D$6,"YTD","YTG")</f>
        <v>YTD</v>
      </c>
      <c r="E596" t="s">
        <v>17</v>
      </c>
      <c r="F596" t="s">
        <v>18</v>
      </c>
      <c r="G596" t="s">
        <v>23</v>
      </c>
      <c r="H596" t="s">
        <v>381</v>
      </c>
      <c r="I596" t="s">
        <v>21</v>
      </c>
      <c r="J596" t="str">
        <f>IFERROR(VLOOKUP(I596,[1]AUTOS!$C:$G,2,0),"")</f>
        <v/>
      </c>
      <c r="K596" t="str">
        <f>IFERROR(VLOOKUP(I596,[1]AUTOS!$C:$G,3,0),"")</f>
        <v/>
      </c>
      <c r="L596" t="str">
        <f>IFERROR(VLOOKUP(I596,[1]AUTOS!$C:$G,4,0),"")</f>
        <v/>
      </c>
      <c r="M596" t="s">
        <v>22</v>
      </c>
      <c r="P596" s="3">
        <v>-90</v>
      </c>
    </row>
    <row r="597" spans="1:16" hidden="1" x14ac:dyDescent="0.3">
      <c r="A597">
        <v>33</v>
      </c>
      <c r="B597" t="str">
        <f>VLOOKUP($A597,[1]LISTA!$B:$C,2,0)</f>
        <v>AGOSTO</v>
      </c>
      <c r="C597" s="1">
        <v>2025</v>
      </c>
      <c r="D597" s="1" t="str">
        <f>IF($A597&lt;=[1]RESULTADOS!$D$6,"YTD","YTG")</f>
        <v>YTD</v>
      </c>
      <c r="E597" t="s">
        <v>17</v>
      </c>
      <c r="F597" t="s">
        <v>18</v>
      </c>
      <c r="G597" t="s">
        <v>115</v>
      </c>
      <c r="H597" t="s">
        <v>382</v>
      </c>
      <c r="I597" t="s">
        <v>383</v>
      </c>
      <c r="J597" t="str">
        <f>IFERROR(VLOOKUP(I597,[1]AUTOS!$C:$G,2,0),"")</f>
        <v>VENTO</v>
      </c>
      <c r="K597">
        <f>IFERROR(VLOOKUP(I597,[1]AUTOS!$C:$G,3,0),"")</f>
        <v>2020</v>
      </c>
      <c r="L597" t="str">
        <f>IFERROR(VLOOKUP(I597,[1]AUTOS!$C:$G,4,0),"")</f>
        <v>GRIS</v>
      </c>
      <c r="M597" t="s">
        <v>215</v>
      </c>
      <c r="P597" s="3">
        <v>-130</v>
      </c>
    </row>
    <row r="598" spans="1:16" hidden="1" x14ac:dyDescent="0.3">
      <c r="A598">
        <v>33</v>
      </c>
      <c r="B598" t="str">
        <f>VLOOKUP($A598,[1]LISTA!$B:$C,2,0)</f>
        <v>AGOSTO</v>
      </c>
      <c r="C598" s="1">
        <v>2025</v>
      </c>
      <c r="D598" s="1" t="str">
        <f>IF($A598&lt;=[1]RESULTADOS!$D$6,"YTD","YTG")</f>
        <v>YTD</v>
      </c>
      <c r="E598" t="s">
        <v>17</v>
      </c>
      <c r="F598" t="s">
        <v>18</v>
      </c>
      <c r="G598" t="s">
        <v>115</v>
      </c>
      <c r="H598" t="s">
        <v>382</v>
      </c>
      <c r="I598" t="s">
        <v>384</v>
      </c>
      <c r="J598" t="str">
        <f>IFERROR(VLOOKUP(I598,[1]AUTOS!$C:$G,2,0),"")</f>
        <v>MARCH</v>
      </c>
      <c r="K598">
        <f>IFERROR(VLOOKUP(I598,[1]AUTOS!$C:$G,3,0),"")</f>
        <v>2022</v>
      </c>
      <c r="L598" t="str">
        <f>IFERROR(VLOOKUP(I598,[1]AUTOS!$C:$G,4,0),"")</f>
        <v>BLANCO</v>
      </c>
      <c r="M598" t="s">
        <v>215</v>
      </c>
      <c r="P598" s="3">
        <v>-130</v>
      </c>
    </row>
    <row r="599" spans="1:16" hidden="1" x14ac:dyDescent="0.3">
      <c r="A599">
        <v>33</v>
      </c>
      <c r="B599" t="str">
        <f>VLOOKUP($A599,[1]LISTA!$B:$C,2,0)</f>
        <v>AGOSTO</v>
      </c>
      <c r="C599" s="1">
        <v>2025</v>
      </c>
      <c r="D599" s="1" t="str">
        <f>IF($A599&lt;=[1]RESULTADOS!$D$6,"YTD","YTG")</f>
        <v>YTD</v>
      </c>
      <c r="E599" t="s">
        <v>17</v>
      </c>
      <c r="F599" t="s">
        <v>18</v>
      </c>
      <c r="G599" t="s">
        <v>115</v>
      </c>
      <c r="H599" t="s">
        <v>382</v>
      </c>
      <c r="I599" t="s">
        <v>383</v>
      </c>
      <c r="J599" t="str">
        <f>IFERROR(VLOOKUP(I599,[1]AUTOS!$C:$G,2,0),"")</f>
        <v>VENTO</v>
      </c>
      <c r="K599">
        <f>IFERROR(VLOOKUP(I599,[1]AUTOS!$C:$G,3,0),"")</f>
        <v>2020</v>
      </c>
      <c r="L599" t="str">
        <f>IFERROR(VLOOKUP(I599,[1]AUTOS!$C:$G,4,0),"")</f>
        <v>GRIS</v>
      </c>
      <c r="M599" t="s">
        <v>215</v>
      </c>
      <c r="P599" s="3">
        <v>-130</v>
      </c>
    </row>
    <row r="600" spans="1:16" hidden="1" x14ac:dyDescent="0.3">
      <c r="A600">
        <v>33</v>
      </c>
      <c r="B600" t="str">
        <f>VLOOKUP($A600,[1]LISTA!$B:$C,2,0)</f>
        <v>AGOSTO</v>
      </c>
      <c r="C600" s="1">
        <v>2025</v>
      </c>
      <c r="D600" s="1" t="str">
        <f>IF($A600&lt;=[1]RESULTADOS!$D$6,"YTD","YTG")</f>
        <v>YTD</v>
      </c>
      <c r="E600" t="s">
        <v>17</v>
      </c>
      <c r="F600" t="s">
        <v>18</v>
      </c>
      <c r="G600" t="s">
        <v>176</v>
      </c>
      <c r="H600" t="s">
        <v>385</v>
      </c>
      <c r="I600" t="s">
        <v>384</v>
      </c>
      <c r="J600" t="str">
        <f>IFERROR(VLOOKUP(I600,[1]AUTOS!$C:$G,2,0),"")</f>
        <v>MARCH</v>
      </c>
      <c r="K600">
        <f>IFERROR(VLOOKUP(I600,[1]AUTOS!$C:$G,3,0),"")</f>
        <v>2022</v>
      </c>
      <c r="L600" t="str">
        <f>IFERROR(VLOOKUP(I600,[1]AUTOS!$C:$G,4,0),"")</f>
        <v>BLANCO</v>
      </c>
      <c r="M600" t="s">
        <v>215</v>
      </c>
      <c r="P600" s="3">
        <v>-300</v>
      </c>
    </row>
    <row r="601" spans="1:16" hidden="1" x14ac:dyDescent="0.3">
      <c r="A601">
        <v>33</v>
      </c>
      <c r="B601" t="str">
        <f>VLOOKUP($A601,[1]LISTA!$B:$C,2,0)</f>
        <v>AGOSTO</v>
      </c>
      <c r="C601" s="1">
        <v>2025</v>
      </c>
      <c r="D601" s="1" t="str">
        <f>IF($A601&lt;=[1]RESULTADOS!$D$6,"YTD","YTG")</f>
        <v>YTD</v>
      </c>
      <c r="E601" t="s">
        <v>17</v>
      </c>
      <c r="F601" t="s">
        <v>18</v>
      </c>
      <c r="G601" t="s">
        <v>87</v>
      </c>
      <c r="H601" t="s">
        <v>386</v>
      </c>
      <c r="I601" t="s">
        <v>384</v>
      </c>
      <c r="J601" t="str">
        <f>IFERROR(VLOOKUP(I601,[1]AUTOS!$C:$G,2,0),"")</f>
        <v>MARCH</v>
      </c>
      <c r="K601">
        <f>IFERROR(VLOOKUP(I601,[1]AUTOS!$C:$G,3,0),"")</f>
        <v>2022</v>
      </c>
      <c r="L601" t="str">
        <f>IFERROR(VLOOKUP(I601,[1]AUTOS!$C:$G,4,0),"")</f>
        <v>BLANCO</v>
      </c>
      <c r="M601" t="s">
        <v>215</v>
      </c>
      <c r="P601" s="3">
        <v>-170</v>
      </c>
    </row>
    <row r="602" spans="1:16" hidden="1" x14ac:dyDescent="0.3">
      <c r="A602">
        <v>33</v>
      </c>
      <c r="B602" t="str">
        <f>VLOOKUP($A602,[1]LISTA!$B:$C,2,0)</f>
        <v>AGOSTO</v>
      </c>
      <c r="C602" s="1">
        <v>2025</v>
      </c>
      <c r="D602" s="1" t="str">
        <f>IF($A602&lt;=[1]RESULTADOS!$D$6,"YTD","YTG")</f>
        <v>YTD</v>
      </c>
      <c r="E602" t="s">
        <v>17</v>
      </c>
      <c r="F602" t="s">
        <v>18</v>
      </c>
      <c r="G602" t="s">
        <v>64</v>
      </c>
      <c r="H602" t="s">
        <v>387</v>
      </c>
      <c r="I602" t="s">
        <v>384</v>
      </c>
      <c r="J602" t="str">
        <f>IFERROR(VLOOKUP(I602,[1]AUTOS!$C:$G,2,0),"")</f>
        <v>MARCH</v>
      </c>
      <c r="K602">
        <f>IFERROR(VLOOKUP(I602,[1]AUTOS!$C:$G,3,0),"")</f>
        <v>2022</v>
      </c>
      <c r="L602" t="str">
        <f>IFERROR(VLOOKUP(I602,[1]AUTOS!$C:$G,4,0),"")</f>
        <v>BLANCO</v>
      </c>
      <c r="M602" t="s">
        <v>215</v>
      </c>
      <c r="P602" s="3">
        <v>-350</v>
      </c>
    </row>
    <row r="603" spans="1:16" hidden="1" x14ac:dyDescent="0.3">
      <c r="A603">
        <v>33</v>
      </c>
      <c r="B603" t="str">
        <f>VLOOKUP($A603,[1]LISTA!$B:$C,2,0)</f>
        <v>AGOSTO</v>
      </c>
      <c r="C603" s="1">
        <v>2025</v>
      </c>
      <c r="D603" s="1" t="str">
        <f>IF($A603&lt;=[1]RESULTADOS!$D$6,"YTD","YTG")</f>
        <v>YTD</v>
      </c>
      <c r="E603" t="s">
        <v>17</v>
      </c>
      <c r="F603" t="s">
        <v>18</v>
      </c>
      <c r="G603" t="s">
        <v>29</v>
      </c>
      <c r="H603" t="s">
        <v>388</v>
      </c>
      <c r="I603" t="s">
        <v>384</v>
      </c>
      <c r="J603" t="str">
        <f>IFERROR(VLOOKUP(I603,[1]AUTOS!$C:$G,2,0),"")</f>
        <v>MARCH</v>
      </c>
      <c r="K603">
        <f>IFERROR(VLOOKUP(I603,[1]AUTOS!$C:$G,3,0),"")</f>
        <v>2022</v>
      </c>
      <c r="L603" t="str">
        <f>IFERROR(VLOOKUP(I603,[1]AUTOS!$C:$G,4,0),"")</f>
        <v>BLANCO</v>
      </c>
      <c r="M603" t="s">
        <v>215</v>
      </c>
      <c r="P603" s="3">
        <v>-200</v>
      </c>
    </row>
    <row r="604" spans="1:16" hidden="1" x14ac:dyDescent="0.3">
      <c r="A604">
        <v>33</v>
      </c>
      <c r="B604" t="str">
        <f>VLOOKUP($A604,[1]LISTA!$B:$C,2,0)</f>
        <v>AGOSTO</v>
      </c>
      <c r="C604" s="1">
        <v>2025</v>
      </c>
      <c r="D604" s="1" t="str">
        <f>IF($A604&lt;=[1]RESULTADOS!$D$6,"YTD","YTG")</f>
        <v>YTD</v>
      </c>
      <c r="E604" t="s">
        <v>17</v>
      </c>
      <c r="F604" t="s">
        <v>18</v>
      </c>
      <c r="G604" t="s">
        <v>29</v>
      </c>
      <c r="H604" t="s">
        <v>389</v>
      </c>
      <c r="I604" t="s">
        <v>383</v>
      </c>
      <c r="J604" t="str">
        <f>IFERROR(VLOOKUP(I604,[1]AUTOS!$C:$G,2,0),"")</f>
        <v>VENTO</v>
      </c>
      <c r="K604">
        <f>IFERROR(VLOOKUP(I604,[1]AUTOS!$C:$G,3,0),"")</f>
        <v>2020</v>
      </c>
      <c r="L604" t="str">
        <f>IFERROR(VLOOKUP(I604,[1]AUTOS!$C:$G,4,0),"")</f>
        <v>GRIS</v>
      </c>
      <c r="M604" t="s">
        <v>215</v>
      </c>
      <c r="P604" s="3">
        <v>-300</v>
      </c>
    </row>
    <row r="605" spans="1:16" hidden="1" x14ac:dyDescent="0.3">
      <c r="A605">
        <v>33</v>
      </c>
      <c r="B605" t="str">
        <f>VLOOKUP($A605,[1]LISTA!$B:$C,2,0)</f>
        <v>AGOSTO</v>
      </c>
      <c r="C605" s="1">
        <v>2025</v>
      </c>
      <c r="D605" s="1" t="str">
        <f>IF($A605&lt;=[1]RESULTADOS!$D$6,"YTD","YTG")</f>
        <v>YTD</v>
      </c>
      <c r="E605" t="s">
        <v>17</v>
      </c>
      <c r="F605" t="s">
        <v>18</v>
      </c>
      <c r="G605" t="s">
        <v>115</v>
      </c>
      <c r="H605" t="s">
        <v>390</v>
      </c>
      <c r="I605" t="s">
        <v>79</v>
      </c>
      <c r="J605" t="str">
        <f>IFERROR(VLOOKUP(I605,[1]AUTOS!$C:$G,2,0),"")</f>
        <v>AVEO</v>
      </c>
      <c r="K605">
        <f>IFERROR(VLOOKUP(I605,[1]AUTOS!$C:$G,3,0),"")</f>
        <v>2021</v>
      </c>
      <c r="L605" t="str">
        <f>IFERROR(VLOOKUP(I605,[1]AUTOS!$C:$G,4,0),"")</f>
        <v>OCRE</v>
      </c>
      <c r="M605" t="s">
        <v>43</v>
      </c>
      <c r="P605" s="3">
        <v>-1008</v>
      </c>
    </row>
    <row r="606" spans="1:16" hidden="1" x14ac:dyDescent="0.3">
      <c r="A606">
        <v>33</v>
      </c>
      <c r="B606" t="str">
        <f>VLOOKUP($A606,[1]LISTA!$B:$C,2,0)</f>
        <v>AGOSTO</v>
      </c>
      <c r="C606" s="1">
        <v>2025</v>
      </c>
      <c r="D606" s="1" t="str">
        <f>IF($A606&lt;=[1]RESULTADOS!$D$6,"YTD","YTG")</f>
        <v>YTD</v>
      </c>
      <c r="E606" t="s">
        <v>17</v>
      </c>
      <c r="F606" t="s">
        <v>18</v>
      </c>
      <c r="G606" t="s">
        <v>80</v>
      </c>
      <c r="H606" t="s">
        <v>391</v>
      </c>
      <c r="I606" t="s">
        <v>178</v>
      </c>
      <c r="J606" t="str">
        <f>IFERROR(VLOOKUP(I606,[1]AUTOS!$C:$G,2,0),"")</f>
        <v>VERSA</v>
      </c>
      <c r="K606">
        <f>IFERROR(VLOOKUP(I606,[1]AUTOS!$C:$G,3,0),"")</f>
        <v>2020</v>
      </c>
      <c r="L606" t="str">
        <f>IFERROR(VLOOKUP(I606,[1]AUTOS!$C:$G,4,0),"")</f>
        <v>BLANCO</v>
      </c>
      <c r="M606" t="s">
        <v>43</v>
      </c>
      <c r="P606" s="3">
        <v>-4601</v>
      </c>
    </row>
    <row r="607" spans="1:16" hidden="1" x14ac:dyDescent="0.3">
      <c r="A607">
        <v>33</v>
      </c>
      <c r="B607" t="str">
        <f>VLOOKUP($A607,[1]LISTA!$B:$C,2,0)</f>
        <v>AGOSTO</v>
      </c>
      <c r="C607" s="1">
        <v>2025</v>
      </c>
      <c r="D607" s="1" t="str">
        <f>IF($A607&lt;=[1]RESULTADOS!$D$6,"YTD","YTG")</f>
        <v>YTD</v>
      </c>
      <c r="E607" t="s">
        <v>17</v>
      </c>
      <c r="F607" t="s">
        <v>18</v>
      </c>
      <c r="G607" t="s">
        <v>77</v>
      </c>
      <c r="H607" t="s">
        <v>392</v>
      </c>
      <c r="I607" t="s">
        <v>178</v>
      </c>
      <c r="J607" t="str">
        <f>IFERROR(VLOOKUP(I607,[1]AUTOS!$C:$G,2,0),"")</f>
        <v>VERSA</v>
      </c>
      <c r="K607">
        <f>IFERROR(VLOOKUP(I607,[1]AUTOS!$C:$G,3,0),"")</f>
        <v>2020</v>
      </c>
      <c r="L607" t="str">
        <f>IFERROR(VLOOKUP(I607,[1]AUTOS!$C:$G,4,0),"")</f>
        <v>BLANCO</v>
      </c>
      <c r="M607" t="s">
        <v>43</v>
      </c>
      <c r="P607" s="3">
        <v>-740</v>
      </c>
    </row>
    <row r="608" spans="1:16" hidden="1" x14ac:dyDescent="0.3">
      <c r="A608">
        <v>33</v>
      </c>
      <c r="B608" t="str">
        <f>VLOOKUP($A608,[1]LISTA!$B:$C,2,0)</f>
        <v>AGOSTO</v>
      </c>
      <c r="C608" s="1">
        <v>2025</v>
      </c>
      <c r="D608" s="1" t="str">
        <f>IF($A608&lt;=[1]RESULTADOS!$D$6,"YTD","YTG")</f>
        <v>YTD</v>
      </c>
      <c r="E608" t="s">
        <v>377</v>
      </c>
      <c r="F608" t="s">
        <v>18</v>
      </c>
      <c r="G608" t="s">
        <v>57</v>
      </c>
      <c r="H608" t="s">
        <v>393</v>
      </c>
      <c r="I608" t="s">
        <v>51</v>
      </c>
      <c r="J608" t="str">
        <f>IFERROR(VLOOKUP(I608,[1]AUTOS!$C:$G,2,0),"")</f>
        <v>VENTO</v>
      </c>
      <c r="K608">
        <f>IFERROR(VLOOKUP(I608,[1]AUTOS!$C:$G,3,0),"")</f>
        <v>2017</v>
      </c>
      <c r="L608" t="str">
        <f>IFERROR(VLOOKUP(I608,[1]AUTOS!$C:$G,4,0),"")</f>
        <v>GRIS</v>
      </c>
      <c r="M608" t="s">
        <v>22</v>
      </c>
      <c r="P608" s="3">
        <v>-600</v>
      </c>
    </row>
    <row r="609" spans="1:16" hidden="1" x14ac:dyDescent="0.3">
      <c r="A609">
        <v>33</v>
      </c>
      <c r="B609" t="str">
        <f>VLOOKUP($A609,[1]LISTA!$B:$C,2,0)</f>
        <v>AGOSTO</v>
      </c>
      <c r="C609" s="1">
        <v>2025</v>
      </c>
      <c r="D609" s="1" t="str">
        <f>IF($A609&lt;=[1]RESULTADOS!$D$6,"YTD","YTG")</f>
        <v>YTD</v>
      </c>
      <c r="E609" t="s">
        <v>377</v>
      </c>
      <c r="F609" t="s">
        <v>18</v>
      </c>
      <c r="G609" t="s">
        <v>57</v>
      </c>
      <c r="H609" t="s">
        <v>394</v>
      </c>
      <c r="I609" t="s">
        <v>51</v>
      </c>
      <c r="J609" t="str">
        <f>IFERROR(VLOOKUP(I609,[1]AUTOS!$C:$G,2,0),"")</f>
        <v>VENTO</v>
      </c>
      <c r="K609">
        <f>IFERROR(VLOOKUP(I609,[1]AUTOS!$C:$G,3,0),"")</f>
        <v>2017</v>
      </c>
      <c r="L609" t="str">
        <f>IFERROR(VLOOKUP(I609,[1]AUTOS!$C:$G,4,0),"")</f>
        <v>GRIS</v>
      </c>
      <c r="M609" t="s">
        <v>22</v>
      </c>
      <c r="P609" s="3">
        <v>-120</v>
      </c>
    </row>
    <row r="610" spans="1:16" hidden="1" x14ac:dyDescent="0.3">
      <c r="A610">
        <v>33</v>
      </c>
      <c r="B610" t="str">
        <f>VLOOKUP($A610,[1]LISTA!$B:$C,2,0)</f>
        <v>AGOSTO</v>
      </c>
      <c r="C610" s="1">
        <v>2025</v>
      </c>
      <c r="D610" s="1" t="str">
        <f>IF($A610&lt;=[1]RESULTADOS!$D$6,"YTD","YTG")</f>
        <v>YTD</v>
      </c>
      <c r="E610" t="s">
        <v>377</v>
      </c>
      <c r="F610" t="s">
        <v>18</v>
      </c>
      <c r="G610" t="s">
        <v>57</v>
      </c>
      <c r="H610" t="s">
        <v>395</v>
      </c>
      <c r="I610" t="s">
        <v>51</v>
      </c>
      <c r="J610" t="str">
        <f>IFERROR(VLOOKUP(I610,[1]AUTOS!$C:$G,2,0),"")</f>
        <v>VENTO</v>
      </c>
      <c r="K610">
        <f>IFERROR(VLOOKUP(I610,[1]AUTOS!$C:$G,3,0),"")</f>
        <v>2017</v>
      </c>
      <c r="L610" t="str">
        <f>IFERROR(VLOOKUP(I610,[1]AUTOS!$C:$G,4,0),"")</f>
        <v>GRIS</v>
      </c>
      <c r="M610" t="s">
        <v>22</v>
      </c>
      <c r="P610" s="3">
        <v>-378</v>
      </c>
    </row>
    <row r="611" spans="1:16" hidden="1" x14ac:dyDescent="0.3">
      <c r="A611">
        <v>33</v>
      </c>
      <c r="B611" t="str">
        <f>VLOOKUP($A611,[1]LISTA!$B:$C,2,0)</f>
        <v>AGOSTO</v>
      </c>
      <c r="C611" s="1">
        <v>2025</v>
      </c>
      <c r="D611" s="1" t="str">
        <f>IF($A611&lt;=[1]RESULTADOS!$D$6,"YTD","YTG")</f>
        <v>YTD</v>
      </c>
      <c r="E611" t="s">
        <v>377</v>
      </c>
      <c r="F611" t="s">
        <v>18</v>
      </c>
      <c r="G611" t="s">
        <v>38</v>
      </c>
      <c r="H611" t="s">
        <v>396</v>
      </c>
      <c r="I611" t="s">
        <v>51</v>
      </c>
      <c r="J611" t="str">
        <f>IFERROR(VLOOKUP(I611,[1]AUTOS!$C:$G,2,0),"")</f>
        <v>VENTO</v>
      </c>
      <c r="K611">
        <f>IFERROR(VLOOKUP(I611,[1]AUTOS!$C:$G,3,0),"")</f>
        <v>2017</v>
      </c>
      <c r="L611" t="str">
        <f>IFERROR(VLOOKUP(I611,[1]AUTOS!$C:$G,4,0),"")</f>
        <v>GRIS</v>
      </c>
      <c r="M611" t="s">
        <v>22</v>
      </c>
      <c r="P611" s="3">
        <v>-157</v>
      </c>
    </row>
    <row r="612" spans="1:16" hidden="1" x14ac:dyDescent="0.3">
      <c r="A612">
        <v>33</v>
      </c>
      <c r="B612" t="str">
        <f>VLOOKUP($A612,[1]LISTA!$B:$C,2,0)</f>
        <v>AGOSTO</v>
      </c>
      <c r="C612" s="1">
        <v>2025</v>
      </c>
      <c r="D612" s="1" t="str">
        <f>IF($A612&lt;=[1]RESULTADOS!$D$6,"YTD","YTG")</f>
        <v>YTD</v>
      </c>
      <c r="E612" t="s">
        <v>17</v>
      </c>
      <c r="F612" t="s">
        <v>18</v>
      </c>
      <c r="G612" t="s">
        <v>57</v>
      </c>
      <c r="H612" t="s">
        <v>397</v>
      </c>
      <c r="I612" t="s">
        <v>21</v>
      </c>
      <c r="J612" t="str">
        <f>IFERROR(VLOOKUP(I612,[1]AUTOS!$C:$G,2,0),"")</f>
        <v/>
      </c>
      <c r="K612" t="str">
        <f>IFERROR(VLOOKUP(I612,[1]AUTOS!$C:$G,3,0),"")</f>
        <v/>
      </c>
      <c r="L612" t="str">
        <f>IFERROR(VLOOKUP(I612,[1]AUTOS!$C:$G,4,0),"")</f>
        <v/>
      </c>
      <c r="M612" t="s">
        <v>22</v>
      </c>
      <c r="P612" s="3">
        <v>-89</v>
      </c>
    </row>
    <row r="613" spans="1:16" hidden="1" x14ac:dyDescent="0.3">
      <c r="A613">
        <v>33</v>
      </c>
      <c r="B613" t="str">
        <f>VLOOKUP($A613,[1]LISTA!$B:$C,2,0)</f>
        <v>AGOSTO</v>
      </c>
      <c r="C613" s="1">
        <v>2025</v>
      </c>
      <c r="D613" s="1" t="str">
        <f>IF($A613&lt;=[1]RESULTADOS!$D$6,"YTD","YTG")</f>
        <v>YTD</v>
      </c>
      <c r="E613" t="s">
        <v>377</v>
      </c>
      <c r="F613" t="s">
        <v>18</v>
      </c>
      <c r="G613" t="s">
        <v>57</v>
      </c>
      <c r="H613" t="s">
        <v>398</v>
      </c>
      <c r="I613" t="s">
        <v>51</v>
      </c>
      <c r="J613" t="str">
        <f>IFERROR(VLOOKUP(I613,[1]AUTOS!$C:$G,2,0),"")</f>
        <v>VENTO</v>
      </c>
      <c r="K613">
        <f>IFERROR(VLOOKUP(I613,[1]AUTOS!$C:$G,3,0),"")</f>
        <v>2017</v>
      </c>
      <c r="L613" t="str">
        <f>IFERROR(VLOOKUP(I613,[1]AUTOS!$C:$G,4,0),"")</f>
        <v>GRIS</v>
      </c>
      <c r="M613" t="s">
        <v>22</v>
      </c>
      <c r="P613" s="3">
        <v>-950</v>
      </c>
    </row>
    <row r="614" spans="1:16" hidden="1" x14ac:dyDescent="0.3">
      <c r="A614">
        <v>33</v>
      </c>
      <c r="B614" t="str">
        <f>VLOOKUP($A614,[1]LISTA!$B:$C,2,0)</f>
        <v>AGOSTO</v>
      </c>
      <c r="C614" s="1">
        <v>2025</v>
      </c>
      <c r="D614" s="1" t="str">
        <f>IF($A614&lt;=[1]RESULTADOS!$D$6,"YTD","YTG")</f>
        <v>YTD</v>
      </c>
      <c r="E614" t="s">
        <v>399</v>
      </c>
      <c r="F614" t="s">
        <v>18</v>
      </c>
      <c r="G614" t="s">
        <v>57</v>
      </c>
      <c r="H614" t="s">
        <v>400</v>
      </c>
      <c r="I614" t="s">
        <v>162</v>
      </c>
      <c r="J614" t="str">
        <f>IFERROR(VLOOKUP(I614,[1]AUTOS!$C:$G,2,0),"")</f>
        <v>HYUNDAI</v>
      </c>
      <c r="K614">
        <f>IFERROR(VLOOKUP(I614,[1]AUTOS!$C:$G,3,0),"")</f>
        <v>2022</v>
      </c>
      <c r="L614" t="str">
        <f>IFERROR(VLOOKUP(I614,[1]AUTOS!$C:$G,4,0),"")</f>
        <v>PLATA</v>
      </c>
      <c r="M614" t="s">
        <v>43</v>
      </c>
      <c r="P614" s="3">
        <v>-180</v>
      </c>
    </row>
    <row r="615" spans="1:16" hidden="1" x14ac:dyDescent="0.3">
      <c r="A615">
        <v>33</v>
      </c>
      <c r="B615" t="str">
        <f>VLOOKUP($A615,[1]LISTA!$B:$C,2,0)</f>
        <v>AGOSTO</v>
      </c>
      <c r="C615" s="1">
        <v>2025</v>
      </c>
      <c r="D615" s="1" t="str">
        <f>IF($A615&lt;=[1]RESULTADOS!$D$6,"YTD","YTG")</f>
        <v>YTD</v>
      </c>
      <c r="E615" t="s">
        <v>399</v>
      </c>
      <c r="F615" t="s">
        <v>18</v>
      </c>
      <c r="G615" t="s">
        <v>48</v>
      </c>
      <c r="H615" t="s">
        <v>401</v>
      </c>
      <c r="I615" t="s">
        <v>162</v>
      </c>
      <c r="J615" t="str">
        <f>IFERROR(VLOOKUP(I615,[1]AUTOS!$C:$G,2,0),"")</f>
        <v>HYUNDAI</v>
      </c>
      <c r="K615">
        <f>IFERROR(VLOOKUP(I615,[1]AUTOS!$C:$G,3,0),"")</f>
        <v>2022</v>
      </c>
      <c r="L615" t="str">
        <f>IFERROR(VLOOKUP(I615,[1]AUTOS!$C:$G,4,0),"")</f>
        <v>PLATA</v>
      </c>
      <c r="M615" t="s">
        <v>43</v>
      </c>
      <c r="P615" s="3">
        <v>-50</v>
      </c>
    </row>
    <row r="616" spans="1:16" hidden="1" x14ac:dyDescent="0.3">
      <c r="A616">
        <v>33</v>
      </c>
      <c r="B616" t="str">
        <f>VLOOKUP($A616,[1]LISTA!$B:$C,2,0)</f>
        <v>AGOSTO</v>
      </c>
      <c r="C616" s="1">
        <v>2025</v>
      </c>
      <c r="D616" s="1" t="str">
        <f>IF($A616&lt;=[1]RESULTADOS!$D$6,"YTD","YTG")</f>
        <v>YTD</v>
      </c>
      <c r="E616" t="s">
        <v>402</v>
      </c>
      <c r="F616" t="s">
        <v>18</v>
      </c>
      <c r="G616" t="s">
        <v>77</v>
      </c>
      <c r="H616" t="s">
        <v>392</v>
      </c>
      <c r="I616" t="s">
        <v>59</v>
      </c>
      <c r="J616" t="str">
        <f>IFERROR(VLOOKUP(I616,[1]AUTOS!$C:$G,2,0),"")</f>
        <v>AVEO</v>
      </c>
      <c r="K616">
        <f>IFERROR(VLOOKUP(I616,[1]AUTOS!$C:$G,3,0),"")</f>
        <v>2019</v>
      </c>
      <c r="L616" t="str">
        <f>IFERROR(VLOOKUP(I616,[1]AUTOS!$C:$G,4,0),"")</f>
        <v>BLANCO</v>
      </c>
      <c r="M616" t="s">
        <v>43</v>
      </c>
      <c r="P616" s="3">
        <v>-740</v>
      </c>
    </row>
    <row r="617" spans="1:16" x14ac:dyDescent="0.3">
      <c r="A617">
        <v>33</v>
      </c>
      <c r="B617" t="str">
        <f>VLOOKUP($A617,[1]LISTA!$B:$C,2,0)</f>
        <v>AGOSTO</v>
      </c>
      <c r="C617" s="1">
        <v>2025</v>
      </c>
      <c r="D617" s="1" t="str">
        <f>IF($A617&lt;=[1]RESULTADOS!$D$6,"YTD","YTG")</f>
        <v>YTD</v>
      </c>
      <c r="E617" t="s">
        <v>403</v>
      </c>
      <c r="F617" t="s">
        <v>18</v>
      </c>
      <c r="G617" t="s">
        <v>77</v>
      </c>
      <c r="H617" t="s">
        <v>392</v>
      </c>
      <c r="I617" t="s">
        <v>72</v>
      </c>
      <c r="J617" t="str">
        <f>IFERROR(VLOOKUP(I617,[1]AUTOS!$C:$G,2,0),"")</f>
        <v>VENTO</v>
      </c>
      <c r="K617">
        <f>IFERROR(VLOOKUP(I617,[1]AUTOS!$C:$G,3,0),"")</f>
        <v>2020</v>
      </c>
      <c r="L617" t="str">
        <f>IFERROR(VLOOKUP(I617,[1]AUTOS!$C:$G,4,0),"")</f>
        <v>GRIS</v>
      </c>
      <c r="M617" t="s">
        <v>43</v>
      </c>
      <c r="P617" s="3">
        <v>-740</v>
      </c>
    </row>
    <row r="618" spans="1:16" hidden="1" x14ac:dyDescent="0.3">
      <c r="A618">
        <v>33</v>
      </c>
      <c r="B618" t="str">
        <f>VLOOKUP($A618,[1]LISTA!$B:$C,2,0)</f>
        <v>AGOSTO</v>
      </c>
      <c r="C618" s="1">
        <v>2025</v>
      </c>
      <c r="D618" s="1" t="str">
        <f>IF($A618&lt;=[1]RESULTADOS!$D$6,"YTD","YTG")</f>
        <v>YTD</v>
      </c>
      <c r="E618" t="s">
        <v>404</v>
      </c>
      <c r="F618" t="s">
        <v>18</v>
      </c>
      <c r="G618" t="s">
        <v>77</v>
      </c>
      <c r="H618" t="s">
        <v>392</v>
      </c>
      <c r="I618" t="s">
        <v>46</v>
      </c>
      <c r="J618" t="str">
        <f>IFERROR(VLOOKUP(I618,[1]AUTOS!$C:$G,2,0),"")</f>
        <v>MARCH</v>
      </c>
      <c r="K618">
        <f>IFERROR(VLOOKUP(I618,[1]AUTOS!$C:$G,3,0),"")</f>
        <v>2020</v>
      </c>
      <c r="L618" t="str">
        <f>IFERROR(VLOOKUP(I618,[1]AUTOS!$C:$G,4,0),"")</f>
        <v>TURQ</v>
      </c>
      <c r="M618" t="s">
        <v>43</v>
      </c>
      <c r="P618" s="3">
        <v>-740</v>
      </c>
    </row>
    <row r="619" spans="1:16" x14ac:dyDescent="0.3">
      <c r="A619">
        <v>33</v>
      </c>
      <c r="B619" t="str">
        <f>VLOOKUP($A619,[1]LISTA!$B:$C,2,0)</f>
        <v>AGOSTO</v>
      </c>
      <c r="C619" s="1">
        <v>2025</v>
      </c>
      <c r="D619" s="1" t="str">
        <f>IF($A619&lt;=[1]RESULTADOS!$D$6,"YTD","YTG")</f>
        <v>YTD</v>
      </c>
      <c r="E619" t="s">
        <v>403</v>
      </c>
      <c r="F619" t="s">
        <v>18</v>
      </c>
      <c r="G619" t="s">
        <v>48</v>
      </c>
      <c r="H619" t="s">
        <v>405</v>
      </c>
      <c r="I619" t="s">
        <v>72</v>
      </c>
      <c r="J619" t="str">
        <f>IFERROR(VLOOKUP(I619,[1]AUTOS!$C:$G,2,0),"")</f>
        <v>VENTO</v>
      </c>
      <c r="K619">
        <f>IFERROR(VLOOKUP(I619,[1]AUTOS!$C:$G,3,0),"")</f>
        <v>2020</v>
      </c>
      <c r="L619" t="str">
        <f>IFERROR(VLOOKUP(I619,[1]AUTOS!$C:$G,4,0),"")</f>
        <v>GRIS</v>
      </c>
      <c r="M619" t="s">
        <v>43</v>
      </c>
      <c r="P619" s="3">
        <v>-50</v>
      </c>
    </row>
    <row r="620" spans="1:16" hidden="1" x14ac:dyDescent="0.3">
      <c r="A620">
        <v>33</v>
      </c>
      <c r="B620" t="str">
        <f>VLOOKUP($A620,[1]LISTA!$B:$C,2,0)</f>
        <v>AGOSTO</v>
      </c>
      <c r="C620" s="1">
        <v>2025</v>
      </c>
      <c r="D620" s="1" t="str">
        <f>IF($A620&lt;=[1]RESULTADOS!$D$6,"YTD","YTG")</f>
        <v>YTD</v>
      </c>
      <c r="E620" t="s">
        <v>17</v>
      </c>
      <c r="F620" t="s">
        <v>18</v>
      </c>
      <c r="G620" t="s">
        <v>38</v>
      </c>
      <c r="H620" t="s">
        <v>406</v>
      </c>
      <c r="I620" t="s">
        <v>313</v>
      </c>
      <c r="J620" t="str">
        <f>IFERROR(VLOOKUP(I620,[1]AUTOS!$C:$G,2,0),"")</f>
        <v>MARCH</v>
      </c>
      <c r="K620">
        <f>IFERROR(VLOOKUP(I620,[1]AUTOS!$C:$G,3,0),"")</f>
        <v>2019</v>
      </c>
      <c r="L620" t="str">
        <f>IFERROR(VLOOKUP(I620,[1]AUTOS!$C:$G,4,0),"")</f>
        <v>TURQ</v>
      </c>
      <c r="M620" t="s">
        <v>140</v>
      </c>
      <c r="P620" s="3">
        <v>-555</v>
      </c>
    </row>
    <row r="621" spans="1:16" hidden="1" x14ac:dyDescent="0.3">
      <c r="A621">
        <v>33</v>
      </c>
      <c r="B621" t="str">
        <f>VLOOKUP($A621,[1]LISTA!$B:$C,2,0)</f>
        <v>AGOSTO</v>
      </c>
      <c r="C621" s="1">
        <v>2025</v>
      </c>
      <c r="D621" s="1" t="str">
        <f>IF($A621&lt;=[1]RESULTADOS!$D$6,"YTD","YTG")</f>
        <v>YTD</v>
      </c>
      <c r="E621" t="s">
        <v>17</v>
      </c>
      <c r="F621" t="s">
        <v>18</v>
      </c>
      <c r="G621" t="s">
        <v>38</v>
      </c>
      <c r="H621" t="s">
        <v>193</v>
      </c>
      <c r="I621" t="s">
        <v>313</v>
      </c>
      <c r="J621" t="str">
        <f>IFERROR(VLOOKUP(I621,[1]AUTOS!$C:$G,2,0),"")</f>
        <v>MARCH</v>
      </c>
      <c r="K621">
        <f>IFERROR(VLOOKUP(I621,[1]AUTOS!$C:$G,3,0),"")</f>
        <v>2019</v>
      </c>
      <c r="L621" t="str">
        <f>IFERROR(VLOOKUP(I621,[1]AUTOS!$C:$G,4,0),"")</f>
        <v>TURQ</v>
      </c>
      <c r="M621" t="s">
        <v>140</v>
      </c>
      <c r="P621" s="3">
        <v>-35</v>
      </c>
    </row>
    <row r="622" spans="1:16" hidden="1" x14ac:dyDescent="0.3">
      <c r="A622">
        <v>33</v>
      </c>
      <c r="B622" t="str">
        <f>VLOOKUP($A622,[1]LISTA!$B:$C,2,0)</f>
        <v>AGOSTO</v>
      </c>
      <c r="C622" s="1">
        <v>2025</v>
      </c>
      <c r="D622" s="1" t="str">
        <f>IF($A622&lt;=[1]RESULTADOS!$D$6,"YTD","YTG")</f>
        <v>YTD</v>
      </c>
      <c r="E622" t="s">
        <v>17</v>
      </c>
      <c r="F622" t="s">
        <v>18</v>
      </c>
      <c r="G622" t="s">
        <v>57</v>
      </c>
      <c r="H622" t="s">
        <v>407</v>
      </c>
      <c r="I622" t="s">
        <v>313</v>
      </c>
      <c r="J622" t="str">
        <f>IFERROR(VLOOKUP(I622,[1]AUTOS!$C:$G,2,0),"")</f>
        <v>MARCH</v>
      </c>
      <c r="K622">
        <f>IFERROR(VLOOKUP(I622,[1]AUTOS!$C:$G,3,0),"")</f>
        <v>2019</v>
      </c>
      <c r="L622" t="str">
        <f>IFERROR(VLOOKUP(I622,[1]AUTOS!$C:$G,4,0),"")</f>
        <v>TURQ</v>
      </c>
      <c r="M622" t="s">
        <v>140</v>
      </c>
      <c r="P622" s="3">
        <v>-50</v>
      </c>
    </row>
    <row r="623" spans="1:16" hidden="1" x14ac:dyDescent="0.3">
      <c r="A623">
        <v>33</v>
      </c>
      <c r="B623" t="str">
        <f>VLOOKUP($A623,[1]LISTA!$B:$C,2,0)</f>
        <v>AGOSTO</v>
      </c>
      <c r="C623" s="1">
        <v>2025</v>
      </c>
      <c r="D623" s="1" t="str">
        <f>IF($A623&lt;=[1]RESULTADOS!$D$6,"YTD","YTG")</f>
        <v>YTD</v>
      </c>
      <c r="E623" t="s">
        <v>17</v>
      </c>
      <c r="F623" t="s">
        <v>18</v>
      </c>
      <c r="G623" t="s">
        <v>19</v>
      </c>
      <c r="H623" t="s">
        <v>408</v>
      </c>
      <c r="I623" t="s">
        <v>21</v>
      </c>
      <c r="J623" t="str">
        <f>IFERROR(VLOOKUP(I623,[1]AUTOS!$C:$G,2,0),"")</f>
        <v/>
      </c>
      <c r="K623" t="str">
        <f>IFERROR(VLOOKUP(I623,[1]AUTOS!$C:$G,3,0),"")</f>
        <v/>
      </c>
      <c r="L623" t="str">
        <f>IFERROR(VLOOKUP(I623,[1]AUTOS!$C:$G,4,0),"")</f>
        <v/>
      </c>
      <c r="M623" t="s">
        <v>22</v>
      </c>
      <c r="P623" s="3">
        <v>-10</v>
      </c>
    </row>
    <row r="624" spans="1:16" hidden="1" x14ac:dyDescent="0.3">
      <c r="A624">
        <v>33</v>
      </c>
      <c r="B624" t="str">
        <f>VLOOKUP($A624,[1]LISTA!$B:$C,2,0)</f>
        <v>AGOSTO</v>
      </c>
      <c r="C624" s="1">
        <v>2025</v>
      </c>
      <c r="D624" s="1" t="str">
        <f>IF($A624&lt;=[1]RESULTADOS!$D$6,"YTD","YTG")</f>
        <v>YTD</v>
      </c>
      <c r="E624" t="s">
        <v>17</v>
      </c>
      <c r="F624" t="s">
        <v>18</v>
      </c>
      <c r="G624" t="s">
        <v>53</v>
      </c>
      <c r="H624" t="s">
        <v>409</v>
      </c>
      <c r="I624" t="s">
        <v>313</v>
      </c>
      <c r="J624" t="str">
        <f>IFERROR(VLOOKUP(I624,[1]AUTOS!$C:$G,2,0),"")</f>
        <v>MARCH</v>
      </c>
      <c r="K624">
        <f>IFERROR(VLOOKUP(I624,[1]AUTOS!$C:$G,3,0),"")</f>
        <v>2019</v>
      </c>
      <c r="L624" t="str">
        <f>IFERROR(VLOOKUP(I624,[1]AUTOS!$C:$G,4,0),"")</f>
        <v>TURQ</v>
      </c>
      <c r="M624" t="s">
        <v>140</v>
      </c>
      <c r="P624" s="3">
        <v>-100</v>
      </c>
    </row>
    <row r="625" spans="1:16" hidden="1" x14ac:dyDescent="0.3">
      <c r="A625">
        <v>33</v>
      </c>
      <c r="B625" t="str">
        <f>VLOOKUP($A625,[1]LISTA!$B:$C,2,0)</f>
        <v>AGOSTO</v>
      </c>
      <c r="C625" s="1">
        <v>2025</v>
      </c>
      <c r="D625" s="1" t="str">
        <f>IF($A625&lt;=[1]RESULTADOS!$D$6,"YTD","YTG")</f>
        <v>YTD</v>
      </c>
      <c r="E625" t="s">
        <v>17</v>
      </c>
      <c r="F625" t="s">
        <v>18</v>
      </c>
      <c r="G625" t="s">
        <v>29</v>
      </c>
      <c r="H625" t="s">
        <v>410</v>
      </c>
      <c r="I625" t="s">
        <v>383</v>
      </c>
      <c r="J625" t="str">
        <f>IFERROR(VLOOKUP(I625,[1]AUTOS!$C:$G,2,0),"")</f>
        <v>VENTO</v>
      </c>
      <c r="K625">
        <f>IFERROR(VLOOKUP(I625,[1]AUTOS!$C:$G,3,0),"")</f>
        <v>2020</v>
      </c>
      <c r="L625" t="str">
        <f>IFERROR(VLOOKUP(I625,[1]AUTOS!$C:$G,4,0),"")</f>
        <v>GRIS</v>
      </c>
      <c r="M625" t="s">
        <v>215</v>
      </c>
      <c r="P625" s="3">
        <v>-95</v>
      </c>
    </row>
    <row r="626" spans="1:16" hidden="1" x14ac:dyDescent="0.3">
      <c r="A626">
        <v>33</v>
      </c>
      <c r="B626" t="str">
        <f>VLOOKUP($A626,[1]LISTA!$B:$C,2,0)</f>
        <v>AGOSTO</v>
      </c>
      <c r="C626" s="1">
        <v>2025</v>
      </c>
      <c r="D626" s="1" t="str">
        <f>IF($A626&lt;=[1]RESULTADOS!$D$6,"YTD","YTG")</f>
        <v>YTD</v>
      </c>
      <c r="E626" t="s">
        <v>411</v>
      </c>
      <c r="F626" t="s">
        <v>18</v>
      </c>
      <c r="G626" t="s">
        <v>53</v>
      </c>
      <c r="H626" t="s">
        <v>412</v>
      </c>
      <c r="I626" t="s">
        <v>178</v>
      </c>
      <c r="J626" t="str">
        <f>IFERROR(VLOOKUP(I626,[1]AUTOS!$C:$G,2,0),"")</f>
        <v>VERSA</v>
      </c>
      <c r="K626">
        <f>IFERROR(VLOOKUP(I626,[1]AUTOS!$C:$G,3,0),"")</f>
        <v>2020</v>
      </c>
      <c r="L626" t="str">
        <f>IFERROR(VLOOKUP(I626,[1]AUTOS!$C:$G,4,0),"")</f>
        <v>BLANCO</v>
      </c>
      <c r="M626" t="s">
        <v>43</v>
      </c>
      <c r="P626" s="3">
        <v>-120</v>
      </c>
    </row>
    <row r="627" spans="1:16" hidden="1" x14ac:dyDescent="0.3">
      <c r="A627">
        <v>34</v>
      </c>
      <c r="B627" t="str">
        <f>VLOOKUP($A627,[1]LISTA!$B:$C,2,0)</f>
        <v>AGOSTO</v>
      </c>
      <c r="C627" s="1">
        <v>2025</v>
      </c>
      <c r="D627" s="1" t="str">
        <f>IF($A627&lt;=[1]RESULTADOS!$D$6,"YTD","YTG")</f>
        <v>YTD</v>
      </c>
      <c r="E627" t="s">
        <v>404</v>
      </c>
      <c r="F627" t="s">
        <v>18</v>
      </c>
      <c r="G627" t="s">
        <v>176</v>
      </c>
      <c r="H627" t="s">
        <v>413</v>
      </c>
      <c r="I627" t="s">
        <v>46</v>
      </c>
      <c r="J627" t="str">
        <f>IFERROR(VLOOKUP(I627,[1]AUTOS!$C:$G,2,0),"")</f>
        <v>MARCH</v>
      </c>
      <c r="K627">
        <f>IFERROR(VLOOKUP(I627,[1]AUTOS!$C:$G,3,0),"")</f>
        <v>2020</v>
      </c>
      <c r="L627" t="str">
        <f>IFERROR(VLOOKUP(I627,[1]AUTOS!$C:$G,4,0),"")</f>
        <v>TURQ</v>
      </c>
      <c r="M627" t="s">
        <v>43</v>
      </c>
      <c r="P627" s="3">
        <v>-30</v>
      </c>
    </row>
    <row r="628" spans="1:16" hidden="1" x14ac:dyDescent="0.3">
      <c r="A628">
        <v>34</v>
      </c>
      <c r="B628" t="str">
        <f>VLOOKUP($A628,[1]LISTA!$B:$C,2,0)</f>
        <v>AGOSTO</v>
      </c>
      <c r="C628" s="1">
        <v>2025</v>
      </c>
      <c r="D628" s="1" t="str">
        <f>IF($A628&lt;=[1]RESULTADOS!$D$6,"YTD","YTG")</f>
        <v>YTD</v>
      </c>
      <c r="E628" t="s">
        <v>404</v>
      </c>
      <c r="F628" t="s">
        <v>18</v>
      </c>
      <c r="G628" t="s">
        <v>57</v>
      </c>
      <c r="H628" t="s">
        <v>414</v>
      </c>
      <c r="I628" t="s">
        <v>46</v>
      </c>
      <c r="J628" t="str">
        <f>IFERROR(VLOOKUP(I628,[1]AUTOS!$C:$G,2,0),"")</f>
        <v>MARCH</v>
      </c>
      <c r="K628">
        <f>IFERROR(VLOOKUP(I628,[1]AUTOS!$C:$G,3,0),"")</f>
        <v>2020</v>
      </c>
      <c r="L628" t="str">
        <f>IFERROR(VLOOKUP(I628,[1]AUTOS!$C:$G,4,0),"")</f>
        <v>TURQ</v>
      </c>
      <c r="M628" t="s">
        <v>43</v>
      </c>
      <c r="P628" s="3">
        <v>-1600</v>
      </c>
    </row>
    <row r="629" spans="1:16" hidden="1" x14ac:dyDescent="0.3">
      <c r="A629">
        <v>34</v>
      </c>
      <c r="B629" t="str">
        <f>VLOOKUP($A629,[1]LISTA!$B:$C,2,0)</f>
        <v>AGOSTO</v>
      </c>
      <c r="C629" s="1">
        <v>2025</v>
      </c>
      <c r="D629" s="1" t="str">
        <f>IF($A629&lt;=[1]RESULTADOS!$D$6,"YTD","YTG")</f>
        <v>YTD</v>
      </c>
      <c r="E629" t="s">
        <v>404</v>
      </c>
      <c r="F629" t="s">
        <v>18</v>
      </c>
      <c r="G629" t="s">
        <v>29</v>
      </c>
      <c r="H629" t="s">
        <v>415</v>
      </c>
      <c r="I629" t="s">
        <v>46</v>
      </c>
      <c r="J629" t="str">
        <f>IFERROR(VLOOKUP(I629,[1]AUTOS!$C:$G,2,0),"")</f>
        <v>MARCH</v>
      </c>
      <c r="K629">
        <f>IFERROR(VLOOKUP(I629,[1]AUTOS!$C:$G,3,0),"")</f>
        <v>2020</v>
      </c>
      <c r="L629" t="str">
        <f>IFERROR(VLOOKUP(I629,[1]AUTOS!$C:$G,4,0),"")</f>
        <v>TURQ</v>
      </c>
      <c r="M629" t="s">
        <v>43</v>
      </c>
      <c r="P629" s="3">
        <v>-239</v>
      </c>
    </row>
    <row r="630" spans="1:16" hidden="1" x14ac:dyDescent="0.3">
      <c r="A630">
        <v>34</v>
      </c>
      <c r="B630" t="str">
        <f>VLOOKUP($A630,[1]LISTA!$B:$C,2,0)</f>
        <v>AGOSTO</v>
      </c>
      <c r="C630" s="1">
        <v>2025</v>
      </c>
      <c r="D630" s="1" t="str">
        <f>IF($A630&lt;=[1]RESULTADOS!$D$6,"YTD","YTG")</f>
        <v>YTD</v>
      </c>
      <c r="E630" t="s">
        <v>17</v>
      </c>
      <c r="F630" t="s">
        <v>18</v>
      </c>
      <c r="G630" t="s">
        <v>176</v>
      </c>
      <c r="H630" t="s">
        <v>413</v>
      </c>
      <c r="I630" t="s">
        <v>383</v>
      </c>
      <c r="J630" t="str">
        <f>IFERROR(VLOOKUP(I630,[1]AUTOS!$C:$G,2,0),"")</f>
        <v>VENTO</v>
      </c>
      <c r="K630">
        <f>IFERROR(VLOOKUP(I630,[1]AUTOS!$C:$G,3,0),"")</f>
        <v>2020</v>
      </c>
      <c r="L630" t="str">
        <f>IFERROR(VLOOKUP(I630,[1]AUTOS!$C:$G,4,0),"")</f>
        <v>GRIS</v>
      </c>
      <c r="M630" t="s">
        <v>215</v>
      </c>
      <c r="P630" s="3">
        <v>-60</v>
      </c>
    </row>
    <row r="631" spans="1:16" hidden="1" x14ac:dyDescent="0.3">
      <c r="A631">
        <v>34</v>
      </c>
      <c r="B631" t="str">
        <f>VLOOKUP($A631,[1]LISTA!$B:$C,2,0)</f>
        <v>AGOSTO</v>
      </c>
      <c r="C631" s="1">
        <v>2025</v>
      </c>
      <c r="D631" s="1" t="str">
        <f>IF($A631&lt;=[1]RESULTADOS!$D$6,"YTD","YTG")</f>
        <v>YTD</v>
      </c>
      <c r="E631" t="s">
        <v>416</v>
      </c>
      <c r="F631" t="s">
        <v>18</v>
      </c>
      <c r="G631" t="s">
        <v>176</v>
      </c>
      <c r="H631" t="s">
        <v>413</v>
      </c>
      <c r="I631" t="s">
        <v>214</v>
      </c>
      <c r="J631" t="str">
        <f>IFERROR(VLOOKUP(I631,[1]AUTOS!$C:$G,2,0),"")</f>
        <v>VENTO</v>
      </c>
      <c r="K631">
        <f>IFERROR(VLOOKUP(I631,[1]AUTOS!$C:$G,3,0),"")</f>
        <v>2019</v>
      </c>
      <c r="L631" t="str">
        <f>IFERROR(VLOOKUP(I631,[1]AUTOS!$C:$G,4,0),"")</f>
        <v>BLANCO</v>
      </c>
      <c r="M631" t="s">
        <v>215</v>
      </c>
      <c r="P631" s="3">
        <v>-60</v>
      </c>
    </row>
    <row r="632" spans="1:16" hidden="1" x14ac:dyDescent="0.3">
      <c r="A632">
        <v>34</v>
      </c>
      <c r="B632" t="str">
        <f>VLOOKUP($A632,[1]LISTA!$B:$C,2,0)</f>
        <v>AGOSTO</v>
      </c>
      <c r="C632" s="1">
        <v>2025</v>
      </c>
      <c r="D632" s="1" t="str">
        <f>IF($A632&lt;=[1]RESULTADOS!$D$6,"YTD","YTG")</f>
        <v>YTD</v>
      </c>
      <c r="E632" t="s">
        <v>417</v>
      </c>
      <c r="F632" t="s">
        <v>18</v>
      </c>
      <c r="G632" t="s">
        <v>77</v>
      </c>
      <c r="H632" t="s">
        <v>392</v>
      </c>
      <c r="I632" t="s">
        <v>370</v>
      </c>
      <c r="J632" t="str">
        <f>IFERROR(VLOOKUP(I632,[1]AUTOS!$C:$G,2,0),"")</f>
        <v>KIA RIO</v>
      </c>
      <c r="K632">
        <f>IFERROR(VLOOKUP(I632,[1]AUTOS!$C:$G,3,0),"")</f>
        <v>2020</v>
      </c>
      <c r="L632" t="str">
        <f>IFERROR(VLOOKUP(I632,[1]AUTOS!$C:$G,4,0),"")</f>
        <v>AZUL</v>
      </c>
      <c r="M632" t="s">
        <v>215</v>
      </c>
      <c r="N632" s="3">
        <v>0</v>
      </c>
      <c r="O632" s="3">
        <v>0</v>
      </c>
      <c r="P632" s="3">
        <v>-740</v>
      </c>
    </row>
    <row r="633" spans="1:16" hidden="1" x14ac:dyDescent="0.3">
      <c r="A633">
        <v>34</v>
      </c>
      <c r="B633" t="str">
        <f>VLOOKUP($A633,[1]LISTA!$B:$C,2,0)</f>
        <v>AGOSTO</v>
      </c>
      <c r="C633" s="1">
        <v>2025</v>
      </c>
      <c r="D633" s="1" t="str">
        <f>IF($A633&lt;=[1]RESULTADOS!$D$6,"YTD","YTG")</f>
        <v>YTD</v>
      </c>
      <c r="E633" t="s">
        <v>17</v>
      </c>
      <c r="F633" t="s">
        <v>18</v>
      </c>
      <c r="G633" t="s">
        <v>48</v>
      </c>
      <c r="H633" t="s">
        <v>418</v>
      </c>
      <c r="I633" t="s">
        <v>383</v>
      </c>
      <c r="J633" t="str">
        <f>IFERROR(VLOOKUP(I633,[1]AUTOS!$C:$G,2,0),"")</f>
        <v>VENTO</v>
      </c>
      <c r="K633">
        <f>IFERROR(VLOOKUP(I633,[1]AUTOS!$C:$G,3,0),"")</f>
        <v>2020</v>
      </c>
      <c r="L633" t="str">
        <f>IFERROR(VLOOKUP(I633,[1]AUTOS!$C:$G,4,0),"")</f>
        <v>GRIS</v>
      </c>
      <c r="M633" t="s">
        <v>215</v>
      </c>
      <c r="N633" s="3">
        <v>0</v>
      </c>
      <c r="O633" s="3">
        <v>0</v>
      </c>
      <c r="P633" s="3">
        <v>-2784</v>
      </c>
    </row>
    <row r="634" spans="1:16" hidden="1" x14ac:dyDescent="0.3">
      <c r="A634">
        <v>34</v>
      </c>
      <c r="B634" t="str">
        <f>VLOOKUP($A634,[1]LISTA!$B:$C,2,0)</f>
        <v>AGOSTO</v>
      </c>
      <c r="C634" s="1">
        <v>2025</v>
      </c>
      <c r="D634" s="1" t="str">
        <f>IF($A634&lt;=[1]RESULTADOS!$D$6,"YTD","YTG")</f>
        <v>YTD</v>
      </c>
      <c r="E634" t="s">
        <v>17</v>
      </c>
      <c r="F634" t="s">
        <v>18</v>
      </c>
      <c r="G634" t="s">
        <v>48</v>
      </c>
      <c r="H634" t="s">
        <v>418</v>
      </c>
      <c r="I634" t="s">
        <v>384</v>
      </c>
      <c r="J634" t="str">
        <f>IFERROR(VLOOKUP(I634,[1]AUTOS!$C:$G,2,0),"")</f>
        <v>MARCH</v>
      </c>
      <c r="K634">
        <f>IFERROR(VLOOKUP(I634,[1]AUTOS!$C:$G,3,0),"")</f>
        <v>2022</v>
      </c>
      <c r="L634" t="str">
        <f>IFERROR(VLOOKUP(I634,[1]AUTOS!$C:$G,4,0),"")</f>
        <v>BLANCO</v>
      </c>
      <c r="M634" t="s">
        <v>215</v>
      </c>
      <c r="N634" s="3">
        <v>0</v>
      </c>
      <c r="O634" s="3">
        <v>0</v>
      </c>
      <c r="P634" s="3">
        <v>-2320</v>
      </c>
    </row>
    <row r="635" spans="1:16" hidden="1" x14ac:dyDescent="0.3">
      <c r="A635">
        <v>34</v>
      </c>
      <c r="B635" t="str">
        <f>VLOOKUP($A635,[1]LISTA!$B:$C,2,0)</f>
        <v>AGOSTO</v>
      </c>
      <c r="C635" s="1">
        <v>2025</v>
      </c>
      <c r="D635" s="1" t="str">
        <f>IF($A635&lt;=[1]RESULTADOS!$D$6,"YTD","YTG")</f>
        <v>YTD</v>
      </c>
      <c r="E635" t="s">
        <v>411</v>
      </c>
      <c r="F635" t="s">
        <v>18</v>
      </c>
      <c r="G635" t="s">
        <v>38</v>
      </c>
      <c r="H635" t="s">
        <v>193</v>
      </c>
      <c r="I635" t="s">
        <v>178</v>
      </c>
      <c r="J635" t="str">
        <f>IFERROR(VLOOKUP(I635,[1]AUTOS!$C:$G,2,0),"")</f>
        <v>VERSA</v>
      </c>
      <c r="K635">
        <f>IFERROR(VLOOKUP(I635,[1]AUTOS!$C:$G,3,0),"")</f>
        <v>2020</v>
      </c>
      <c r="L635" t="str">
        <f>IFERROR(VLOOKUP(I635,[1]AUTOS!$C:$G,4,0),"")</f>
        <v>BLANCO</v>
      </c>
      <c r="M635" t="s">
        <v>43</v>
      </c>
      <c r="N635" s="3">
        <v>0</v>
      </c>
      <c r="O635" s="3">
        <v>0</v>
      </c>
      <c r="P635" s="3">
        <v>-70</v>
      </c>
    </row>
    <row r="636" spans="1:16" hidden="1" x14ac:dyDescent="0.3">
      <c r="A636">
        <v>34</v>
      </c>
      <c r="B636" t="str">
        <f>VLOOKUP($A636,[1]LISTA!$B:$C,2,0)</f>
        <v>AGOSTO</v>
      </c>
      <c r="C636" s="1">
        <v>2025</v>
      </c>
      <c r="D636" s="1" t="str">
        <f>IF($A636&lt;=[1]RESULTADOS!$D$6,"YTD","YTG")</f>
        <v>YTD</v>
      </c>
      <c r="E636" t="s">
        <v>411</v>
      </c>
      <c r="F636" t="s">
        <v>18</v>
      </c>
      <c r="G636" t="s">
        <v>38</v>
      </c>
      <c r="H636" t="s">
        <v>419</v>
      </c>
      <c r="I636" t="s">
        <v>178</v>
      </c>
      <c r="J636" t="str">
        <f>IFERROR(VLOOKUP(I636,[1]AUTOS!$C:$G,2,0),"")</f>
        <v>VERSA</v>
      </c>
      <c r="K636">
        <f>IFERROR(VLOOKUP(I636,[1]AUTOS!$C:$G,3,0),"")</f>
        <v>2020</v>
      </c>
      <c r="L636" t="str">
        <f>IFERROR(VLOOKUP(I636,[1]AUTOS!$C:$G,4,0),"")</f>
        <v>BLANCO</v>
      </c>
      <c r="M636" t="s">
        <v>43</v>
      </c>
      <c r="N636" s="3">
        <v>0</v>
      </c>
      <c r="O636" s="3">
        <v>0</v>
      </c>
      <c r="P636" s="3">
        <v>-110</v>
      </c>
    </row>
    <row r="637" spans="1:16" hidden="1" x14ac:dyDescent="0.3">
      <c r="A637">
        <v>34</v>
      </c>
      <c r="B637" t="str">
        <f>VLOOKUP($A637,[1]LISTA!$B:$C,2,0)</f>
        <v>AGOSTO</v>
      </c>
      <c r="C637" s="1">
        <v>2025</v>
      </c>
      <c r="D637" s="1" t="str">
        <f>IF($A637&lt;=[1]RESULTADOS!$D$6,"YTD","YTG")</f>
        <v>YTD</v>
      </c>
      <c r="E637" t="s">
        <v>411</v>
      </c>
      <c r="F637" t="s">
        <v>18</v>
      </c>
      <c r="G637" t="s">
        <v>38</v>
      </c>
      <c r="H637" t="s">
        <v>310</v>
      </c>
      <c r="I637" t="s">
        <v>178</v>
      </c>
      <c r="J637" t="str">
        <f>IFERROR(VLOOKUP(I637,[1]AUTOS!$C:$G,2,0),"")</f>
        <v>VERSA</v>
      </c>
      <c r="K637">
        <f>IFERROR(VLOOKUP(I637,[1]AUTOS!$C:$G,3,0),"")</f>
        <v>2020</v>
      </c>
      <c r="L637" t="str">
        <f>IFERROR(VLOOKUP(I637,[1]AUTOS!$C:$G,4,0),"")</f>
        <v>BLANCO</v>
      </c>
      <c r="M637" t="s">
        <v>43</v>
      </c>
      <c r="N637" s="3">
        <v>0</v>
      </c>
      <c r="O637" s="3">
        <v>0</v>
      </c>
      <c r="P637" s="3">
        <v>-378</v>
      </c>
    </row>
    <row r="638" spans="1:16" hidden="1" x14ac:dyDescent="0.3">
      <c r="A638">
        <v>34</v>
      </c>
      <c r="B638" t="str">
        <f>VLOOKUP($A638,[1]LISTA!$B:$C,2,0)</f>
        <v>AGOSTO</v>
      </c>
      <c r="C638" s="1">
        <v>2025</v>
      </c>
      <c r="D638" s="1" t="str">
        <f>IF($A638&lt;=[1]RESULTADOS!$D$6,"YTD","YTG")</f>
        <v>YTD</v>
      </c>
      <c r="E638" t="s">
        <v>411</v>
      </c>
      <c r="F638" t="s">
        <v>18</v>
      </c>
      <c r="G638" t="s">
        <v>38</v>
      </c>
      <c r="H638" t="s">
        <v>420</v>
      </c>
      <c r="I638" t="s">
        <v>178</v>
      </c>
      <c r="J638" t="str">
        <f>IFERROR(VLOOKUP(I638,[1]AUTOS!$C:$G,2,0),"")</f>
        <v>VERSA</v>
      </c>
      <c r="K638">
        <f>IFERROR(VLOOKUP(I638,[1]AUTOS!$C:$G,3,0),"")</f>
        <v>2020</v>
      </c>
      <c r="L638" t="str">
        <f>IFERROR(VLOOKUP(I638,[1]AUTOS!$C:$G,4,0),"")</f>
        <v>BLANCO</v>
      </c>
      <c r="M638" t="s">
        <v>43</v>
      </c>
      <c r="N638" s="3">
        <v>0</v>
      </c>
      <c r="O638" s="3">
        <v>0</v>
      </c>
      <c r="P638" s="3">
        <v>-132</v>
      </c>
    </row>
    <row r="639" spans="1:16" hidden="1" x14ac:dyDescent="0.3">
      <c r="A639">
        <v>34</v>
      </c>
      <c r="B639" t="str">
        <f>VLOOKUP($A639,[1]LISTA!$B:$C,2,0)</f>
        <v>AGOSTO</v>
      </c>
      <c r="C639" s="1">
        <v>2025</v>
      </c>
      <c r="D639" s="1" t="str">
        <f>IF($A639&lt;=[1]RESULTADOS!$D$6,"YTD","YTG")</f>
        <v>YTD</v>
      </c>
      <c r="E639" t="s">
        <v>377</v>
      </c>
      <c r="F639" t="s">
        <v>18</v>
      </c>
      <c r="G639" t="s">
        <v>57</v>
      </c>
      <c r="H639" t="s">
        <v>421</v>
      </c>
      <c r="I639" t="s">
        <v>51</v>
      </c>
      <c r="J639" t="str">
        <f>IFERROR(VLOOKUP(I639,[1]AUTOS!$C:$G,2,0),"")</f>
        <v>VENTO</v>
      </c>
      <c r="K639">
        <f>IFERROR(VLOOKUP(I639,[1]AUTOS!$C:$G,3,0),"")</f>
        <v>2017</v>
      </c>
      <c r="L639" t="str">
        <f>IFERROR(VLOOKUP(I639,[1]AUTOS!$C:$G,4,0),"")</f>
        <v>GRIS</v>
      </c>
      <c r="M639" t="s">
        <v>22</v>
      </c>
      <c r="N639" s="3">
        <v>0</v>
      </c>
      <c r="O639" s="3">
        <v>0</v>
      </c>
      <c r="P639" s="3">
        <v>-578</v>
      </c>
    </row>
    <row r="640" spans="1:16" hidden="1" x14ac:dyDescent="0.3">
      <c r="A640">
        <v>34</v>
      </c>
      <c r="B640" t="str">
        <f>VLOOKUP($A640,[1]LISTA!$B:$C,2,0)</f>
        <v>AGOSTO</v>
      </c>
      <c r="C640" s="1">
        <v>2025</v>
      </c>
      <c r="D640" s="1" t="str">
        <f>IF($A640&lt;=[1]RESULTADOS!$D$6,"YTD","YTG")</f>
        <v>YTD</v>
      </c>
      <c r="E640" t="s">
        <v>17</v>
      </c>
      <c r="F640" t="s">
        <v>18</v>
      </c>
      <c r="G640" t="s">
        <v>176</v>
      </c>
      <c r="H640" t="s">
        <v>422</v>
      </c>
      <c r="I640" t="s">
        <v>366</v>
      </c>
      <c r="J640" t="str">
        <f>IFERROR(VLOOKUP(I640,[1]AUTOS!$C:$G,2,0),"")</f>
        <v>VENTO</v>
      </c>
      <c r="K640">
        <f>IFERROR(VLOOKUP(I640,[1]AUTOS!$C:$G,3,0),"")</f>
        <v>2019</v>
      </c>
      <c r="L640" t="str">
        <f>IFERROR(VLOOKUP(I640,[1]AUTOS!$C:$G,4,0),"")</f>
        <v>BLANCO</v>
      </c>
      <c r="M640" t="s">
        <v>215</v>
      </c>
      <c r="N640" s="3">
        <v>0</v>
      </c>
      <c r="O640" s="3">
        <v>0</v>
      </c>
      <c r="P640" s="3">
        <v>-2840</v>
      </c>
    </row>
    <row r="641" spans="1:16" hidden="1" x14ac:dyDescent="0.3">
      <c r="A641">
        <v>34</v>
      </c>
      <c r="B641" t="str">
        <f>VLOOKUP($A641,[1]LISTA!$B:$C,2,0)</f>
        <v>AGOSTO</v>
      </c>
      <c r="C641" s="1">
        <v>2025</v>
      </c>
      <c r="D641" s="1" t="str">
        <f>IF($A641&lt;=[1]RESULTADOS!$D$6,"YTD","YTG")</f>
        <v>YTD</v>
      </c>
      <c r="E641" t="s">
        <v>17</v>
      </c>
      <c r="F641" t="s">
        <v>18</v>
      </c>
      <c r="G641" t="s">
        <v>176</v>
      </c>
      <c r="H641" t="s">
        <v>422</v>
      </c>
      <c r="I641" t="s">
        <v>383</v>
      </c>
      <c r="J641" t="str">
        <f>IFERROR(VLOOKUP(I641,[1]AUTOS!$C:$G,2,0),"")</f>
        <v>VENTO</v>
      </c>
      <c r="K641">
        <f>IFERROR(VLOOKUP(I641,[1]AUTOS!$C:$G,3,0),"")</f>
        <v>2020</v>
      </c>
      <c r="L641" t="str">
        <f>IFERROR(VLOOKUP(I641,[1]AUTOS!$C:$G,4,0),"")</f>
        <v>GRIS</v>
      </c>
      <c r="M641" t="s">
        <v>215</v>
      </c>
      <c r="N641" s="3">
        <v>0</v>
      </c>
      <c r="O641" s="3">
        <v>0</v>
      </c>
      <c r="P641" s="3">
        <v>-3405</v>
      </c>
    </row>
    <row r="642" spans="1:16" hidden="1" x14ac:dyDescent="0.3">
      <c r="A642">
        <v>34</v>
      </c>
      <c r="B642" t="str">
        <f>VLOOKUP($A642,[1]LISTA!$B:$C,2,0)</f>
        <v>AGOSTO</v>
      </c>
      <c r="C642" s="1">
        <v>2025</v>
      </c>
      <c r="D642" s="1" t="str">
        <f>IF($A642&lt;=[1]RESULTADOS!$D$6,"YTD","YTG")</f>
        <v>YTD</v>
      </c>
      <c r="E642" t="s">
        <v>17</v>
      </c>
      <c r="F642" t="s">
        <v>18</v>
      </c>
      <c r="G642" t="s">
        <v>176</v>
      </c>
      <c r="H642" t="s">
        <v>422</v>
      </c>
      <c r="I642" t="s">
        <v>384</v>
      </c>
      <c r="J642" t="str">
        <f>IFERROR(VLOOKUP(I642,[1]AUTOS!$C:$G,2,0),"")</f>
        <v>MARCH</v>
      </c>
      <c r="K642">
        <f>IFERROR(VLOOKUP(I642,[1]AUTOS!$C:$G,3,0),"")</f>
        <v>2022</v>
      </c>
      <c r="L642" t="str">
        <f>IFERROR(VLOOKUP(I642,[1]AUTOS!$C:$G,4,0),"")</f>
        <v>BLANCO</v>
      </c>
      <c r="M642" t="s">
        <v>215</v>
      </c>
      <c r="N642" s="3">
        <v>0</v>
      </c>
      <c r="O642" s="3">
        <v>0</v>
      </c>
      <c r="P642" s="3">
        <v>-2750</v>
      </c>
    </row>
    <row r="643" spans="1:16" hidden="1" x14ac:dyDescent="0.3">
      <c r="A643">
        <v>34</v>
      </c>
      <c r="B643" t="str">
        <f>VLOOKUP($A643,[1]LISTA!$B:$C,2,0)</f>
        <v>AGOSTO</v>
      </c>
      <c r="C643" s="1">
        <v>2025</v>
      </c>
      <c r="D643" s="1" t="str">
        <f>IF($A643&lt;=[1]RESULTADOS!$D$6,"YTD","YTG")</f>
        <v>YTD</v>
      </c>
      <c r="E643" t="s">
        <v>411</v>
      </c>
      <c r="F643" t="s">
        <v>18</v>
      </c>
      <c r="G643" t="s">
        <v>57</v>
      </c>
      <c r="H643" t="s">
        <v>423</v>
      </c>
      <c r="I643" t="s">
        <v>178</v>
      </c>
      <c r="J643" t="str">
        <f>IFERROR(VLOOKUP(I643,[1]AUTOS!$C:$G,2,0),"")</f>
        <v>VERSA</v>
      </c>
      <c r="K643">
        <f>IFERROR(VLOOKUP(I643,[1]AUTOS!$C:$G,3,0),"")</f>
        <v>2020</v>
      </c>
      <c r="L643" t="str">
        <f>IFERROR(VLOOKUP(I643,[1]AUTOS!$C:$G,4,0),"")</f>
        <v>BLANCO</v>
      </c>
      <c r="M643" t="s">
        <v>43</v>
      </c>
      <c r="N643" s="3">
        <v>0</v>
      </c>
      <c r="O643" s="3">
        <v>0</v>
      </c>
      <c r="P643" s="3">
        <v>-60</v>
      </c>
    </row>
    <row r="644" spans="1:16" hidden="1" x14ac:dyDescent="0.3">
      <c r="A644">
        <v>34</v>
      </c>
      <c r="B644" t="str">
        <f>VLOOKUP($A644,[1]LISTA!$B:$C,2,0)</f>
        <v>AGOSTO</v>
      </c>
      <c r="C644" s="1">
        <v>2025</v>
      </c>
      <c r="D644" s="1" t="str">
        <f>IF($A644&lt;=[1]RESULTADOS!$D$6,"YTD","YTG")</f>
        <v>YTD</v>
      </c>
      <c r="E644" t="s">
        <v>411</v>
      </c>
      <c r="F644" t="s">
        <v>18</v>
      </c>
      <c r="G644" t="s">
        <v>57</v>
      </c>
      <c r="H644" t="s">
        <v>423</v>
      </c>
      <c r="I644" t="s">
        <v>178</v>
      </c>
      <c r="J644" t="str">
        <f>IFERROR(VLOOKUP(I644,[1]AUTOS!$C:$G,2,0),"")</f>
        <v>VERSA</v>
      </c>
      <c r="K644">
        <f>IFERROR(VLOOKUP(I644,[1]AUTOS!$C:$G,3,0),"")</f>
        <v>2020</v>
      </c>
      <c r="L644" t="str">
        <f>IFERROR(VLOOKUP(I644,[1]AUTOS!$C:$G,4,0),"")</f>
        <v>BLANCO</v>
      </c>
      <c r="M644" t="s">
        <v>43</v>
      </c>
      <c r="N644" s="3">
        <v>0</v>
      </c>
      <c r="O644" s="3">
        <v>0</v>
      </c>
      <c r="P644" s="3">
        <v>-120</v>
      </c>
    </row>
    <row r="645" spans="1:16" hidden="1" x14ac:dyDescent="0.3">
      <c r="A645">
        <v>34</v>
      </c>
      <c r="B645" t="str">
        <f>VLOOKUP($A645,[1]LISTA!$B:$C,2,0)</f>
        <v>AGOSTO</v>
      </c>
      <c r="C645" s="1">
        <v>2025</v>
      </c>
      <c r="D645" s="1" t="str">
        <f>IF($A645&lt;=[1]RESULTADOS!$D$6,"YTD","YTG")</f>
        <v>YTD</v>
      </c>
      <c r="E645" t="s">
        <v>411</v>
      </c>
      <c r="F645" t="s">
        <v>18</v>
      </c>
      <c r="G645" t="s">
        <v>57</v>
      </c>
      <c r="H645" t="s">
        <v>424</v>
      </c>
      <c r="I645" t="s">
        <v>178</v>
      </c>
      <c r="J645" t="str">
        <f>IFERROR(VLOOKUP(I645,[1]AUTOS!$C:$G,2,0),"")</f>
        <v>VERSA</v>
      </c>
      <c r="K645">
        <f>IFERROR(VLOOKUP(I645,[1]AUTOS!$C:$G,3,0),"")</f>
        <v>2020</v>
      </c>
      <c r="L645" t="str">
        <f>IFERROR(VLOOKUP(I645,[1]AUTOS!$C:$G,4,0),"")</f>
        <v>BLANCO</v>
      </c>
      <c r="M645" t="s">
        <v>43</v>
      </c>
      <c r="N645" s="3">
        <v>0</v>
      </c>
      <c r="O645" s="3">
        <v>0</v>
      </c>
      <c r="P645" s="3">
        <v>-200</v>
      </c>
    </row>
    <row r="646" spans="1:16" hidden="1" x14ac:dyDescent="0.3">
      <c r="A646">
        <v>34</v>
      </c>
      <c r="B646" t="str">
        <f>VLOOKUP($A646,[1]LISTA!$B:$C,2,0)</f>
        <v>AGOSTO</v>
      </c>
      <c r="C646" s="1">
        <v>2025</v>
      </c>
      <c r="D646" s="1" t="str">
        <f>IF($A646&lt;=[1]RESULTADOS!$D$6,"YTD","YTG")</f>
        <v>YTD</v>
      </c>
      <c r="E646" t="s">
        <v>17</v>
      </c>
      <c r="F646" t="s">
        <v>18</v>
      </c>
      <c r="G646" t="s">
        <v>38</v>
      </c>
      <c r="H646" t="s">
        <v>425</v>
      </c>
      <c r="I646" t="s">
        <v>384</v>
      </c>
      <c r="J646" t="str">
        <f>IFERROR(VLOOKUP(I646,[1]AUTOS!$C:$G,2,0),"")</f>
        <v>MARCH</v>
      </c>
      <c r="K646">
        <f>IFERROR(VLOOKUP(I646,[1]AUTOS!$C:$G,3,0),"")</f>
        <v>2022</v>
      </c>
      <c r="L646" t="str">
        <f>IFERROR(VLOOKUP(I646,[1]AUTOS!$C:$G,4,0),"")</f>
        <v>BLANCO</v>
      </c>
      <c r="M646" t="s">
        <v>215</v>
      </c>
      <c r="N646" s="3">
        <v>0</v>
      </c>
      <c r="O646" s="3">
        <v>0</v>
      </c>
      <c r="P646" s="3">
        <v>-600</v>
      </c>
    </row>
    <row r="647" spans="1:16" hidden="1" x14ac:dyDescent="0.3">
      <c r="A647">
        <v>34</v>
      </c>
      <c r="B647" t="str">
        <f>VLOOKUP($A647,[1]LISTA!$B:$C,2,0)</f>
        <v>AGOSTO</v>
      </c>
      <c r="C647" s="1">
        <v>2025</v>
      </c>
      <c r="D647" s="1" t="str">
        <f>IF($A647&lt;=[1]RESULTADOS!$D$6,"YTD","YTG")</f>
        <v>YTD</v>
      </c>
      <c r="E647" t="s">
        <v>17</v>
      </c>
      <c r="F647" t="s">
        <v>18</v>
      </c>
      <c r="G647" t="s">
        <v>38</v>
      </c>
      <c r="H647" t="s">
        <v>193</v>
      </c>
      <c r="I647" t="s">
        <v>384</v>
      </c>
      <c r="J647" t="str">
        <f>IFERROR(VLOOKUP(I647,[1]AUTOS!$C:$G,2,0),"")</f>
        <v>MARCH</v>
      </c>
      <c r="K647">
        <f>IFERROR(VLOOKUP(I647,[1]AUTOS!$C:$G,3,0),"")</f>
        <v>2022</v>
      </c>
      <c r="L647" t="str">
        <f>IFERROR(VLOOKUP(I647,[1]AUTOS!$C:$G,4,0),"")</f>
        <v>BLANCO</v>
      </c>
      <c r="M647" t="s">
        <v>215</v>
      </c>
      <c r="N647" s="3">
        <v>0</v>
      </c>
      <c r="O647" s="3">
        <v>0</v>
      </c>
      <c r="P647" s="3">
        <v>-70</v>
      </c>
    </row>
    <row r="648" spans="1:16" hidden="1" x14ac:dyDescent="0.3">
      <c r="A648">
        <v>34</v>
      </c>
      <c r="B648" t="str">
        <f>VLOOKUP($A648,[1]LISTA!$B:$C,2,0)</f>
        <v>AGOSTO</v>
      </c>
      <c r="C648" s="1">
        <v>2025</v>
      </c>
      <c r="D648" s="1" t="str">
        <f>IF($A648&lt;=[1]RESULTADOS!$D$6,"YTD","YTG")</f>
        <v>YTD</v>
      </c>
      <c r="E648" t="s">
        <v>17</v>
      </c>
      <c r="F648" t="s">
        <v>18</v>
      </c>
      <c r="G648" t="s">
        <v>38</v>
      </c>
      <c r="H648" t="s">
        <v>426</v>
      </c>
      <c r="I648" t="s">
        <v>384</v>
      </c>
      <c r="J648" t="str">
        <f>IFERROR(VLOOKUP(I648,[1]AUTOS!$C:$G,2,0),"")</f>
        <v>MARCH</v>
      </c>
      <c r="K648">
        <f>IFERROR(VLOOKUP(I648,[1]AUTOS!$C:$G,3,0),"")</f>
        <v>2022</v>
      </c>
      <c r="L648" t="str">
        <f>IFERROR(VLOOKUP(I648,[1]AUTOS!$C:$G,4,0),"")</f>
        <v>BLANCO</v>
      </c>
      <c r="M648" t="s">
        <v>215</v>
      </c>
      <c r="N648" s="3">
        <v>0</v>
      </c>
      <c r="O648" s="3">
        <v>0</v>
      </c>
      <c r="P648" s="3">
        <v>-40</v>
      </c>
    </row>
    <row r="649" spans="1:16" hidden="1" x14ac:dyDescent="0.3">
      <c r="A649">
        <v>34</v>
      </c>
      <c r="B649" t="str">
        <f>VLOOKUP($A649,[1]LISTA!$B:$C,2,0)</f>
        <v>AGOSTO</v>
      </c>
      <c r="C649" s="1">
        <v>2025</v>
      </c>
      <c r="D649" s="1" t="str">
        <f>IF($A649&lt;=[1]RESULTADOS!$D$6,"YTD","YTG")</f>
        <v>YTD</v>
      </c>
      <c r="E649" t="s">
        <v>17</v>
      </c>
      <c r="F649" t="s">
        <v>18</v>
      </c>
      <c r="G649" t="s">
        <v>32</v>
      </c>
      <c r="H649" t="s">
        <v>229</v>
      </c>
      <c r="I649" t="s">
        <v>383</v>
      </c>
      <c r="J649" t="str">
        <f>IFERROR(VLOOKUP(I649,[1]AUTOS!$C:$G,2,0),"")</f>
        <v>VENTO</v>
      </c>
      <c r="K649">
        <f>IFERROR(VLOOKUP(I649,[1]AUTOS!$C:$G,3,0),"")</f>
        <v>2020</v>
      </c>
      <c r="L649" t="str">
        <f>IFERROR(VLOOKUP(I649,[1]AUTOS!$C:$G,4,0),"")</f>
        <v>GRIS</v>
      </c>
      <c r="M649" t="s">
        <v>215</v>
      </c>
      <c r="N649" s="3">
        <v>0</v>
      </c>
      <c r="O649" s="3">
        <v>0</v>
      </c>
      <c r="P649" s="3">
        <v>-400</v>
      </c>
    </row>
    <row r="650" spans="1:16" hidden="1" x14ac:dyDescent="0.3">
      <c r="A650">
        <v>34</v>
      </c>
      <c r="B650" t="str">
        <f>VLOOKUP($A650,[1]LISTA!$B:$C,2,0)</f>
        <v>AGOSTO</v>
      </c>
      <c r="C650" s="1">
        <v>2025</v>
      </c>
      <c r="D650" s="1" t="str">
        <f>IF($A650&lt;=[1]RESULTADOS!$D$6,"YTD","YTG")</f>
        <v>YTD</v>
      </c>
      <c r="E650" t="s">
        <v>17</v>
      </c>
      <c r="F650" t="s">
        <v>18</v>
      </c>
      <c r="G650" t="s">
        <v>57</v>
      </c>
      <c r="H650" t="s">
        <v>427</v>
      </c>
      <c r="I650" t="s">
        <v>46</v>
      </c>
      <c r="J650" t="str">
        <f>IFERROR(VLOOKUP(I650,[1]AUTOS!$C:$G,2,0),"")</f>
        <v>MARCH</v>
      </c>
      <c r="K650">
        <f>IFERROR(VLOOKUP(I650,[1]AUTOS!$C:$G,3,0),"")</f>
        <v>2020</v>
      </c>
      <c r="L650" t="str">
        <f>IFERROR(VLOOKUP(I650,[1]AUTOS!$C:$G,4,0),"")</f>
        <v>TURQ</v>
      </c>
      <c r="M650" t="s">
        <v>43</v>
      </c>
      <c r="N650" s="3">
        <v>0</v>
      </c>
      <c r="O650" s="3">
        <v>0</v>
      </c>
      <c r="P650" s="3">
        <v>-417</v>
      </c>
    </row>
    <row r="651" spans="1:16" hidden="1" x14ac:dyDescent="0.3">
      <c r="A651">
        <v>34</v>
      </c>
      <c r="B651" t="str">
        <f>VLOOKUP($A651,[1]LISTA!$B:$C,2,0)</f>
        <v>AGOSTO</v>
      </c>
      <c r="C651" s="1">
        <v>2025</v>
      </c>
      <c r="D651" s="1" t="str">
        <f>IF($A651&lt;=[1]RESULTADOS!$D$6,"YTD","YTG")</f>
        <v>YTD</v>
      </c>
      <c r="E651" t="s">
        <v>17</v>
      </c>
      <c r="F651" t="s">
        <v>18</v>
      </c>
      <c r="G651" t="s">
        <v>87</v>
      </c>
      <c r="H651" t="s">
        <v>428</v>
      </c>
      <c r="I651" t="s">
        <v>112</v>
      </c>
      <c r="J651" t="str">
        <f>IFERROR(VLOOKUP(I651,[1]AUTOS!$C:$G,2,0),"")</f>
        <v>KIA RIO</v>
      </c>
      <c r="K651">
        <f>IFERROR(VLOOKUP(I651,[1]AUTOS!$C:$G,3,0),"")</f>
        <v>2020</v>
      </c>
      <c r="L651" t="str">
        <f>IFERROR(VLOOKUP(I651,[1]AUTOS!$C:$G,4,0),"")</f>
        <v>ROJO</v>
      </c>
      <c r="M651" t="s">
        <v>43</v>
      </c>
      <c r="N651" s="3">
        <v>0</v>
      </c>
      <c r="O651" s="3">
        <v>0</v>
      </c>
      <c r="P651" s="3">
        <v>-150</v>
      </c>
    </row>
    <row r="652" spans="1:16" hidden="1" x14ac:dyDescent="0.3">
      <c r="A652">
        <v>34</v>
      </c>
      <c r="B652" t="str">
        <f>VLOOKUP($A652,[1]LISTA!$B:$C,2,0)</f>
        <v>AGOSTO</v>
      </c>
      <c r="C652" s="1">
        <v>2025</v>
      </c>
      <c r="D652" s="1" t="str">
        <f>IF($A652&lt;=[1]RESULTADOS!$D$6,"YTD","YTG")</f>
        <v>YTD</v>
      </c>
      <c r="E652" t="s">
        <v>17</v>
      </c>
      <c r="F652" t="s">
        <v>18</v>
      </c>
      <c r="G652" t="s">
        <v>32</v>
      </c>
      <c r="H652" t="s">
        <v>429</v>
      </c>
      <c r="I652" t="s">
        <v>366</v>
      </c>
      <c r="J652" t="str">
        <f>IFERROR(VLOOKUP(I652,[1]AUTOS!$C:$G,2,0),"")</f>
        <v>VENTO</v>
      </c>
      <c r="K652">
        <f>IFERROR(VLOOKUP(I652,[1]AUTOS!$C:$G,3,0),"")</f>
        <v>2019</v>
      </c>
      <c r="L652" t="str">
        <f>IFERROR(VLOOKUP(I652,[1]AUTOS!$C:$G,4,0),"")</f>
        <v>BLANCO</v>
      </c>
      <c r="M652" t="s">
        <v>215</v>
      </c>
      <c r="N652" s="3">
        <v>0</v>
      </c>
      <c r="O652" s="3">
        <v>0</v>
      </c>
      <c r="P652" s="3">
        <v>-1888</v>
      </c>
    </row>
    <row r="653" spans="1:16" hidden="1" x14ac:dyDescent="0.3">
      <c r="A653">
        <v>34</v>
      </c>
      <c r="B653" t="str">
        <f>VLOOKUP($A653,[1]LISTA!$B:$C,2,0)</f>
        <v>AGOSTO</v>
      </c>
      <c r="C653" s="1">
        <v>2025</v>
      </c>
      <c r="D653" s="1" t="str">
        <f>IF($A653&lt;=[1]RESULTADOS!$D$6,"YTD","YTG")</f>
        <v>YTD</v>
      </c>
      <c r="E653" t="s">
        <v>17</v>
      </c>
      <c r="F653" t="s">
        <v>18</v>
      </c>
      <c r="G653" t="s">
        <v>57</v>
      </c>
      <c r="H653" t="s">
        <v>430</v>
      </c>
      <c r="I653" t="s">
        <v>366</v>
      </c>
      <c r="J653" t="str">
        <f>IFERROR(VLOOKUP(I653,[1]AUTOS!$C:$G,2,0),"")</f>
        <v>VENTO</v>
      </c>
      <c r="K653">
        <f>IFERROR(VLOOKUP(I653,[1]AUTOS!$C:$G,3,0),"")</f>
        <v>2019</v>
      </c>
      <c r="L653" t="str">
        <f>IFERROR(VLOOKUP(I653,[1]AUTOS!$C:$G,4,0),"")</f>
        <v>BLANCO</v>
      </c>
      <c r="M653" t="s">
        <v>215</v>
      </c>
      <c r="N653" s="3">
        <v>0</v>
      </c>
      <c r="O653" s="3">
        <v>0</v>
      </c>
      <c r="P653" s="3">
        <v>-748</v>
      </c>
    </row>
    <row r="654" spans="1:16" hidden="1" x14ac:dyDescent="0.3">
      <c r="A654">
        <v>34</v>
      </c>
      <c r="B654" t="str">
        <f>VLOOKUP($A654,[1]LISTA!$B:$C,2,0)</f>
        <v>AGOSTO</v>
      </c>
      <c r="C654" s="1">
        <v>2025</v>
      </c>
      <c r="D654" s="1" t="str">
        <f>IF($A654&lt;=[1]RESULTADOS!$D$6,"YTD","YTG")</f>
        <v>YTD</v>
      </c>
      <c r="E654" t="s">
        <v>17</v>
      </c>
      <c r="F654" t="s">
        <v>18</v>
      </c>
      <c r="G654" t="s">
        <v>29</v>
      </c>
      <c r="H654" t="s">
        <v>431</v>
      </c>
      <c r="I654" t="s">
        <v>384</v>
      </c>
      <c r="J654" t="str">
        <f>IFERROR(VLOOKUP(I654,[1]AUTOS!$C:$G,2,0),"")</f>
        <v>MARCH</v>
      </c>
      <c r="K654">
        <f>IFERROR(VLOOKUP(I654,[1]AUTOS!$C:$G,3,0),"")</f>
        <v>2022</v>
      </c>
      <c r="L654" t="str">
        <f>IFERROR(VLOOKUP(I654,[1]AUTOS!$C:$G,4,0),"")</f>
        <v>BLANCO</v>
      </c>
      <c r="M654" t="s">
        <v>215</v>
      </c>
      <c r="N654" s="3">
        <v>0</v>
      </c>
      <c r="O654" s="3">
        <v>0</v>
      </c>
      <c r="P654" s="3">
        <v>-300</v>
      </c>
    </row>
    <row r="655" spans="1:16" hidden="1" x14ac:dyDescent="0.3">
      <c r="A655">
        <v>34</v>
      </c>
      <c r="B655" t="str">
        <f>VLOOKUP($A655,[1]LISTA!$B:$C,2,0)</f>
        <v>AGOSTO</v>
      </c>
      <c r="C655" s="1">
        <v>2025</v>
      </c>
      <c r="D655" s="1" t="str">
        <f>IF($A655&lt;=[1]RESULTADOS!$D$6,"YTD","YTG")</f>
        <v>YTD</v>
      </c>
      <c r="E655" t="s">
        <v>17</v>
      </c>
      <c r="F655" t="s">
        <v>18</v>
      </c>
      <c r="G655" t="s">
        <v>29</v>
      </c>
      <c r="H655" t="s">
        <v>432</v>
      </c>
      <c r="I655" t="s">
        <v>366</v>
      </c>
      <c r="J655" t="str">
        <f>IFERROR(VLOOKUP(I655,[1]AUTOS!$C:$G,2,0),"")</f>
        <v>VENTO</v>
      </c>
      <c r="K655">
        <f>IFERROR(VLOOKUP(I655,[1]AUTOS!$C:$G,3,0),"")</f>
        <v>2019</v>
      </c>
      <c r="L655" t="str">
        <f>IFERROR(VLOOKUP(I655,[1]AUTOS!$C:$G,4,0),"")</f>
        <v>BLANCO</v>
      </c>
      <c r="M655" t="s">
        <v>215</v>
      </c>
      <c r="N655" s="3">
        <v>0</v>
      </c>
      <c r="O655" s="3">
        <v>0</v>
      </c>
      <c r="P655" s="3">
        <v>-100</v>
      </c>
    </row>
    <row r="656" spans="1:16" hidden="1" x14ac:dyDescent="0.3">
      <c r="A656">
        <v>34</v>
      </c>
      <c r="B656" t="str">
        <f>VLOOKUP($A656,[1]LISTA!$B:$C,2,0)</f>
        <v>AGOSTO</v>
      </c>
      <c r="C656" s="1">
        <v>2025</v>
      </c>
      <c r="D656" s="1" t="str">
        <f>IF($A656&lt;=[1]RESULTADOS!$D$6,"YTD","YTG")</f>
        <v>YTD</v>
      </c>
      <c r="E656" t="s">
        <v>17</v>
      </c>
      <c r="F656" t="s">
        <v>18</v>
      </c>
      <c r="G656" t="s">
        <v>137</v>
      </c>
      <c r="H656" t="s">
        <v>433</v>
      </c>
      <c r="I656" t="s">
        <v>366</v>
      </c>
      <c r="J656" t="str">
        <f>IFERROR(VLOOKUP(I656,[1]AUTOS!$C:$G,2,0),"")</f>
        <v>VENTO</v>
      </c>
      <c r="K656">
        <f>IFERROR(VLOOKUP(I656,[1]AUTOS!$C:$G,3,0),"")</f>
        <v>2019</v>
      </c>
      <c r="L656" t="str">
        <f>IFERROR(VLOOKUP(I656,[1]AUTOS!$C:$G,4,0),"")</f>
        <v>BLANCO</v>
      </c>
      <c r="M656" t="s">
        <v>215</v>
      </c>
      <c r="N656" s="3">
        <v>0</v>
      </c>
      <c r="O656" s="3">
        <v>0</v>
      </c>
      <c r="P656" s="3">
        <v>-1710</v>
      </c>
    </row>
    <row r="657" spans="1:16" hidden="1" x14ac:dyDescent="0.3">
      <c r="A657">
        <v>34</v>
      </c>
      <c r="B657" t="str">
        <f>VLOOKUP($A657,[1]LISTA!$B:$C,2,0)</f>
        <v>AGOSTO</v>
      </c>
      <c r="C657" s="1">
        <v>2025</v>
      </c>
      <c r="D657" s="1" t="str">
        <f>IF($A657&lt;=[1]RESULTADOS!$D$6,"YTD","YTG")</f>
        <v>YTD</v>
      </c>
      <c r="E657" t="s">
        <v>434</v>
      </c>
      <c r="F657" t="s">
        <v>18</v>
      </c>
      <c r="G657" t="s">
        <v>160</v>
      </c>
      <c r="H657" t="s">
        <v>435</v>
      </c>
      <c r="I657" t="s">
        <v>34</v>
      </c>
      <c r="J657" t="str">
        <f>IFERROR(VLOOKUP(I657,[1]AUTOS!$C:$G,2,0),"")</f>
        <v>AVEO</v>
      </c>
      <c r="K657">
        <f>IFERROR(VLOOKUP(I657,[1]AUTOS!$C:$G,3,0),"")</f>
        <v>2018</v>
      </c>
      <c r="L657" t="str">
        <f>IFERROR(VLOOKUP(I657,[1]AUTOS!$C:$G,4,0),"")</f>
        <v>ROJO</v>
      </c>
      <c r="M657" t="s">
        <v>35</v>
      </c>
      <c r="N657" s="3">
        <v>0</v>
      </c>
      <c r="O657" s="3">
        <v>0</v>
      </c>
      <c r="P657" s="3">
        <v>-12098.44</v>
      </c>
    </row>
    <row r="658" spans="1:16" hidden="1" x14ac:dyDescent="0.3">
      <c r="A658">
        <v>34</v>
      </c>
      <c r="B658" t="str">
        <f>VLOOKUP($A658,[1]LISTA!$B:$C,2,0)</f>
        <v>AGOSTO</v>
      </c>
      <c r="C658" s="1">
        <v>2025</v>
      </c>
      <c r="D658" s="1" t="str">
        <f>IF($A658&lt;=[1]RESULTADOS!$D$6,"YTD","YTG")</f>
        <v>YTD</v>
      </c>
      <c r="E658" t="s">
        <v>436</v>
      </c>
      <c r="F658" t="s">
        <v>18</v>
      </c>
      <c r="G658" t="s">
        <v>160</v>
      </c>
      <c r="H658" t="s">
        <v>437</v>
      </c>
      <c r="I658" t="s">
        <v>131</v>
      </c>
      <c r="J658" t="str">
        <f>IFERROR(VLOOKUP(I658,[1]AUTOS!$C:$G,2,0),"")</f>
        <v>AVEO</v>
      </c>
      <c r="K658">
        <f>IFERROR(VLOOKUP(I658,[1]AUTOS!$C:$G,3,0),"")</f>
        <v>2024</v>
      </c>
      <c r="L658" t="str">
        <f>IFERROR(VLOOKUP(I658,[1]AUTOS!$C:$G,4,0),"")</f>
        <v>GRIS</v>
      </c>
      <c r="M658" t="s">
        <v>43</v>
      </c>
      <c r="N658" s="3">
        <v>0</v>
      </c>
      <c r="O658" s="3">
        <v>0</v>
      </c>
      <c r="P658" s="3">
        <v>-14729.14</v>
      </c>
    </row>
    <row r="659" spans="1:16" hidden="1" x14ac:dyDescent="0.3">
      <c r="A659">
        <v>34</v>
      </c>
      <c r="B659" t="str">
        <f>VLOOKUP($A659,[1]LISTA!$B:$C,2,0)</f>
        <v>AGOSTO</v>
      </c>
      <c r="C659" s="1">
        <v>2025</v>
      </c>
      <c r="D659" s="1" t="str">
        <f>IF($A659&lt;=[1]RESULTADOS!$D$6,"YTD","YTG")</f>
        <v>YTD</v>
      </c>
      <c r="E659" t="s">
        <v>404</v>
      </c>
      <c r="F659" t="s">
        <v>18</v>
      </c>
      <c r="G659" t="s">
        <v>160</v>
      </c>
      <c r="H659" t="s">
        <v>435</v>
      </c>
      <c r="I659" t="s">
        <v>46</v>
      </c>
      <c r="J659" t="str">
        <f>IFERROR(VLOOKUP(I659,[1]AUTOS!$C:$G,2,0),"")</f>
        <v>MARCH</v>
      </c>
      <c r="K659">
        <f>IFERROR(VLOOKUP(I659,[1]AUTOS!$C:$G,3,0),"")</f>
        <v>2020</v>
      </c>
      <c r="L659" t="str">
        <f>IFERROR(VLOOKUP(I659,[1]AUTOS!$C:$G,4,0),"")</f>
        <v>TURQ</v>
      </c>
      <c r="M659" t="s">
        <v>43</v>
      </c>
      <c r="N659" s="3">
        <v>0</v>
      </c>
      <c r="O659" s="3">
        <v>0</v>
      </c>
      <c r="P659" s="3">
        <v>-14448.28</v>
      </c>
    </row>
    <row r="660" spans="1:16" hidden="1" x14ac:dyDescent="0.3">
      <c r="A660">
        <v>34</v>
      </c>
      <c r="B660" t="str">
        <f>VLOOKUP($A660,[1]LISTA!$B:$C,2,0)</f>
        <v>AGOSTO</v>
      </c>
      <c r="C660" s="1">
        <v>2025</v>
      </c>
      <c r="D660" s="1" t="str">
        <f>IF($A660&lt;=[1]RESULTADOS!$D$6,"YTD","YTG")</f>
        <v>YTD</v>
      </c>
      <c r="E660" t="s">
        <v>17</v>
      </c>
      <c r="F660" t="s">
        <v>18</v>
      </c>
      <c r="G660" t="s">
        <v>29</v>
      </c>
      <c r="H660" t="s">
        <v>438</v>
      </c>
      <c r="I660" t="s">
        <v>383</v>
      </c>
      <c r="J660" t="str">
        <f>IFERROR(VLOOKUP(I660,[1]AUTOS!$C:$G,2,0),"")</f>
        <v>VENTO</v>
      </c>
      <c r="K660">
        <f>IFERROR(VLOOKUP(I660,[1]AUTOS!$C:$G,3,0),"")</f>
        <v>2020</v>
      </c>
      <c r="L660" t="str">
        <f>IFERROR(VLOOKUP(I660,[1]AUTOS!$C:$G,4,0),"")</f>
        <v>GRIS</v>
      </c>
      <c r="M660" t="s">
        <v>215</v>
      </c>
      <c r="N660" s="3">
        <v>0</v>
      </c>
      <c r="O660" s="3">
        <v>0</v>
      </c>
      <c r="P660" s="3">
        <v>-245</v>
      </c>
    </row>
    <row r="661" spans="1:16" hidden="1" x14ac:dyDescent="0.3">
      <c r="A661">
        <v>34</v>
      </c>
      <c r="B661" t="str">
        <f>VLOOKUP($A661,[1]LISTA!$B:$C,2,0)</f>
        <v>AGOSTO</v>
      </c>
      <c r="C661" s="1">
        <v>2025</v>
      </c>
      <c r="D661" s="1" t="str">
        <f>IF($A661&lt;=[1]RESULTADOS!$D$6,"YTD","YTG")</f>
        <v>YTD</v>
      </c>
      <c r="E661" t="s">
        <v>17</v>
      </c>
      <c r="F661" t="s">
        <v>18</v>
      </c>
      <c r="G661" t="s">
        <v>77</v>
      </c>
      <c r="H661" t="s">
        <v>392</v>
      </c>
      <c r="I661" t="s">
        <v>383</v>
      </c>
      <c r="J661" t="str">
        <f>IFERROR(VLOOKUP(I661,[1]AUTOS!$C:$G,2,0),"")</f>
        <v>VENTO</v>
      </c>
      <c r="K661">
        <f>IFERROR(VLOOKUP(I661,[1]AUTOS!$C:$G,3,0),"")</f>
        <v>2020</v>
      </c>
      <c r="L661" t="str">
        <f>IFERROR(VLOOKUP(I661,[1]AUTOS!$C:$G,4,0),"")</f>
        <v>GRIS</v>
      </c>
      <c r="M661" t="s">
        <v>215</v>
      </c>
      <c r="N661" s="3">
        <v>0</v>
      </c>
      <c r="O661" s="3">
        <v>0</v>
      </c>
      <c r="P661" s="3">
        <v>-720</v>
      </c>
    </row>
    <row r="662" spans="1:16" hidden="1" x14ac:dyDescent="0.3">
      <c r="A662">
        <v>34</v>
      </c>
      <c r="B662" t="str">
        <f>VLOOKUP($A662,[1]LISTA!$B:$C,2,0)</f>
        <v>AGOSTO</v>
      </c>
      <c r="C662" s="1">
        <v>2025</v>
      </c>
      <c r="D662" s="1" t="str">
        <f>IF($A662&lt;=[1]RESULTADOS!$D$6,"YTD","YTG")</f>
        <v>YTD</v>
      </c>
      <c r="E662" t="s">
        <v>17</v>
      </c>
      <c r="F662" t="s">
        <v>18</v>
      </c>
      <c r="G662" t="s">
        <v>29</v>
      </c>
      <c r="H662" t="s">
        <v>438</v>
      </c>
      <c r="I662" t="s">
        <v>366</v>
      </c>
      <c r="J662" t="str">
        <f>IFERROR(VLOOKUP(I662,[1]AUTOS!$C:$G,2,0),"")</f>
        <v>VENTO</v>
      </c>
      <c r="K662">
        <f>IFERROR(VLOOKUP(I662,[1]AUTOS!$C:$G,3,0),"")</f>
        <v>2019</v>
      </c>
      <c r="L662" t="str">
        <f>IFERROR(VLOOKUP(I662,[1]AUTOS!$C:$G,4,0),"")</f>
        <v>BLANCO</v>
      </c>
      <c r="M662" t="s">
        <v>215</v>
      </c>
      <c r="N662" s="3">
        <v>0</v>
      </c>
      <c r="O662" s="3">
        <v>0</v>
      </c>
      <c r="P662" s="3">
        <v>-245</v>
      </c>
    </row>
    <row r="663" spans="1:16" hidden="1" x14ac:dyDescent="0.3">
      <c r="A663">
        <v>34</v>
      </c>
      <c r="B663" t="str">
        <f>VLOOKUP($A663,[1]LISTA!$B:$C,2,0)</f>
        <v>AGOSTO</v>
      </c>
      <c r="C663" s="1">
        <v>2025</v>
      </c>
      <c r="D663" s="1" t="str">
        <f>IF($A663&lt;=[1]RESULTADOS!$D$6,"YTD","YTG")</f>
        <v>YTD</v>
      </c>
      <c r="E663" t="s">
        <v>17</v>
      </c>
      <c r="F663" t="s">
        <v>18</v>
      </c>
      <c r="G663" t="s">
        <v>77</v>
      </c>
      <c r="H663" t="s">
        <v>392</v>
      </c>
      <c r="I663" t="s">
        <v>366</v>
      </c>
      <c r="J663" t="str">
        <f>IFERROR(VLOOKUP(I663,[1]AUTOS!$C:$G,2,0),"")</f>
        <v>VENTO</v>
      </c>
      <c r="K663">
        <f>IFERROR(VLOOKUP(I663,[1]AUTOS!$C:$G,3,0),"")</f>
        <v>2019</v>
      </c>
      <c r="L663" t="str">
        <f>IFERROR(VLOOKUP(I663,[1]AUTOS!$C:$G,4,0),"")</f>
        <v>BLANCO</v>
      </c>
      <c r="M663" t="s">
        <v>215</v>
      </c>
      <c r="N663" s="3">
        <v>0</v>
      </c>
      <c r="O663" s="3">
        <v>0</v>
      </c>
      <c r="P663" s="3">
        <v>-720</v>
      </c>
    </row>
    <row r="664" spans="1:16" hidden="1" x14ac:dyDescent="0.3">
      <c r="A664">
        <v>34</v>
      </c>
      <c r="B664" t="str">
        <f>VLOOKUP($A664,[1]LISTA!$B:$C,2,0)</f>
        <v>AGOSTO</v>
      </c>
      <c r="C664" s="1">
        <v>2025</v>
      </c>
      <c r="D664" s="1" t="str">
        <f>IF($A664&lt;=[1]RESULTADOS!$D$6,"YTD","YTG")</f>
        <v>YTD</v>
      </c>
      <c r="E664" t="s">
        <v>17</v>
      </c>
      <c r="F664" t="s">
        <v>18</v>
      </c>
      <c r="G664" t="s">
        <v>32</v>
      </c>
      <c r="H664" t="s">
        <v>229</v>
      </c>
      <c r="I664" t="s">
        <v>384</v>
      </c>
      <c r="J664" t="str">
        <f>IFERROR(VLOOKUP(I664,[1]AUTOS!$C:$G,2,0),"")</f>
        <v>MARCH</v>
      </c>
      <c r="K664">
        <f>IFERROR(VLOOKUP(I664,[1]AUTOS!$C:$G,3,0),"")</f>
        <v>2022</v>
      </c>
      <c r="L664" t="str">
        <f>IFERROR(VLOOKUP(I664,[1]AUTOS!$C:$G,4,0),"")</f>
        <v>BLANCO</v>
      </c>
      <c r="M664" t="s">
        <v>215</v>
      </c>
      <c r="N664" s="3">
        <v>0</v>
      </c>
      <c r="O664" s="3">
        <v>0</v>
      </c>
      <c r="P664" s="3">
        <v>-464</v>
      </c>
    </row>
    <row r="665" spans="1:16" hidden="1" x14ac:dyDescent="0.3">
      <c r="A665">
        <v>34</v>
      </c>
      <c r="B665" t="str">
        <f>VLOOKUP($A665,[1]LISTA!$B:$C,2,0)</f>
        <v>AGOSTO</v>
      </c>
      <c r="C665" s="1">
        <v>2025</v>
      </c>
      <c r="D665" s="1" t="str">
        <f>IF($A665&lt;=[1]RESULTADOS!$D$6,"YTD","YTG")</f>
        <v>YTD</v>
      </c>
      <c r="E665" t="s">
        <v>17</v>
      </c>
      <c r="F665" t="s">
        <v>18</v>
      </c>
      <c r="G665" t="s">
        <v>57</v>
      </c>
      <c r="H665" t="s">
        <v>439</v>
      </c>
      <c r="I665" t="s">
        <v>384</v>
      </c>
      <c r="J665" t="str">
        <f>IFERROR(VLOOKUP(I665,[1]AUTOS!$C:$G,2,0),"")</f>
        <v>MARCH</v>
      </c>
      <c r="K665">
        <f>IFERROR(VLOOKUP(I665,[1]AUTOS!$C:$G,3,0),"")</f>
        <v>2022</v>
      </c>
      <c r="L665" t="str">
        <f>IFERROR(VLOOKUP(I665,[1]AUTOS!$C:$G,4,0),"")</f>
        <v>BLANCO</v>
      </c>
      <c r="M665" t="s">
        <v>215</v>
      </c>
      <c r="N665" s="3">
        <v>0</v>
      </c>
      <c r="O665" s="3">
        <v>0</v>
      </c>
      <c r="P665" s="3">
        <v>-300</v>
      </c>
    </row>
    <row r="666" spans="1:16" hidden="1" x14ac:dyDescent="0.3">
      <c r="A666">
        <v>34</v>
      </c>
      <c r="B666" t="str">
        <f>VLOOKUP($A666,[1]LISTA!$B:$C,2,0)</f>
        <v>AGOSTO</v>
      </c>
      <c r="C666" s="1">
        <v>2025</v>
      </c>
      <c r="D666" s="1" t="str">
        <f>IF($A666&lt;=[1]RESULTADOS!$D$6,"YTD","YTG")</f>
        <v>YTD</v>
      </c>
      <c r="E666" t="s">
        <v>17</v>
      </c>
      <c r="F666" t="s">
        <v>18</v>
      </c>
      <c r="G666" t="s">
        <v>29</v>
      </c>
      <c r="H666" t="s">
        <v>438</v>
      </c>
      <c r="I666" t="s">
        <v>112</v>
      </c>
      <c r="J666" t="str">
        <f>IFERROR(VLOOKUP(I666,[1]AUTOS!$C:$G,2,0),"")</f>
        <v>KIA RIO</v>
      </c>
      <c r="K666">
        <f>IFERROR(VLOOKUP(I666,[1]AUTOS!$C:$G,3,0),"")</f>
        <v>2020</v>
      </c>
      <c r="L666" t="str">
        <f>IFERROR(VLOOKUP(I666,[1]AUTOS!$C:$G,4,0),"")</f>
        <v>ROJO</v>
      </c>
      <c r="M666" t="s">
        <v>43</v>
      </c>
      <c r="N666" s="3">
        <v>0</v>
      </c>
      <c r="O666" s="3">
        <v>0</v>
      </c>
      <c r="P666" s="3">
        <v>-245</v>
      </c>
    </row>
    <row r="667" spans="1:16" hidden="1" x14ac:dyDescent="0.3">
      <c r="A667">
        <v>34</v>
      </c>
      <c r="B667" t="str">
        <f>VLOOKUP($A667,[1]LISTA!$B:$C,2,0)</f>
        <v>AGOSTO</v>
      </c>
      <c r="C667" s="1">
        <v>2025</v>
      </c>
      <c r="D667" s="1" t="str">
        <f>IF($A667&lt;=[1]RESULTADOS!$D$6,"YTD","YTG")</f>
        <v>YTD</v>
      </c>
      <c r="E667" t="s">
        <v>17</v>
      </c>
      <c r="F667" t="s">
        <v>18</v>
      </c>
      <c r="G667" t="s">
        <v>160</v>
      </c>
      <c r="H667" t="s">
        <v>435</v>
      </c>
      <c r="I667" t="s">
        <v>112</v>
      </c>
      <c r="J667" t="str">
        <f>IFERROR(VLOOKUP(I667,[1]AUTOS!$C:$G,2,0),"")</f>
        <v>KIA RIO</v>
      </c>
      <c r="K667">
        <f>IFERROR(VLOOKUP(I667,[1]AUTOS!$C:$G,3,0),"")</f>
        <v>2020</v>
      </c>
      <c r="L667" t="str">
        <f>IFERROR(VLOOKUP(I667,[1]AUTOS!$C:$G,4,0),"")</f>
        <v>ROJO</v>
      </c>
      <c r="M667" t="s">
        <v>43</v>
      </c>
      <c r="N667" s="3">
        <v>0</v>
      </c>
      <c r="O667" s="3">
        <v>0</v>
      </c>
      <c r="P667" s="3">
        <v>-13097.55</v>
      </c>
    </row>
    <row r="668" spans="1:16" hidden="1" x14ac:dyDescent="0.3">
      <c r="A668">
        <v>34</v>
      </c>
      <c r="B668" t="str">
        <f>VLOOKUP($A668,[1]LISTA!$B:$C,2,0)</f>
        <v>AGOSTO</v>
      </c>
      <c r="C668" s="1">
        <v>2025</v>
      </c>
      <c r="D668" s="1" t="str">
        <f>IF($A668&lt;=[1]RESULTADOS!$D$6,"YTD","YTG")</f>
        <v>YTD</v>
      </c>
      <c r="E668" t="s">
        <v>17</v>
      </c>
      <c r="F668" t="s">
        <v>18</v>
      </c>
      <c r="G668" t="s">
        <v>160</v>
      </c>
      <c r="H668" t="s">
        <v>435</v>
      </c>
      <c r="I668" t="s">
        <v>440</v>
      </c>
      <c r="J668" t="str">
        <f>IFERROR(VLOOKUP(I668,[1]AUTOS!$C:$G,2,0),"")</f>
        <v>AVEO</v>
      </c>
      <c r="K668">
        <f>IFERROR(VLOOKUP(I668,[1]AUTOS!$C:$G,3,0),"")</f>
        <v>2021</v>
      </c>
      <c r="L668" t="str">
        <f>IFERROR(VLOOKUP(I668,[1]AUTOS!$C:$G,4,0),"")</f>
        <v>GRIS</v>
      </c>
      <c r="M668" t="s">
        <v>43</v>
      </c>
      <c r="N668" s="3">
        <v>0</v>
      </c>
      <c r="O668" s="3">
        <v>0</v>
      </c>
      <c r="P668" s="3">
        <v>-13616.54</v>
      </c>
    </row>
    <row r="669" spans="1:16" hidden="1" x14ac:dyDescent="0.3">
      <c r="A669">
        <v>35</v>
      </c>
      <c r="B669" t="str">
        <f>VLOOKUP($A669,[1]LISTA!$B:$C,2,0)</f>
        <v>AGOSTO</v>
      </c>
      <c r="C669" s="1">
        <v>2025</v>
      </c>
      <c r="D669" s="1" t="str">
        <f>IF($A669&lt;=[1]RESULTADOS!$D$6,"YTD","YTG")</f>
        <v>YTD</v>
      </c>
      <c r="E669" t="s">
        <v>17</v>
      </c>
      <c r="F669" t="s">
        <v>18</v>
      </c>
      <c r="G669" t="s">
        <v>23</v>
      </c>
      <c r="H669" t="s">
        <v>441</v>
      </c>
      <c r="I669" t="s">
        <v>21</v>
      </c>
      <c r="J669" t="str">
        <f>IFERROR(VLOOKUP(I669,[1]AUTOS!$C:$G,2,0),"")</f>
        <v/>
      </c>
      <c r="K669" t="str">
        <f>IFERROR(VLOOKUP(I669,[1]AUTOS!$C:$G,3,0),"")</f>
        <v/>
      </c>
      <c r="L669" t="str">
        <f>IFERROR(VLOOKUP(I669,[1]AUTOS!$C:$G,4,0),"")</f>
        <v/>
      </c>
      <c r="M669" t="s">
        <v>22</v>
      </c>
      <c r="N669" s="3">
        <v>0</v>
      </c>
      <c r="O669" s="3">
        <v>0</v>
      </c>
      <c r="P669" s="3">
        <v>-100</v>
      </c>
    </row>
    <row r="670" spans="1:16" hidden="1" x14ac:dyDescent="0.3">
      <c r="A670">
        <v>35</v>
      </c>
      <c r="B670" t="str">
        <f>VLOOKUP($A670,[1]LISTA!$B:$C,2,0)</f>
        <v>AGOSTO</v>
      </c>
      <c r="C670" s="1">
        <v>2025</v>
      </c>
      <c r="D670" s="1" t="str">
        <f>IF($A670&lt;=[1]RESULTADOS!$D$6,"YTD","YTG")</f>
        <v>YTD</v>
      </c>
      <c r="E670" t="s">
        <v>17</v>
      </c>
      <c r="F670" t="s">
        <v>18</v>
      </c>
      <c r="G670" t="s">
        <v>29</v>
      </c>
      <c r="H670" t="s">
        <v>442</v>
      </c>
      <c r="I670" t="s">
        <v>313</v>
      </c>
      <c r="J670" t="str">
        <f>IFERROR(VLOOKUP(I670,[1]AUTOS!$C:$G,2,0),"")</f>
        <v>MARCH</v>
      </c>
      <c r="K670">
        <f>IFERROR(VLOOKUP(I670,[1]AUTOS!$C:$G,3,0),"")</f>
        <v>2019</v>
      </c>
      <c r="L670" t="str">
        <f>IFERROR(VLOOKUP(I670,[1]AUTOS!$C:$G,4,0),"")</f>
        <v>TURQ</v>
      </c>
      <c r="M670" t="s">
        <v>140</v>
      </c>
      <c r="N670" s="3">
        <v>0</v>
      </c>
      <c r="O670" s="3">
        <v>0</v>
      </c>
      <c r="P670" s="3">
        <v>-250</v>
      </c>
    </row>
    <row r="671" spans="1:16" hidden="1" x14ac:dyDescent="0.3">
      <c r="A671">
        <v>35</v>
      </c>
      <c r="B671" t="str">
        <f>VLOOKUP($A671,[1]LISTA!$B:$C,2,0)</f>
        <v>AGOSTO</v>
      </c>
      <c r="C671" s="1">
        <v>2025</v>
      </c>
      <c r="D671" s="1" t="str">
        <f>IF($A671&lt;=[1]RESULTADOS!$D$6,"YTD","YTG")</f>
        <v>YTD</v>
      </c>
      <c r="E671" t="s">
        <v>17</v>
      </c>
      <c r="F671" t="s">
        <v>18</v>
      </c>
      <c r="G671" t="s">
        <v>77</v>
      </c>
      <c r="H671" t="s">
        <v>392</v>
      </c>
      <c r="I671" t="s">
        <v>384</v>
      </c>
      <c r="J671" t="str">
        <f>IFERROR(VLOOKUP(I671,[1]AUTOS!$C:$G,2,0),"")</f>
        <v>MARCH</v>
      </c>
      <c r="K671">
        <f>IFERROR(VLOOKUP(I671,[1]AUTOS!$C:$G,3,0),"")</f>
        <v>2022</v>
      </c>
      <c r="L671" t="str">
        <f>IFERROR(VLOOKUP(I671,[1]AUTOS!$C:$G,4,0),"")</f>
        <v>BLANCO</v>
      </c>
      <c r="M671" t="s">
        <v>215</v>
      </c>
      <c r="N671" s="3">
        <v>0</v>
      </c>
      <c r="O671" s="3">
        <v>0</v>
      </c>
      <c r="P671" s="3">
        <v>-720</v>
      </c>
    </row>
    <row r="672" spans="1:16" hidden="1" x14ac:dyDescent="0.3">
      <c r="A672">
        <v>35</v>
      </c>
      <c r="B672" t="str">
        <f>VLOOKUP($A672,[1]LISTA!$B:$C,2,0)</f>
        <v>AGOSTO</v>
      </c>
      <c r="C672" s="1">
        <v>2025</v>
      </c>
      <c r="D672" s="1" t="str">
        <f>IF($A672&lt;=[1]RESULTADOS!$D$6,"YTD","YTG")</f>
        <v>YTD</v>
      </c>
      <c r="E672" t="s">
        <v>17</v>
      </c>
      <c r="F672" t="s">
        <v>18</v>
      </c>
      <c r="G672" t="s">
        <v>57</v>
      </c>
      <c r="H672" t="s">
        <v>443</v>
      </c>
      <c r="I672" t="s">
        <v>21</v>
      </c>
      <c r="J672" t="str">
        <f>IFERROR(VLOOKUP(I672,[1]AUTOS!$C:$G,2,0),"")</f>
        <v/>
      </c>
      <c r="K672" t="str">
        <f>IFERROR(VLOOKUP(I672,[1]AUTOS!$C:$G,3,0),"")</f>
        <v/>
      </c>
      <c r="L672" t="str">
        <f>IFERROR(VLOOKUP(I672,[1]AUTOS!$C:$G,4,0),"")</f>
        <v/>
      </c>
      <c r="M672" t="s">
        <v>22</v>
      </c>
      <c r="N672" s="3">
        <v>0</v>
      </c>
      <c r="O672" s="3">
        <v>0</v>
      </c>
      <c r="P672" s="3">
        <v>-30</v>
      </c>
    </row>
    <row r="673" spans="1:16" hidden="1" x14ac:dyDescent="0.3">
      <c r="A673">
        <v>35</v>
      </c>
      <c r="B673" t="str">
        <f>VLOOKUP($A673,[1]LISTA!$B:$C,2,0)</f>
        <v>AGOSTO</v>
      </c>
      <c r="C673" s="1">
        <v>2025</v>
      </c>
      <c r="D673" s="1" t="str">
        <f>IF($A673&lt;=[1]RESULTADOS!$D$6,"YTD","YTG")</f>
        <v>YTD</v>
      </c>
      <c r="E673" t="s">
        <v>17</v>
      </c>
      <c r="F673" t="s">
        <v>18</v>
      </c>
      <c r="G673" t="s">
        <v>29</v>
      </c>
      <c r="H673" t="s">
        <v>442</v>
      </c>
      <c r="I673" t="s">
        <v>383</v>
      </c>
      <c r="J673" t="str">
        <f>IFERROR(VLOOKUP(I673,[1]AUTOS!$C:$G,2,0),"")</f>
        <v>VENTO</v>
      </c>
      <c r="K673">
        <f>IFERROR(VLOOKUP(I673,[1]AUTOS!$C:$G,3,0),"")</f>
        <v>2020</v>
      </c>
      <c r="L673" t="str">
        <f>IFERROR(VLOOKUP(I673,[1]AUTOS!$C:$G,4,0),"")</f>
        <v>GRIS</v>
      </c>
      <c r="M673" t="s">
        <v>215</v>
      </c>
      <c r="N673" s="3">
        <v>0</v>
      </c>
      <c r="O673" s="3">
        <v>0</v>
      </c>
      <c r="P673" s="3">
        <v>-245</v>
      </c>
    </row>
    <row r="674" spans="1:16" hidden="1" x14ac:dyDescent="0.3">
      <c r="A674">
        <v>35</v>
      </c>
      <c r="B674" t="str">
        <f>VLOOKUP($A674,[1]LISTA!$B:$C,2,0)</f>
        <v>AGOSTO</v>
      </c>
      <c r="C674" s="1">
        <v>2025</v>
      </c>
      <c r="D674" s="1" t="str">
        <f>IF($A674&lt;=[1]RESULTADOS!$D$6,"YTD","YTG")</f>
        <v>YTD</v>
      </c>
      <c r="E674" t="s">
        <v>411</v>
      </c>
      <c r="F674" t="s">
        <v>18</v>
      </c>
      <c r="G674" t="s">
        <v>57</v>
      </c>
      <c r="H674" t="s">
        <v>444</v>
      </c>
      <c r="I674" t="s">
        <v>178</v>
      </c>
      <c r="J674" t="str">
        <f>IFERROR(VLOOKUP(I674,[1]AUTOS!$C:$G,2,0),"")</f>
        <v>VERSA</v>
      </c>
      <c r="K674">
        <f>IFERROR(VLOOKUP(I674,[1]AUTOS!$C:$G,3,0),"")</f>
        <v>2020</v>
      </c>
      <c r="L674" t="str">
        <f>IFERROR(VLOOKUP(I674,[1]AUTOS!$C:$G,4,0),"")</f>
        <v>BLANCO</v>
      </c>
      <c r="M674" t="s">
        <v>43</v>
      </c>
      <c r="N674" s="3">
        <v>0</v>
      </c>
      <c r="O674" s="3">
        <v>0</v>
      </c>
      <c r="P674" s="3">
        <v>-1400</v>
      </c>
    </row>
    <row r="675" spans="1:16" hidden="1" x14ac:dyDescent="0.3">
      <c r="A675">
        <v>35</v>
      </c>
      <c r="B675" t="str">
        <f>VLOOKUP($A675,[1]LISTA!$B:$C,2,0)</f>
        <v>AGOSTO</v>
      </c>
      <c r="C675" s="1">
        <v>2025</v>
      </c>
      <c r="D675" s="1" t="str">
        <f>IF($A675&lt;=[1]RESULTADOS!$D$6,"YTD","YTG")</f>
        <v>YTD</v>
      </c>
      <c r="E675" t="s">
        <v>411</v>
      </c>
      <c r="F675" t="s">
        <v>18</v>
      </c>
      <c r="G675" t="s">
        <v>57</v>
      </c>
      <c r="H675" t="s">
        <v>445</v>
      </c>
      <c r="I675" t="s">
        <v>178</v>
      </c>
      <c r="J675" t="str">
        <f>IFERROR(VLOOKUP(I675,[1]AUTOS!$C:$G,2,0),"")</f>
        <v>VERSA</v>
      </c>
      <c r="K675">
        <f>IFERROR(VLOOKUP(I675,[1]AUTOS!$C:$G,3,0),"")</f>
        <v>2020</v>
      </c>
      <c r="L675" t="str">
        <f>IFERROR(VLOOKUP(I675,[1]AUTOS!$C:$G,4,0),"")</f>
        <v>BLANCO</v>
      </c>
      <c r="M675" t="s">
        <v>43</v>
      </c>
      <c r="N675" s="3">
        <v>0</v>
      </c>
      <c r="O675" s="3">
        <v>0</v>
      </c>
      <c r="P675" s="3">
        <v>-400</v>
      </c>
    </row>
    <row r="676" spans="1:16" hidden="1" x14ac:dyDescent="0.3">
      <c r="A676">
        <v>35</v>
      </c>
      <c r="B676" t="str">
        <f>VLOOKUP($A676,[1]LISTA!$B:$C,2,0)</f>
        <v>AGOSTO</v>
      </c>
      <c r="C676" s="1">
        <v>2025</v>
      </c>
      <c r="D676" s="1" t="str">
        <f>IF($A676&lt;=[1]RESULTADOS!$D$6,"YTD","YTG")</f>
        <v>YTD</v>
      </c>
      <c r="E676" t="s">
        <v>17</v>
      </c>
      <c r="F676" t="s">
        <v>18</v>
      </c>
      <c r="G676" t="s">
        <v>57</v>
      </c>
      <c r="H676" t="s">
        <v>446</v>
      </c>
      <c r="I676" t="s">
        <v>21</v>
      </c>
      <c r="J676" t="str">
        <f>IFERROR(VLOOKUP(I676,[1]AUTOS!$C:$G,2,0),"")</f>
        <v/>
      </c>
      <c r="K676" t="str">
        <f>IFERROR(VLOOKUP(I676,[1]AUTOS!$C:$G,3,0),"")</f>
        <v/>
      </c>
      <c r="L676" t="str">
        <f>IFERROR(VLOOKUP(I676,[1]AUTOS!$C:$G,4,0),"")</f>
        <v/>
      </c>
      <c r="M676" t="s">
        <v>22</v>
      </c>
      <c r="N676" s="3">
        <v>0</v>
      </c>
      <c r="O676" s="3">
        <v>0</v>
      </c>
      <c r="P676" s="3">
        <v>-260</v>
      </c>
    </row>
    <row r="677" spans="1:16" hidden="1" x14ac:dyDescent="0.3">
      <c r="A677">
        <v>35</v>
      </c>
      <c r="B677" t="str">
        <f>VLOOKUP($A677,[1]LISTA!$B:$C,2,0)</f>
        <v>AGOSTO</v>
      </c>
      <c r="C677" s="1">
        <v>2025</v>
      </c>
      <c r="D677" s="1" t="str">
        <f>IF($A677&lt;=[1]RESULTADOS!$D$6,"YTD","YTG")</f>
        <v>YTD</v>
      </c>
      <c r="E677" t="s">
        <v>17</v>
      </c>
      <c r="F677" t="s">
        <v>18</v>
      </c>
      <c r="G677" t="s">
        <v>57</v>
      </c>
      <c r="H677" t="s">
        <v>447</v>
      </c>
      <c r="I677" t="s">
        <v>313</v>
      </c>
      <c r="J677" t="str">
        <f>IFERROR(VLOOKUP(I677,[1]AUTOS!$C:$G,2,0),"")</f>
        <v>MARCH</v>
      </c>
      <c r="K677">
        <f>IFERROR(VLOOKUP(I677,[1]AUTOS!$C:$G,3,0),"")</f>
        <v>2019</v>
      </c>
      <c r="L677" t="str">
        <f>IFERROR(VLOOKUP(I677,[1]AUTOS!$C:$G,4,0),"")</f>
        <v>TURQ</v>
      </c>
      <c r="M677" t="s">
        <v>140</v>
      </c>
      <c r="N677" s="3">
        <v>0</v>
      </c>
      <c r="O677" s="3">
        <v>0</v>
      </c>
      <c r="P677" s="3">
        <v>-135</v>
      </c>
    </row>
    <row r="678" spans="1:16" hidden="1" x14ac:dyDescent="0.3">
      <c r="A678">
        <v>35</v>
      </c>
      <c r="B678" t="str">
        <f>VLOOKUP($A678,[1]LISTA!$B:$C,2,0)</f>
        <v>AGOSTO</v>
      </c>
      <c r="C678" s="1">
        <v>2025</v>
      </c>
      <c r="D678" s="1" t="str">
        <f>IF($A678&lt;=[1]RESULTADOS!$D$6,"YTD","YTG")</f>
        <v>YTD</v>
      </c>
      <c r="E678" t="s">
        <v>17</v>
      </c>
      <c r="F678" t="s">
        <v>18</v>
      </c>
      <c r="G678" t="s">
        <v>57</v>
      </c>
      <c r="H678" t="s">
        <v>448</v>
      </c>
      <c r="I678" t="s">
        <v>21</v>
      </c>
      <c r="J678" t="str">
        <f>IFERROR(VLOOKUP(I678,[1]AUTOS!$C:$G,2,0),"")</f>
        <v/>
      </c>
      <c r="K678" t="str">
        <f>IFERROR(VLOOKUP(I678,[1]AUTOS!$C:$G,3,0),"")</f>
        <v/>
      </c>
      <c r="L678" t="str">
        <f>IFERROR(VLOOKUP(I678,[1]AUTOS!$C:$G,4,0),"")</f>
        <v/>
      </c>
      <c r="M678" t="s">
        <v>22</v>
      </c>
      <c r="N678" s="3">
        <v>0</v>
      </c>
      <c r="O678" s="3">
        <v>0</v>
      </c>
      <c r="P678" s="3">
        <v>-26</v>
      </c>
    </row>
    <row r="679" spans="1:16" hidden="1" x14ac:dyDescent="0.3">
      <c r="A679">
        <v>35</v>
      </c>
      <c r="B679" t="str">
        <f>VLOOKUP($A679,[1]LISTA!$B:$C,2,0)</f>
        <v>AGOSTO</v>
      </c>
      <c r="C679" s="1">
        <v>2025</v>
      </c>
      <c r="D679" s="1" t="str">
        <f>IF($A679&lt;=[1]RESULTADOS!$D$6,"YTD","YTG")</f>
        <v>YTD</v>
      </c>
      <c r="E679" t="s">
        <v>17</v>
      </c>
      <c r="F679" t="s">
        <v>18</v>
      </c>
      <c r="G679" t="s">
        <v>29</v>
      </c>
      <c r="H679" t="s">
        <v>449</v>
      </c>
      <c r="I679" t="s">
        <v>384</v>
      </c>
      <c r="J679" t="str">
        <f>IFERROR(VLOOKUP(I679,[1]AUTOS!$C:$G,2,0),"")</f>
        <v>MARCH</v>
      </c>
      <c r="K679">
        <f>IFERROR(VLOOKUP(I679,[1]AUTOS!$C:$G,3,0),"")</f>
        <v>2022</v>
      </c>
      <c r="L679" t="str">
        <f>IFERROR(VLOOKUP(I679,[1]AUTOS!$C:$G,4,0),"")</f>
        <v>BLANCO</v>
      </c>
      <c r="M679" t="s">
        <v>215</v>
      </c>
      <c r="N679" s="3">
        <v>0</v>
      </c>
      <c r="O679" s="3">
        <v>0</v>
      </c>
      <c r="P679" s="3">
        <v>-100</v>
      </c>
    </row>
    <row r="680" spans="1:16" hidden="1" x14ac:dyDescent="0.3">
      <c r="A680">
        <v>35</v>
      </c>
      <c r="B680" t="str">
        <f>VLOOKUP($A680,[1]LISTA!$B:$C,2,0)</f>
        <v>AGOSTO</v>
      </c>
      <c r="C680" s="1">
        <v>2025</v>
      </c>
      <c r="D680" s="1" t="str">
        <f>IF($A680&lt;=[1]RESULTADOS!$D$6,"YTD","YTG")</f>
        <v>YTD</v>
      </c>
      <c r="E680" t="s">
        <v>377</v>
      </c>
      <c r="F680" t="s">
        <v>18</v>
      </c>
      <c r="G680" t="s">
        <v>115</v>
      </c>
      <c r="H680" t="s">
        <v>450</v>
      </c>
      <c r="I680" t="s">
        <v>51</v>
      </c>
      <c r="J680" t="str">
        <f>IFERROR(VLOOKUP(I680,[1]AUTOS!$C:$G,2,0),"")</f>
        <v>VENTO</v>
      </c>
      <c r="K680">
        <f>IFERROR(VLOOKUP(I680,[1]AUTOS!$C:$G,3,0),"")</f>
        <v>2017</v>
      </c>
      <c r="L680" t="str">
        <f>IFERROR(VLOOKUP(I680,[1]AUTOS!$C:$G,4,0),"")</f>
        <v>GRIS</v>
      </c>
      <c r="M680" t="s">
        <v>22</v>
      </c>
      <c r="N680" s="3">
        <v>0</v>
      </c>
      <c r="O680" s="3">
        <v>0</v>
      </c>
      <c r="P680" s="3">
        <v>-1773</v>
      </c>
    </row>
    <row r="681" spans="1:16" hidden="1" x14ac:dyDescent="0.3">
      <c r="A681">
        <v>35</v>
      </c>
      <c r="B681" t="str">
        <f>VLOOKUP($A681,[1]LISTA!$B:$C,2,0)</f>
        <v>AGOSTO</v>
      </c>
      <c r="C681" s="1">
        <v>2025</v>
      </c>
      <c r="D681" s="1" t="str">
        <f>IF($A681&lt;=[1]RESULTADOS!$D$6,"YTD","YTG")</f>
        <v>YTD</v>
      </c>
      <c r="E681" t="s">
        <v>17</v>
      </c>
      <c r="F681" t="s">
        <v>18</v>
      </c>
      <c r="G681" t="s">
        <v>87</v>
      </c>
      <c r="H681" t="s">
        <v>451</v>
      </c>
      <c r="I681" t="s">
        <v>333</v>
      </c>
      <c r="J681" t="str">
        <f>IFERROR(VLOOKUP(I681,[1]AUTOS!$C:$G,2,0),"")</f>
        <v>BEAT</v>
      </c>
      <c r="K681">
        <f>IFERROR(VLOOKUP(I681,[1]AUTOS!$C:$G,3,0),"")</f>
        <v>2019</v>
      </c>
      <c r="L681" t="str">
        <f>IFERROR(VLOOKUP(I681,[1]AUTOS!$C:$G,4,0),"")</f>
        <v>OCRE</v>
      </c>
      <c r="M681" t="s">
        <v>43</v>
      </c>
      <c r="N681" s="3">
        <v>0</v>
      </c>
      <c r="O681" s="3">
        <v>0</v>
      </c>
      <c r="P681" s="3">
        <v>-1000</v>
      </c>
    </row>
    <row r="682" spans="1:16" hidden="1" x14ac:dyDescent="0.3">
      <c r="A682">
        <v>35</v>
      </c>
      <c r="B682" t="str">
        <f>VLOOKUP($A682,[1]LISTA!$B:$C,2,0)</f>
        <v>AGOSTO</v>
      </c>
      <c r="C682" s="1">
        <v>2025</v>
      </c>
      <c r="D682" s="1" t="str">
        <f>IF($A682&lt;=[1]RESULTADOS!$D$6,"YTD","YTG")</f>
        <v>YTD</v>
      </c>
      <c r="E682" t="s">
        <v>377</v>
      </c>
      <c r="F682" t="s">
        <v>18</v>
      </c>
      <c r="G682" t="s">
        <v>137</v>
      </c>
      <c r="H682" t="s">
        <v>452</v>
      </c>
      <c r="I682" t="s">
        <v>51</v>
      </c>
      <c r="J682" t="str">
        <f>IFERROR(VLOOKUP(I682,[1]AUTOS!$C:$G,2,0),"")</f>
        <v>VENTO</v>
      </c>
      <c r="K682">
        <f>IFERROR(VLOOKUP(I682,[1]AUTOS!$C:$G,3,0),"")</f>
        <v>2017</v>
      </c>
      <c r="L682" t="str">
        <f>IFERROR(VLOOKUP(I682,[1]AUTOS!$C:$G,4,0),"")</f>
        <v>GRIS</v>
      </c>
      <c r="M682" t="s">
        <v>22</v>
      </c>
      <c r="N682" s="3">
        <v>0</v>
      </c>
      <c r="O682" s="3">
        <v>0</v>
      </c>
      <c r="P682" s="3">
        <v>-800</v>
      </c>
    </row>
    <row r="683" spans="1:16" hidden="1" x14ac:dyDescent="0.3">
      <c r="A683">
        <v>35</v>
      </c>
      <c r="B683" t="str">
        <f>VLOOKUP($A683,[1]LISTA!$B:$C,2,0)</f>
        <v>AGOSTO</v>
      </c>
      <c r="C683" s="1">
        <v>2025</v>
      </c>
      <c r="D683" s="1" t="str">
        <f>IF($A683&lt;=[1]RESULTADOS!$D$6,"YTD","YTG")</f>
        <v>YTD</v>
      </c>
      <c r="E683" t="s">
        <v>453</v>
      </c>
      <c r="F683" t="s">
        <v>18</v>
      </c>
      <c r="G683" t="s">
        <v>48</v>
      </c>
      <c r="H683" t="s">
        <v>454</v>
      </c>
      <c r="I683" t="s">
        <v>162</v>
      </c>
      <c r="J683" t="str">
        <f>IFERROR(VLOOKUP(I683,[1]AUTOS!$C:$G,2,0),"")</f>
        <v>HYUNDAI</v>
      </c>
      <c r="K683">
        <f>IFERROR(VLOOKUP(I683,[1]AUTOS!$C:$G,3,0),"")</f>
        <v>2022</v>
      </c>
      <c r="L683" t="str">
        <f>IFERROR(VLOOKUP(I683,[1]AUTOS!$C:$G,4,0),"")</f>
        <v>PLATA</v>
      </c>
      <c r="M683" t="s">
        <v>43</v>
      </c>
      <c r="N683" s="3">
        <v>0</v>
      </c>
      <c r="O683" s="3">
        <v>0</v>
      </c>
      <c r="P683" s="3">
        <v>-120</v>
      </c>
    </row>
    <row r="684" spans="1:16" hidden="1" x14ac:dyDescent="0.3">
      <c r="A684">
        <v>35</v>
      </c>
      <c r="B684" t="str">
        <f>VLOOKUP($A684,[1]LISTA!$B:$C,2,0)</f>
        <v>AGOSTO</v>
      </c>
      <c r="C684" s="1">
        <v>2025</v>
      </c>
      <c r="D684" s="1" t="str">
        <f>IF($A684&lt;=[1]RESULTADOS!$D$6,"YTD","YTG")</f>
        <v>YTD</v>
      </c>
      <c r="E684" t="s">
        <v>453</v>
      </c>
      <c r="F684" t="s">
        <v>18</v>
      </c>
      <c r="G684" t="s">
        <v>153</v>
      </c>
      <c r="H684" t="s">
        <v>285</v>
      </c>
      <c r="I684" t="s">
        <v>162</v>
      </c>
      <c r="J684" t="str">
        <f>IFERROR(VLOOKUP(I684,[1]AUTOS!$C:$G,2,0),"")</f>
        <v>HYUNDAI</v>
      </c>
      <c r="K684">
        <f>IFERROR(VLOOKUP(I684,[1]AUTOS!$C:$G,3,0),"")</f>
        <v>2022</v>
      </c>
      <c r="L684" t="str">
        <f>IFERROR(VLOOKUP(I684,[1]AUTOS!$C:$G,4,0),"")</f>
        <v>PLATA</v>
      </c>
      <c r="M684" t="s">
        <v>43</v>
      </c>
      <c r="N684" s="3">
        <v>0</v>
      </c>
      <c r="O684" s="3">
        <v>0</v>
      </c>
      <c r="P684" s="3">
        <v>-430</v>
      </c>
    </row>
    <row r="685" spans="1:16" hidden="1" x14ac:dyDescent="0.3">
      <c r="A685">
        <v>35</v>
      </c>
      <c r="B685" t="str">
        <f>VLOOKUP($A685,[1]LISTA!$B:$C,2,0)</f>
        <v>AGOSTO</v>
      </c>
      <c r="C685" s="1">
        <v>2025</v>
      </c>
      <c r="D685" s="1" t="str">
        <f>IF($A685&lt;=[1]RESULTADOS!$D$6,"YTD","YTG")</f>
        <v>YTD</v>
      </c>
      <c r="E685" t="s">
        <v>453</v>
      </c>
      <c r="F685" t="s">
        <v>18</v>
      </c>
      <c r="G685" t="s">
        <v>153</v>
      </c>
      <c r="H685" t="s">
        <v>155</v>
      </c>
      <c r="I685" t="s">
        <v>162</v>
      </c>
      <c r="J685" t="str">
        <f>IFERROR(VLOOKUP(I685,[1]AUTOS!$C:$G,2,0),"")</f>
        <v>HYUNDAI</v>
      </c>
      <c r="K685">
        <f>IFERROR(VLOOKUP(I685,[1]AUTOS!$C:$G,3,0),"")</f>
        <v>2022</v>
      </c>
      <c r="L685" t="str">
        <f>IFERROR(VLOOKUP(I685,[1]AUTOS!$C:$G,4,0),"")</f>
        <v>PLATA</v>
      </c>
      <c r="M685" t="s">
        <v>43</v>
      </c>
      <c r="N685" s="3">
        <v>0</v>
      </c>
      <c r="O685" s="3">
        <v>0</v>
      </c>
      <c r="P685" s="3">
        <v>-440</v>
      </c>
    </row>
    <row r="686" spans="1:16" hidden="1" x14ac:dyDescent="0.3">
      <c r="A686">
        <v>35</v>
      </c>
      <c r="B686" t="str">
        <f>VLOOKUP($A686,[1]LISTA!$B:$C,2,0)</f>
        <v>AGOSTO</v>
      </c>
      <c r="C686" s="1">
        <v>2025</v>
      </c>
      <c r="D686" s="1" t="str">
        <f>IF($A686&lt;=[1]RESULTADOS!$D$6,"YTD","YTG")</f>
        <v>YTD</v>
      </c>
      <c r="E686" t="s">
        <v>436</v>
      </c>
      <c r="F686" t="s">
        <v>18</v>
      </c>
      <c r="G686" t="s">
        <v>29</v>
      </c>
      <c r="H686" t="s">
        <v>455</v>
      </c>
      <c r="I686" t="s">
        <v>131</v>
      </c>
      <c r="J686" t="str">
        <f>IFERROR(VLOOKUP(I686,[1]AUTOS!$C:$G,2,0),"")</f>
        <v>AVEO</v>
      </c>
      <c r="K686">
        <f>IFERROR(VLOOKUP(I686,[1]AUTOS!$C:$G,3,0),"")</f>
        <v>2024</v>
      </c>
      <c r="L686" t="str">
        <f>IFERROR(VLOOKUP(I686,[1]AUTOS!$C:$G,4,0),"")</f>
        <v>GRIS</v>
      </c>
      <c r="M686" t="s">
        <v>43</v>
      </c>
      <c r="N686" s="3">
        <v>0</v>
      </c>
      <c r="O686" s="3">
        <v>0</v>
      </c>
      <c r="P686" s="3">
        <v>-250</v>
      </c>
    </row>
    <row r="687" spans="1:16" hidden="1" x14ac:dyDescent="0.3">
      <c r="A687">
        <v>35</v>
      </c>
      <c r="B687" t="str">
        <f>VLOOKUP($A687,[1]LISTA!$B:$C,2,0)</f>
        <v>AGOSTO</v>
      </c>
      <c r="C687" s="1">
        <v>2025</v>
      </c>
      <c r="D687" s="1" t="str">
        <f>IF($A687&lt;=[1]RESULTADOS!$D$6,"YTD","YTG")</f>
        <v>YTD</v>
      </c>
      <c r="E687" t="s">
        <v>456</v>
      </c>
      <c r="F687" t="s">
        <v>18</v>
      </c>
      <c r="G687" t="s">
        <v>29</v>
      </c>
      <c r="H687" t="s">
        <v>455</v>
      </c>
      <c r="I687" t="s">
        <v>146</v>
      </c>
      <c r="J687" t="str">
        <f>IFERROR(VLOOKUP(I687,[1]AUTOS!$C:$G,2,0),"")</f>
        <v>KIA RIO</v>
      </c>
      <c r="K687">
        <f>IFERROR(VLOOKUP(I687,[1]AUTOS!$C:$G,3,0),"")</f>
        <v>2023</v>
      </c>
      <c r="L687" t="str">
        <f>IFERROR(VLOOKUP(I687,[1]AUTOS!$C:$G,4,0),"")</f>
        <v>ROJO</v>
      </c>
      <c r="M687" t="s">
        <v>35</v>
      </c>
      <c r="N687" s="3">
        <v>0</v>
      </c>
      <c r="O687" s="3">
        <v>0</v>
      </c>
      <c r="P687" s="3">
        <v>-500</v>
      </c>
    </row>
    <row r="688" spans="1:16" hidden="1" x14ac:dyDescent="0.3">
      <c r="A688">
        <v>35</v>
      </c>
      <c r="B688" t="str">
        <f>VLOOKUP($A688,[1]LISTA!$B:$C,2,0)</f>
        <v>AGOSTO</v>
      </c>
      <c r="C688" s="1">
        <v>2025</v>
      </c>
      <c r="D688" s="1" t="str">
        <f>IF($A688&lt;=[1]RESULTADOS!$D$6,"YTD","YTG")</f>
        <v>YTD</v>
      </c>
      <c r="E688" t="s">
        <v>457</v>
      </c>
      <c r="F688" t="s">
        <v>18</v>
      </c>
      <c r="G688" t="s">
        <v>29</v>
      </c>
      <c r="H688" t="s">
        <v>455</v>
      </c>
      <c r="I688" t="s">
        <v>73</v>
      </c>
      <c r="J688" t="str">
        <f>IFERROR(VLOOKUP(I688,[1]AUTOS!$C:$G,2,0),"")</f>
        <v>VERSA</v>
      </c>
      <c r="K688">
        <f>IFERROR(VLOOKUP(I688,[1]AUTOS!$C:$G,3,0),"")</f>
        <v>2023</v>
      </c>
      <c r="L688" t="str">
        <f>IFERROR(VLOOKUP(I688,[1]AUTOS!$C:$G,4,0),"")</f>
        <v>PLATA</v>
      </c>
      <c r="M688" t="s">
        <v>43</v>
      </c>
      <c r="N688" s="3">
        <v>0</v>
      </c>
      <c r="O688" s="3">
        <v>0</v>
      </c>
      <c r="P688" s="3">
        <v>-960</v>
      </c>
    </row>
    <row r="689" spans="1:16" hidden="1" x14ac:dyDescent="0.3">
      <c r="A689">
        <v>35</v>
      </c>
      <c r="B689" t="str">
        <f>VLOOKUP($A689,[1]LISTA!$B:$C,2,0)</f>
        <v>AGOSTO</v>
      </c>
      <c r="C689" s="1">
        <v>2025</v>
      </c>
      <c r="D689" s="1" t="str">
        <f>IF($A689&lt;=[1]RESULTADOS!$D$6,"YTD","YTG")</f>
        <v>YTD</v>
      </c>
      <c r="E689" t="s">
        <v>17</v>
      </c>
      <c r="F689" t="s">
        <v>18</v>
      </c>
      <c r="G689" t="s">
        <v>29</v>
      </c>
      <c r="H689" t="s">
        <v>458</v>
      </c>
      <c r="I689" t="s">
        <v>21</v>
      </c>
      <c r="J689" t="str">
        <f>IFERROR(VLOOKUP(I689,[1]AUTOS!$C:$G,2,0),"")</f>
        <v/>
      </c>
      <c r="K689" t="str">
        <f>IFERROR(VLOOKUP(I689,[1]AUTOS!$C:$G,3,0),"")</f>
        <v/>
      </c>
      <c r="L689" t="str">
        <f>IFERROR(VLOOKUP(I689,[1]AUTOS!$C:$G,4,0),"")</f>
        <v/>
      </c>
      <c r="M689" t="s">
        <v>22</v>
      </c>
      <c r="N689" s="3">
        <v>0</v>
      </c>
      <c r="O689" s="3">
        <v>0</v>
      </c>
      <c r="P689" s="3">
        <v>-100</v>
      </c>
    </row>
    <row r="690" spans="1:16" hidden="1" x14ac:dyDescent="0.3">
      <c r="A690">
        <v>35</v>
      </c>
      <c r="B690" t="str">
        <f>VLOOKUP($A690,[1]LISTA!$B:$C,2,0)</f>
        <v>AGOSTO</v>
      </c>
      <c r="C690" s="1">
        <v>2025</v>
      </c>
      <c r="D690" s="1" t="str">
        <f>IF($A690&lt;=[1]RESULTADOS!$D$6,"YTD","YTG")</f>
        <v>YTD</v>
      </c>
      <c r="E690" t="s">
        <v>17</v>
      </c>
      <c r="F690" t="s">
        <v>18</v>
      </c>
      <c r="G690" t="s">
        <v>29</v>
      </c>
      <c r="H690" t="s">
        <v>458</v>
      </c>
      <c r="I690" t="s">
        <v>21</v>
      </c>
      <c r="J690" t="str">
        <f>IFERROR(VLOOKUP(I690,[1]AUTOS!$C:$G,2,0),"")</f>
        <v/>
      </c>
      <c r="K690" t="str">
        <f>IFERROR(VLOOKUP(I690,[1]AUTOS!$C:$G,3,0),"")</f>
        <v/>
      </c>
      <c r="L690" t="str">
        <f>IFERROR(VLOOKUP(I690,[1]AUTOS!$C:$G,4,0),"")</f>
        <v/>
      </c>
      <c r="M690" t="s">
        <v>22</v>
      </c>
      <c r="N690" s="3">
        <v>0</v>
      </c>
      <c r="O690" s="3">
        <v>0</v>
      </c>
      <c r="P690" s="3">
        <v>-100</v>
      </c>
    </row>
    <row r="691" spans="1:16" hidden="1" x14ac:dyDescent="0.3">
      <c r="A691">
        <v>35</v>
      </c>
      <c r="B691" t="str">
        <f>VLOOKUP($A691,[1]LISTA!$B:$C,2,0)</f>
        <v>AGOSTO</v>
      </c>
      <c r="C691" s="1">
        <v>2025</v>
      </c>
      <c r="D691" s="1" t="str">
        <f>IF($A691&lt;=[1]RESULTADOS!$D$6,"YTD","YTG")</f>
        <v>YTD</v>
      </c>
      <c r="E691" t="s">
        <v>17</v>
      </c>
      <c r="F691" t="s">
        <v>18</v>
      </c>
      <c r="G691" t="s">
        <v>57</v>
      </c>
      <c r="H691" t="s">
        <v>459</v>
      </c>
      <c r="I691" t="s">
        <v>333</v>
      </c>
      <c r="J691" t="str">
        <f>IFERROR(VLOOKUP(I691,[1]AUTOS!$C:$G,2,0),"")</f>
        <v>BEAT</v>
      </c>
      <c r="K691">
        <f>IFERROR(VLOOKUP(I691,[1]AUTOS!$C:$G,3,0),"")</f>
        <v>2019</v>
      </c>
      <c r="L691" t="str">
        <f>IFERROR(VLOOKUP(I691,[1]AUTOS!$C:$G,4,0),"")</f>
        <v>OCRE</v>
      </c>
      <c r="M691" t="s">
        <v>43</v>
      </c>
      <c r="N691" s="3">
        <v>0</v>
      </c>
      <c r="O691" s="3">
        <v>0</v>
      </c>
      <c r="P691" s="3">
        <v>-100</v>
      </c>
    </row>
    <row r="692" spans="1:16" hidden="1" x14ac:dyDescent="0.3">
      <c r="A692">
        <v>35</v>
      </c>
      <c r="B692" t="str">
        <f>VLOOKUP($A692,[1]LISTA!$B:$C,2,0)</f>
        <v>AGOSTO</v>
      </c>
      <c r="C692" s="1">
        <v>2025</v>
      </c>
      <c r="D692" s="1" t="str">
        <f>IF($A692&lt;=[1]RESULTADOS!$D$6,"YTD","YTG")</f>
        <v>YTD</v>
      </c>
      <c r="E692" t="s">
        <v>416</v>
      </c>
      <c r="F692" t="s">
        <v>18</v>
      </c>
      <c r="G692" t="s">
        <v>38</v>
      </c>
      <c r="H692" t="s">
        <v>460</v>
      </c>
      <c r="I692" t="s">
        <v>214</v>
      </c>
      <c r="J692" t="str">
        <f>IFERROR(VLOOKUP(I692,[1]AUTOS!$C:$G,2,0),"")</f>
        <v>VENTO</v>
      </c>
      <c r="K692">
        <f>IFERROR(VLOOKUP(I692,[1]AUTOS!$C:$G,3,0),"")</f>
        <v>2019</v>
      </c>
      <c r="L692" t="str">
        <f>IFERROR(VLOOKUP(I692,[1]AUTOS!$C:$G,4,0),"")</f>
        <v>BLANCO</v>
      </c>
      <c r="M692" t="s">
        <v>215</v>
      </c>
      <c r="N692" s="3">
        <v>0</v>
      </c>
      <c r="O692" s="3">
        <v>0</v>
      </c>
      <c r="P692" s="3">
        <v>-120</v>
      </c>
    </row>
    <row r="693" spans="1:16" hidden="1" x14ac:dyDescent="0.3">
      <c r="A693">
        <v>35</v>
      </c>
      <c r="B693" t="str">
        <f>VLOOKUP($A693,[1]LISTA!$B:$C,2,0)</f>
        <v>AGOSTO</v>
      </c>
      <c r="C693" s="1">
        <v>2025</v>
      </c>
      <c r="D693" s="1" t="str">
        <f>IF($A693&lt;=[1]RESULTADOS!$D$6,"YTD","YTG")</f>
        <v>YTD</v>
      </c>
      <c r="E693" t="s">
        <v>416</v>
      </c>
      <c r="F693" t="s">
        <v>18</v>
      </c>
      <c r="G693" t="s">
        <v>57</v>
      </c>
      <c r="H693" t="s">
        <v>461</v>
      </c>
      <c r="I693" t="s">
        <v>214</v>
      </c>
      <c r="J693" t="str">
        <f>IFERROR(VLOOKUP(I693,[1]AUTOS!$C:$G,2,0),"")</f>
        <v>VENTO</v>
      </c>
      <c r="K693">
        <f>IFERROR(VLOOKUP(I693,[1]AUTOS!$C:$G,3,0),"")</f>
        <v>2019</v>
      </c>
      <c r="L693" t="str">
        <f>IFERROR(VLOOKUP(I693,[1]AUTOS!$C:$G,4,0),"")</f>
        <v>BLANCO</v>
      </c>
      <c r="M693" t="s">
        <v>215</v>
      </c>
      <c r="N693" s="3">
        <v>0</v>
      </c>
      <c r="O693" s="3">
        <v>0</v>
      </c>
      <c r="P693" s="3">
        <v>-873</v>
      </c>
    </row>
    <row r="694" spans="1:16" hidden="1" x14ac:dyDescent="0.3">
      <c r="A694">
        <v>35</v>
      </c>
      <c r="B694" t="str">
        <f>VLOOKUP($A694,[1]LISTA!$B:$C,2,0)</f>
        <v>AGOSTO</v>
      </c>
      <c r="C694" s="1">
        <v>2025</v>
      </c>
      <c r="D694" s="1" t="str">
        <f>IF($A694&lt;=[1]RESULTADOS!$D$6,"YTD","YTG")</f>
        <v>YTD</v>
      </c>
      <c r="E694" t="s">
        <v>416</v>
      </c>
      <c r="F694" t="s">
        <v>18</v>
      </c>
      <c r="G694" t="s">
        <v>57</v>
      </c>
      <c r="H694" t="s">
        <v>462</v>
      </c>
      <c r="I694" t="s">
        <v>214</v>
      </c>
      <c r="J694" t="str">
        <f>IFERROR(VLOOKUP(I694,[1]AUTOS!$C:$G,2,0),"")</f>
        <v>VENTO</v>
      </c>
      <c r="K694">
        <f>IFERROR(VLOOKUP(I694,[1]AUTOS!$C:$G,3,0),"")</f>
        <v>2019</v>
      </c>
      <c r="L694" t="str">
        <f>IFERROR(VLOOKUP(I694,[1]AUTOS!$C:$G,4,0),"")</f>
        <v>BLANCO</v>
      </c>
      <c r="M694" t="s">
        <v>215</v>
      </c>
      <c r="N694" s="3">
        <v>0</v>
      </c>
      <c r="O694" s="3">
        <v>0</v>
      </c>
      <c r="P694" s="3">
        <v>-740</v>
      </c>
    </row>
    <row r="695" spans="1:16" hidden="1" x14ac:dyDescent="0.3">
      <c r="A695">
        <v>35</v>
      </c>
      <c r="B695" t="str">
        <f>VLOOKUP($A695,[1]LISTA!$B:$C,2,0)</f>
        <v>AGOSTO</v>
      </c>
      <c r="C695" s="1">
        <v>2025</v>
      </c>
      <c r="D695" s="1" t="str">
        <f>IF($A695&lt;=[1]RESULTADOS!$D$6,"YTD","YTG")</f>
        <v>YTD</v>
      </c>
      <c r="E695" t="s">
        <v>17</v>
      </c>
      <c r="F695" t="s">
        <v>18</v>
      </c>
      <c r="G695" t="s">
        <v>29</v>
      </c>
      <c r="H695" t="s">
        <v>463</v>
      </c>
      <c r="I695" t="s">
        <v>21</v>
      </c>
      <c r="J695" t="str">
        <f>IFERROR(VLOOKUP(I695,[1]AUTOS!$C:$G,2,0),"")</f>
        <v/>
      </c>
      <c r="K695" t="str">
        <f>IFERROR(VLOOKUP(I695,[1]AUTOS!$C:$G,3,0),"")</f>
        <v/>
      </c>
      <c r="L695" t="str">
        <f>IFERROR(VLOOKUP(I695,[1]AUTOS!$C:$G,4,0),"")</f>
        <v/>
      </c>
      <c r="M695" t="s">
        <v>22</v>
      </c>
      <c r="N695" s="3">
        <v>0</v>
      </c>
      <c r="O695" s="3">
        <v>0</v>
      </c>
      <c r="P695" s="3">
        <v>-50</v>
      </c>
    </row>
    <row r="696" spans="1:16" hidden="1" x14ac:dyDescent="0.3">
      <c r="A696">
        <v>35</v>
      </c>
      <c r="B696" t="str">
        <f>VLOOKUP($A696,[1]LISTA!$B:$C,2,0)</f>
        <v>AGOSTO</v>
      </c>
      <c r="C696" s="1">
        <v>2025</v>
      </c>
      <c r="D696" s="1" t="str">
        <f>IF($A696&lt;=[1]RESULTADOS!$D$6,"YTD","YTG")</f>
        <v>YTD</v>
      </c>
      <c r="E696" t="s">
        <v>377</v>
      </c>
      <c r="F696" t="s">
        <v>18</v>
      </c>
      <c r="G696" t="s">
        <v>57</v>
      </c>
      <c r="H696" t="s">
        <v>464</v>
      </c>
      <c r="I696" t="s">
        <v>51</v>
      </c>
      <c r="J696" t="str">
        <f>IFERROR(VLOOKUP(I696,[1]AUTOS!$C:$G,2,0),"")</f>
        <v>VENTO</v>
      </c>
      <c r="K696">
        <f>IFERROR(VLOOKUP(I696,[1]AUTOS!$C:$G,3,0),"")</f>
        <v>2017</v>
      </c>
      <c r="L696" t="str">
        <f>IFERROR(VLOOKUP(I696,[1]AUTOS!$C:$G,4,0),"")</f>
        <v>GRIS</v>
      </c>
      <c r="M696" t="s">
        <v>22</v>
      </c>
      <c r="N696" s="3">
        <v>0</v>
      </c>
      <c r="O696" s="3">
        <v>0</v>
      </c>
      <c r="P696" s="3">
        <v>-1215</v>
      </c>
    </row>
    <row r="697" spans="1:16" hidden="1" x14ac:dyDescent="0.3">
      <c r="A697">
        <v>35</v>
      </c>
      <c r="B697" t="str">
        <f>VLOOKUP($A697,[1]LISTA!$B:$C,2,0)</f>
        <v>AGOSTO</v>
      </c>
      <c r="C697" s="1">
        <v>2025</v>
      </c>
      <c r="D697" s="1" t="str">
        <f>IF($A697&lt;=[1]RESULTADOS!$D$6,"YTD","YTG")</f>
        <v>YTD</v>
      </c>
      <c r="E697" t="s">
        <v>377</v>
      </c>
      <c r="F697" t="s">
        <v>18</v>
      </c>
      <c r="G697" t="s">
        <v>57</v>
      </c>
      <c r="H697" t="s">
        <v>465</v>
      </c>
      <c r="I697" t="s">
        <v>51</v>
      </c>
      <c r="J697" t="str">
        <f>IFERROR(VLOOKUP(I697,[1]AUTOS!$C:$G,2,0),"")</f>
        <v>VENTO</v>
      </c>
      <c r="K697">
        <f>IFERROR(VLOOKUP(I697,[1]AUTOS!$C:$G,3,0),"")</f>
        <v>2017</v>
      </c>
      <c r="L697" t="str">
        <f>IFERROR(VLOOKUP(I697,[1]AUTOS!$C:$G,4,0),"")</f>
        <v>GRIS</v>
      </c>
      <c r="M697" t="s">
        <v>22</v>
      </c>
      <c r="N697" s="3">
        <v>0</v>
      </c>
      <c r="O697" s="3">
        <v>0</v>
      </c>
      <c r="P697" s="3">
        <v>-1006</v>
      </c>
    </row>
    <row r="698" spans="1:16" hidden="1" x14ac:dyDescent="0.3">
      <c r="A698">
        <v>35</v>
      </c>
      <c r="B698" t="str">
        <f>VLOOKUP($A698,[1]LISTA!$B:$C,2,0)</f>
        <v>AGOSTO</v>
      </c>
      <c r="C698" s="1">
        <v>2025</v>
      </c>
      <c r="D698" s="1" t="str">
        <f>IF($A698&lt;=[1]RESULTADOS!$D$6,"YTD","YTG")</f>
        <v>YTD</v>
      </c>
      <c r="E698" t="s">
        <v>377</v>
      </c>
      <c r="F698" t="s">
        <v>18</v>
      </c>
      <c r="G698" t="s">
        <v>38</v>
      </c>
      <c r="H698" t="s">
        <v>466</v>
      </c>
      <c r="I698" t="s">
        <v>51</v>
      </c>
      <c r="J698" t="str">
        <f>IFERROR(VLOOKUP(I698,[1]AUTOS!$C:$G,2,0),"")</f>
        <v>VENTO</v>
      </c>
      <c r="K698">
        <f>IFERROR(VLOOKUP(I698,[1]AUTOS!$C:$G,3,0),"")</f>
        <v>2017</v>
      </c>
      <c r="L698" t="str">
        <f>IFERROR(VLOOKUP(I698,[1]AUTOS!$C:$G,4,0),"")</f>
        <v>GRIS</v>
      </c>
      <c r="M698" t="s">
        <v>22</v>
      </c>
      <c r="N698" s="3">
        <v>0</v>
      </c>
      <c r="O698" s="3">
        <v>0</v>
      </c>
      <c r="P698" s="3">
        <v>-180</v>
      </c>
    </row>
    <row r="699" spans="1:16" hidden="1" x14ac:dyDescent="0.3">
      <c r="A699">
        <v>35</v>
      </c>
      <c r="B699" t="str">
        <f>VLOOKUP($A699,[1]LISTA!$B:$C,2,0)</f>
        <v>AGOSTO</v>
      </c>
      <c r="C699" s="1">
        <v>2025</v>
      </c>
      <c r="D699" s="1" t="str">
        <f>IF($A699&lt;=[1]RESULTADOS!$D$6,"YTD","YTG")</f>
        <v>YTD</v>
      </c>
      <c r="E699" t="s">
        <v>411</v>
      </c>
      <c r="F699" t="s">
        <v>18</v>
      </c>
      <c r="G699" t="s">
        <v>57</v>
      </c>
      <c r="H699" t="s">
        <v>467</v>
      </c>
      <c r="I699" t="s">
        <v>178</v>
      </c>
      <c r="J699" t="str">
        <f>IFERROR(VLOOKUP(I699,[1]AUTOS!$C:$G,2,0),"")</f>
        <v>VERSA</v>
      </c>
      <c r="K699">
        <f>IFERROR(VLOOKUP(I699,[1]AUTOS!$C:$G,3,0),"")</f>
        <v>2020</v>
      </c>
      <c r="L699" t="str">
        <f>IFERROR(VLOOKUP(I699,[1]AUTOS!$C:$G,4,0),"")</f>
        <v>BLANCO</v>
      </c>
      <c r="M699" t="s">
        <v>43</v>
      </c>
      <c r="N699" s="3">
        <v>0</v>
      </c>
      <c r="O699" s="3">
        <v>0</v>
      </c>
      <c r="P699" s="3">
        <v>-305</v>
      </c>
    </row>
    <row r="700" spans="1:16" hidden="1" x14ac:dyDescent="0.3">
      <c r="A700">
        <v>35</v>
      </c>
      <c r="B700" t="str">
        <f>VLOOKUP($A700,[1]LISTA!$B:$C,2,0)</f>
        <v>AGOSTO</v>
      </c>
      <c r="C700" s="1">
        <v>2025</v>
      </c>
      <c r="D700" s="1" t="str">
        <f>IF($A700&lt;=[1]RESULTADOS!$D$6,"YTD","YTG")</f>
        <v>YTD</v>
      </c>
      <c r="E700" t="s">
        <v>17</v>
      </c>
      <c r="F700" t="s">
        <v>18</v>
      </c>
      <c r="G700" t="s">
        <v>77</v>
      </c>
      <c r="H700" t="s">
        <v>392</v>
      </c>
      <c r="I700" t="s">
        <v>313</v>
      </c>
      <c r="J700" t="str">
        <f>IFERROR(VLOOKUP(I700,[1]AUTOS!$C:$G,2,0),"")</f>
        <v>MARCH</v>
      </c>
      <c r="K700">
        <f>IFERROR(VLOOKUP(I700,[1]AUTOS!$C:$G,3,0),"")</f>
        <v>2019</v>
      </c>
      <c r="L700" t="str">
        <f>IFERROR(VLOOKUP(I700,[1]AUTOS!$C:$G,4,0),"")</f>
        <v>TURQ</v>
      </c>
      <c r="M700" t="s">
        <v>140</v>
      </c>
      <c r="N700" s="3">
        <v>0</v>
      </c>
      <c r="O700" s="3">
        <v>0</v>
      </c>
      <c r="P700" s="3">
        <v>-720</v>
      </c>
    </row>
    <row r="701" spans="1:16" hidden="1" x14ac:dyDescent="0.3">
      <c r="A701">
        <v>36</v>
      </c>
      <c r="B701" t="str">
        <f>VLOOKUP($A701,[1]LISTA!$B:$C,2,0)</f>
        <v>SEPTIEMBRE</v>
      </c>
      <c r="C701" s="1">
        <v>2025</v>
      </c>
      <c r="D701" s="1" t="str">
        <f>IF($A701&lt;=[1]RESULTADOS!$D$6,"YTD","YTG")</f>
        <v>YTD</v>
      </c>
      <c r="E701" t="s">
        <v>17</v>
      </c>
      <c r="F701" t="s">
        <v>18</v>
      </c>
      <c r="G701" t="s">
        <v>142</v>
      </c>
      <c r="H701" t="s">
        <v>468</v>
      </c>
      <c r="I701" t="s">
        <v>21</v>
      </c>
      <c r="J701" t="str">
        <f>IFERROR(VLOOKUP(I701,[1]AUTOS!$C:$G,2,0),"")</f>
        <v/>
      </c>
      <c r="K701" t="str">
        <f>IFERROR(VLOOKUP(I701,[1]AUTOS!$C:$G,3,0),"")</f>
        <v/>
      </c>
      <c r="L701" t="str">
        <f>IFERROR(VLOOKUP(I701,[1]AUTOS!$C:$G,4,0),"")</f>
        <v/>
      </c>
      <c r="M701" t="s">
        <v>22</v>
      </c>
      <c r="N701" s="3">
        <v>0</v>
      </c>
      <c r="O701" s="3">
        <v>0</v>
      </c>
      <c r="P701" s="3">
        <v>-4800</v>
      </c>
    </row>
    <row r="702" spans="1:16" hidden="1" x14ac:dyDescent="0.3">
      <c r="A702">
        <v>36</v>
      </c>
      <c r="B702" t="str">
        <f>VLOOKUP($A702,[1]LISTA!$B:$C,2,0)</f>
        <v>SEPTIEMBRE</v>
      </c>
      <c r="C702" s="1">
        <v>2025</v>
      </c>
      <c r="D702" s="1" t="str">
        <f>IF($A702&lt;=[1]RESULTADOS!$D$6,"YTD","YTG")</f>
        <v>YTD</v>
      </c>
      <c r="E702" t="s">
        <v>17</v>
      </c>
      <c r="F702" t="s">
        <v>18</v>
      </c>
      <c r="G702" t="s">
        <v>29</v>
      </c>
      <c r="H702" t="s">
        <v>469</v>
      </c>
      <c r="I702" t="s">
        <v>21</v>
      </c>
      <c r="J702" t="str">
        <f>IFERROR(VLOOKUP(I702,[1]AUTOS!$C:$G,2,0),"")</f>
        <v/>
      </c>
      <c r="K702" t="str">
        <f>IFERROR(VLOOKUP(I702,[1]AUTOS!$C:$G,3,0),"")</f>
        <v/>
      </c>
      <c r="L702" t="str">
        <f>IFERROR(VLOOKUP(I702,[1]AUTOS!$C:$G,4,0),"")</f>
        <v/>
      </c>
      <c r="M702" t="s">
        <v>22</v>
      </c>
      <c r="N702" s="3">
        <v>0</v>
      </c>
      <c r="O702" s="3">
        <v>0</v>
      </c>
      <c r="P702" s="3">
        <v>-100</v>
      </c>
    </row>
    <row r="703" spans="1:16" hidden="1" x14ac:dyDescent="0.3">
      <c r="A703">
        <v>36</v>
      </c>
      <c r="B703" t="str">
        <f>VLOOKUP($A703,[1]LISTA!$B:$C,2,0)</f>
        <v>SEPTIEMBRE</v>
      </c>
      <c r="C703" s="1">
        <v>2025</v>
      </c>
      <c r="D703" s="1" t="str">
        <f>IF($A703&lt;=[1]RESULTADOS!$D$6,"YTD","YTG")</f>
        <v>YTD</v>
      </c>
      <c r="E703" t="s">
        <v>470</v>
      </c>
      <c r="F703" t="s">
        <v>18</v>
      </c>
      <c r="G703" t="s">
        <v>29</v>
      </c>
      <c r="H703" t="s">
        <v>455</v>
      </c>
      <c r="I703" t="s">
        <v>73</v>
      </c>
      <c r="J703" t="str">
        <f>IFERROR(VLOOKUP(I703,[1]AUTOS!$C:$G,2,0),"")</f>
        <v>VERSA</v>
      </c>
      <c r="K703">
        <f>IFERROR(VLOOKUP(I703,[1]AUTOS!$C:$G,3,0),"")</f>
        <v>2023</v>
      </c>
      <c r="L703" t="str">
        <f>IFERROR(VLOOKUP(I703,[1]AUTOS!$C:$G,4,0),"")</f>
        <v>PLATA</v>
      </c>
      <c r="M703" t="s">
        <v>43</v>
      </c>
      <c r="N703" s="3">
        <v>0</v>
      </c>
      <c r="O703" s="3">
        <v>0</v>
      </c>
      <c r="P703" s="3">
        <v>-1000</v>
      </c>
    </row>
    <row r="704" spans="1:16" hidden="1" x14ac:dyDescent="0.3">
      <c r="A704">
        <v>36</v>
      </c>
      <c r="B704" t="str">
        <f>VLOOKUP($A704,[1]LISTA!$B:$C,2,0)</f>
        <v>SEPTIEMBRE</v>
      </c>
      <c r="C704" s="1">
        <v>2025</v>
      </c>
      <c r="D704" s="1" t="str">
        <f>IF($A704&lt;=[1]RESULTADOS!$D$6,"YTD","YTG")</f>
        <v>YTD</v>
      </c>
      <c r="E704" t="s">
        <v>377</v>
      </c>
      <c r="F704" t="s">
        <v>18</v>
      </c>
      <c r="G704" t="s">
        <v>48</v>
      </c>
      <c r="H704" t="s">
        <v>471</v>
      </c>
      <c r="I704" t="s">
        <v>313</v>
      </c>
      <c r="J704" t="str">
        <f>IFERROR(VLOOKUP(I704,[1]AUTOS!$C:$G,2,0),"")</f>
        <v>MARCH</v>
      </c>
      <c r="K704">
        <f>IFERROR(VLOOKUP(I704,[1]AUTOS!$C:$G,3,0),"")</f>
        <v>2019</v>
      </c>
      <c r="L704" t="str">
        <f>IFERROR(VLOOKUP(I704,[1]AUTOS!$C:$G,4,0),"")</f>
        <v>TURQ</v>
      </c>
      <c r="M704" t="s">
        <v>140</v>
      </c>
      <c r="N704" s="3">
        <v>0</v>
      </c>
      <c r="O704" s="3">
        <v>0</v>
      </c>
      <c r="P704" s="3">
        <v>-350</v>
      </c>
    </row>
    <row r="705" spans="1:16" hidden="1" x14ac:dyDescent="0.3">
      <c r="A705">
        <v>36</v>
      </c>
      <c r="B705" t="str">
        <f>VLOOKUP($A705,[1]LISTA!$B:$C,2,0)</f>
        <v>SEPTIEMBRE</v>
      </c>
      <c r="C705" s="1">
        <v>2025</v>
      </c>
      <c r="D705" s="1" t="str">
        <f>IF($A705&lt;=[1]RESULTADOS!$D$6,"YTD","YTG")</f>
        <v>YTD</v>
      </c>
      <c r="E705" t="s">
        <v>17</v>
      </c>
      <c r="F705" t="s">
        <v>18</v>
      </c>
      <c r="G705" t="s">
        <v>57</v>
      </c>
      <c r="H705" t="s">
        <v>472</v>
      </c>
      <c r="J705" t="str">
        <f>IFERROR(VLOOKUP(I705,[1]AUTOS!$C:$G,2,0),"")</f>
        <v/>
      </c>
      <c r="K705" t="str">
        <f>IFERROR(VLOOKUP(I705,[1]AUTOS!$C:$G,3,0),"")</f>
        <v/>
      </c>
      <c r="L705" t="str">
        <f>IFERROR(VLOOKUP(I705,[1]AUTOS!$C:$G,4,0),"")</f>
        <v/>
      </c>
      <c r="M705" t="s">
        <v>22</v>
      </c>
      <c r="N705" s="3">
        <v>0</v>
      </c>
      <c r="O705" s="3">
        <v>0</v>
      </c>
      <c r="P705" s="3">
        <v>-270</v>
      </c>
    </row>
    <row r="706" spans="1:16" hidden="1" x14ac:dyDescent="0.3">
      <c r="A706">
        <v>36</v>
      </c>
      <c r="B706" t="str">
        <f>VLOOKUP($A706,[1]LISTA!$B:$C,2,0)</f>
        <v>SEPTIEMBRE</v>
      </c>
      <c r="C706" s="1">
        <v>2025</v>
      </c>
      <c r="D706" s="1" t="str">
        <f>IF($A706&lt;=[1]RESULTADOS!$D$6,"YTD","YTG")</f>
        <v>YTD</v>
      </c>
      <c r="E706" t="s">
        <v>17</v>
      </c>
      <c r="F706" t="s">
        <v>18</v>
      </c>
      <c r="G706" t="s">
        <v>176</v>
      </c>
      <c r="H706" t="s">
        <v>473</v>
      </c>
      <c r="J706" t="str">
        <f>IFERROR(VLOOKUP(I706,[1]AUTOS!$C:$G,2,0),"")</f>
        <v/>
      </c>
      <c r="K706" t="str">
        <f>IFERROR(VLOOKUP(I706,[1]AUTOS!$C:$G,3,0),"")</f>
        <v/>
      </c>
      <c r="L706" t="str">
        <f>IFERROR(VLOOKUP(I706,[1]AUTOS!$C:$G,4,0),"")</f>
        <v/>
      </c>
      <c r="M706" t="s">
        <v>22</v>
      </c>
      <c r="N706" s="3">
        <v>0</v>
      </c>
      <c r="O706" s="3">
        <v>0</v>
      </c>
      <c r="P706" s="3">
        <v>-50</v>
      </c>
    </row>
    <row r="707" spans="1:16" hidden="1" x14ac:dyDescent="0.3">
      <c r="A707">
        <v>36</v>
      </c>
      <c r="B707" t="str">
        <f>VLOOKUP($A707,[1]LISTA!$B:$C,2,0)</f>
        <v>SEPTIEMBRE</v>
      </c>
      <c r="C707" s="1">
        <v>2025</v>
      </c>
      <c r="D707" s="1" t="str">
        <f>IF($A707&lt;=[1]RESULTADOS!$D$6,"YTD","YTG")</f>
        <v>YTD</v>
      </c>
      <c r="E707" t="s">
        <v>474</v>
      </c>
      <c r="F707" t="s">
        <v>18</v>
      </c>
      <c r="G707" t="s">
        <v>48</v>
      </c>
      <c r="H707" t="s">
        <v>475</v>
      </c>
      <c r="I707" t="s">
        <v>76</v>
      </c>
      <c r="J707" t="str">
        <f>IFERROR(VLOOKUP(I707,[1]AUTOS!$C:$G,2,0),"")</f>
        <v>AVEO</v>
      </c>
      <c r="K707">
        <f>IFERROR(VLOOKUP(I707,[1]AUTOS!$C:$G,3,0),"")</f>
        <v>2018</v>
      </c>
      <c r="L707" t="str">
        <f>IFERROR(VLOOKUP(I707,[1]AUTOS!$C:$G,4,0),"")</f>
        <v>GRIS</v>
      </c>
      <c r="M707" t="s">
        <v>43</v>
      </c>
      <c r="N707" s="3">
        <v>0</v>
      </c>
      <c r="O707" s="3">
        <v>0</v>
      </c>
      <c r="P707" s="3">
        <v>-100</v>
      </c>
    </row>
    <row r="708" spans="1:16" hidden="1" x14ac:dyDescent="0.3">
      <c r="A708">
        <v>36</v>
      </c>
      <c r="B708" t="str">
        <f>VLOOKUP($A708,[1]LISTA!$B:$C,2,0)</f>
        <v>SEPTIEMBRE</v>
      </c>
      <c r="C708" s="1">
        <v>2025</v>
      </c>
      <c r="D708" s="1" t="str">
        <f>IF($A708&lt;=[1]RESULTADOS!$D$6,"YTD","YTG")</f>
        <v>YTD</v>
      </c>
      <c r="E708" t="s">
        <v>474</v>
      </c>
      <c r="F708" t="s">
        <v>18</v>
      </c>
      <c r="G708" t="s">
        <v>29</v>
      </c>
      <c r="H708" t="s">
        <v>476</v>
      </c>
      <c r="I708" t="s">
        <v>76</v>
      </c>
      <c r="J708" t="str">
        <f>IFERROR(VLOOKUP(I708,[1]AUTOS!$C:$G,2,0),"")</f>
        <v>AVEO</v>
      </c>
      <c r="K708">
        <f>IFERROR(VLOOKUP(I708,[1]AUTOS!$C:$G,3,0),"")</f>
        <v>2018</v>
      </c>
      <c r="L708" t="str">
        <f>IFERROR(VLOOKUP(I708,[1]AUTOS!$C:$G,4,0),"")</f>
        <v>GRIS</v>
      </c>
      <c r="M708" t="s">
        <v>43</v>
      </c>
      <c r="N708" s="3">
        <v>0</v>
      </c>
      <c r="O708" s="3">
        <v>0</v>
      </c>
      <c r="P708" s="3">
        <v>-756</v>
      </c>
    </row>
    <row r="709" spans="1:16" hidden="1" x14ac:dyDescent="0.3">
      <c r="A709">
        <v>36</v>
      </c>
      <c r="B709" t="str">
        <f>VLOOKUP($A709,[1]LISTA!$B:$C,2,0)</f>
        <v>SEPTIEMBRE</v>
      </c>
      <c r="C709" s="1">
        <v>2025</v>
      </c>
      <c r="D709" s="1" t="str">
        <f>IF($A709&lt;=[1]RESULTADOS!$D$6,"YTD","YTG")</f>
        <v>YTD</v>
      </c>
      <c r="E709" t="s">
        <v>17</v>
      </c>
      <c r="F709" t="s">
        <v>18</v>
      </c>
      <c r="G709" t="s">
        <v>29</v>
      </c>
      <c r="H709" t="s">
        <v>477</v>
      </c>
      <c r="I709" t="s">
        <v>21</v>
      </c>
      <c r="J709" t="str">
        <f>IFERROR(VLOOKUP(I709,[1]AUTOS!$C:$G,2,0),"")</f>
        <v/>
      </c>
      <c r="K709" t="str">
        <f>IFERROR(VLOOKUP(I709,[1]AUTOS!$C:$G,3,0),"")</f>
        <v/>
      </c>
      <c r="L709" t="str">
        <f>IFERROR(VLOOKUP(I709,[1]AUTOS!$C:$G,4,0),"")</f>
        <v/>
      </c>
      <c r="M709" t="s">
        <v>22</v>
      </c>
      <c r="N709" s="3">
        <v>0</v>
      </c>
      <c r="O709" s="3">
        <v>0</v>
      </c>
      <c r="P709" s="3">
        <v>-1500</v>
      </c>
    </row>
    <row r="710" spans="1:16" hidden="1" x14ac:dyDescent="0.3">
      <c r="A710">
        <v>36</v>
      </c>
      <c r="B710" t="str">
        <f>VLOOKUP($A710,[1]LISTA!$B:$C,2,0)</f>
        <v>SEPTIEMBRE</v>
      </c>
      <c r="C710" s="1">
        <v>2025</v>
      </c>
      <c r="D710" s="1" t="str">
        <f>IF($A710&lt;=[1]RESULTADOS!$D$6,"YTD","YTG")</f>
        <v>YTD</v>
      </c>
      <c r="E710" t="s">
        <v>17</v>
      </c>
      <c r="F710" t="s">
        <v>18</v>
      </c>
      <c r="G710" t="s">
        <v>29</v>
      </c>
      <c r="H710" t="s">
        <v>455</v>
      </c>
      <c r="I710" t="s">
        <v>21</v>
      </c>
      <c r="J710" t="str">
        <f>IFERROR(VLOOKUP(I710,[1]AUTOS!$C:$G,2,0),"")</f>
        <v/>
      </c>
      <c r="K710" t="str">
        <f>IFERROR(VLOOKUP(I710,[1]AUTOS!$C:$G,3,0),"")</f>
        <v/>
      </c>
      <c r="L710" t="str">
        <f>IFERROR(VLOOKUP(I710,[1]AUTOS!$C:$G,4,0),"")</f>
        <v/>
      </c>
      <c r="M710" t="s">
        <v>22</v>
      </c>
      <c r="N710" s="3">
        <v>0</v>
      </c>
      <c r="O710" s="3">
        <v>0</v>
      </c>
      <c r="P710" s="3">
        <v>-500</v>
      </c>
    </row>
    <row r="711" spans="1:16" hidden="1" x14ac:dyDescent="0.3">
      <c r="A711">
        <v>36</v>
      </c>
      <c r="B711" t="str">
        <f>VLOOKUP($A711,[1]LISTA!$B:$C,2,0)</f>
        <v>SEPTIEMBRE</v>
      </c>
      <c r="C711" s="1">
        <v>2025</v>
      </c>
      <c r="D711" s="1" t="str">
        <f>IF($A711&lt;=[1]RESULTADOS!$D$6,"YTD","YTG")</f>
        <v>YTD</v>
      </c>
      <c r="E711" t="s">
        <v>478</v>
      </c>
      <c r="F711" t="s">
        <v>18</v>
      </c>
      <c r="G711" t="s">
        <v>158</v>
      </c>
      <c r="H711" t="s">
        <v>479</v>
      </c>
      <c r="I711" t="s">
        <v>51</v>
      </c>
      <c r="J711" t="str">
        <f>IFERROR(VLOOKUP(I711,[1]AUTOS!$C:$G,2,0),"")</f>
        <v>VENTO</v>
      </c>
      <c r="K711">
        <f>IFERROR(VLOOKUP(I711,[1]AUTOS!$C:$G,3,0),"")</f>
        <v>2017</v>
      </c>
      <c r="L711" t="str">
        <f>IFERROR(VLOOKUP(I711,[1]AUTOS!$C:$G,4,0),"")</f>
        <v>GRIS</v>
      </c>
      <c r="M711" t="s">
        <v>22</v>
      </c>
      <c r="N711" s="3">
        <v>0</v>
      </c>
      <c r="O711" s="3">
        <v>0</v>
      </c>
      <c r="P711" s="3">
        <v>-1700</v>
      </c>
    </row>
    <row r="712" spans="1:16" hidden="1" x14ac:dyDescent="0.3">
      <c r="A712">
        <v>36</v>
      </c>
      <c r="B712" t="str">
        <f>VLOOKUP($A712,[1]LISTA!$B:$C,2,0)</f>
        <v>SEPTIEMBRE</v>
      </c>
      <c r="C712" s="1">
        <v>2025</v>
      </c>
      <c r="D712" s="1" t="str">
        <f>IF($A712&lt;=[1]RESULTADOS!$D$6,"YTD","YTG")</f>
        <v>YTD</v>
      </c>
      <c r="E712" t="s">
        <v>17</v>
      </c>
      <c r="F712" t="s">
        <v>18</v>
      </c>
      <c r="G712" t="s">
        <v>57</v>
      </c>
      <c r="H712" t="s">
        <v>480</v>
      </c>
      <c r="J712" t="str">
        <f>IFERROR(VLOOKUP(I712,[1]AUTOS!$C:$G,2,0),"")</f>
        <v/>
      </c>
      <c r="K712" t="str">
        <f>IFERROR(VLOOKUP(I712,[1]AUTOS!$C:$G,3,0),"")</f>
        <v/>
      </c>
      <c r="L712" t="str">
        <f>IFERROR(VLOOKUP(I712,[1]AUTOS!$C:$G,4,0),"")</f>
        <v/>
      </c>
      <c r="M712" t="s">
        <v>22</v>
      </c>
      <c r="N712" s="3">
        <v>0</v>
      </c>
      <c r="O712" s="3">
        <v>0</v>
      </c>
      <c r="P712" s="3">
        <v>-438</v>
      </c>
    </row>
    <row r="713" spans="1:16" hidden="1" x14ac:dyDescent="0.3">
      <c r="A713">
        <v>36</v>
      </c>
      <c r="B713" t="str">
        <f>VLOOKUP($A713,[1]LISTA!$B:$C,2,0)</f>
        <v>SEPTIEMBRE</v>
      </c>
      <c r="C713" s="1">
        <v>2025</v>
      </c>
      <c r="D713" s="1" t="str">
        <f>IF($A713&lt;=[1]RESULTADOS!$D$6,"YTD","YTG")</f>
        <v>YTD</v>
      </c>
      <c r="E713" t="s">
        <v>17</v>
      </c>
      <c r="F713" t="s">
        <v>18</v>
      </c>
      <c r="G713" t="s">
        <v>57</v>
      </c>
      <c r="H713" t="s">
        <v>481</v>
      </c>
      <c r="I713" t="s">
        <v>21</v>
      </c>
      <c r="J713" t="str">
        <f>IFERROR(VLOOKUP(I713,[1]AUTOS!$C:$G,2,0),"")</f>
        <v/>
      </c>
      <c r="K713" t="str">
        <f>IFERROR(VLOOKUP(I713,[1]AUTOS!$C:$G,3,0),"")</f>
        <v/>
      </c>
      <c r="L713" t="str">
        <f>IFERROR(VLOOKUP(I713,[1]AUTOS!$C:$G,4,0),"")</f>
        <v/>
      </c>
      <c r="M713" t="s">
        <v>22</v>
      </c>
      <c r="N713" s="3">
        <v>0</v>
      </c>
      <c r="O713" s="3">
        <v>0</v>
      </c>
      <c r="P713" s="3">
        <v>-239</v>
      </c>
    </row>
    <row r="714" spans="1:16" hidden="1" x14ac:dyDescent="0.3">
      <c r="A714">
        <v>36</v>
      </c>
      <c r="B714" t="str">
        <f>VLOOKUP($A714,[1]LISTA!$B:$C,2,0)</f>
        <v>SEPTIEMBRE</v>
      </c>
      <c r="C714" s="1">
        <v>2025</v>
      </c>
      <c r="D714" s="1" t="str">
        <f>IF($A714&lt;=[1]RESULTADOS!$D$6,"YTD","YTG")</f>
        <v>YTD</v>
      </c>
      <c r="E714" t="s">
        <v>17</v>
      </c>
      <c r="F714" t="s">
        <v>18</v>
      </c>
      <c r="G714" t="s">
        <v>48</v>
      </c>
      <c r="H714" t="s">
        <v>482</v>
      </c>
      <c r="J714" t="str">
        <f>IFERROR(VLOOKUP(I714,[1]AUTOS!$C:$G,2,0),"")</f>
        <v/>
      </c>
      <c r="K714" t="str">
        <f>IFERROR(VLOOKUP(I714,[1]AUTOS!$C:$G,3,0),"")</f>
        <v/>
      </c>
      <c r="L714" t="str">
        <f>IFERROR(VLOOKUP(I714,[1]AUTOS!$C:$G,4,0),"")</f>
        <v/>
      </c>
      <c r="M714" t="s">
        <v>22</v>
      </c>
      <c r="N714" s="3">
        <v>0</v>
      </c>
      <c r="O714" s="3">
        <v>0</v>
      </c>
      <c r="P714" s="3">
        <v>-750</v>
      </c>
    </row>
    <row r="715" spans="1:16" hidden="1" x14ac:dyDescent="0.3">
      <c r="A715">
        <v>36</v>
      </c>
      <c r="B715" t="str">
        <f>VLOOKUP($A715,[1]LISTA!$B:$C,2,0)</f>
        <v>SEPTIEMBRE</v>
      </c>
      <c r="C715" s="1">
        <v>2025</v>
      </c>
      <c r="D715" s="1" t="str">
        <f>IF($A715&lt;=[1]RESULTADOS!$D$6,"YTD","YTG")</f>
        <v>YTD</v>
      </c>
      <c r="E715" t="s">
        <v>377</v>
      </c>
      <c r="F715" t="s">
        <v>18</v>
      </c>
      <c r="G715" t="s">
        <v>48</v>
      </c>
      <c r="H715" t="s">
        <v>483</v>
      </c>
      <c r="I715" t="s">
        <v>313</v>
      </c>
      <c r="J715" t="str">
        <f>IFERROR(VLOOKUP(I715,[1]AUTOS!$C:$G,2,0),"")</f>
        <v>MARCH</v>
      </c>
      <c r="K715">
        <f>IFERROR(VLOOKUP(I715,[1]AUTOS!$C:$G,3,0),"")</f>
        <v>2019</v>
      </c>
      <c r="L715" t="str">
        <f>IFERROR(VLOOKUP(I715,[1]AUTOS!$C:$G,4,0),"")</f>
        <v>TURQ</v>
      </c>
      <c r="M715" t="s">
        <v>140</v>
      </c>
      <c r="N715" s="3">
        <v>0</v>
      </c>
      <c r="O715" s="3">
        <v>0</v>
      </c>
      <c r="P715" s="3">
        <v>-750</v>
      </c>
    </row>
    <row r="716" spans="1:16" hidden="1" x14ac:dyDescent="0.3">
      <c r="A716">
        <v>36</v>
      </c>
      <c r="B716" t="str">
        <f>VLOOKUP($A716,[1]LISTA!$B:$C,2,0)</f>
        <v>SEPTIEMBRE</v>
      </c>
      <c r="C716" s="1">
        <v>2025</v>
      </c>
      <c r="D716" s="1" t="str">
        <f>IF($A716&lt;=[1]RESULTADOS!$D$6,"YTD","YTG")</f>
        <v>YTD</v>
      </c>
      <c r="E716" t="s">
        <v>399</v>
      </c>
      <c r="F716" t="s">
        <v>18</v>
      </c>
      <c r="G716" t="s">
        <v>57</v>
      </c>
      <c r="H716" t="s">
        <v>484</v>
      </c>
      <c r="I716" t="s">
        <v>116</v>
      </c>
      <c r="J716" t="str">
        <f>IFERROR(VLOOKUP(I716,[1]AUTOS!$C:$G,2,0),"")</f>
        <v>AVEO</v>
      </c>
      <c r="K716">
        <f>IFERROR(VLOOKUP(I716,[1]AUTOS!$C:$G,3,0),"")</f>
        <v>2022</v>
      </c>
      <c r="L716" t="str">
        <f>IFERROR(VLOOKUP(I716,[1]AUTOS!$C:$G,4,0),"")</f>
        <v>AZUL</v>
      </c>
      <c r="M716" t="s">
        <v>43</v>
      </c>
      <c r="N716" s="3">
        <v>0</v>
      </c>
      <c r="O716" s="3">
        <v>0</v>
      </c>
      <c r="P716" s="3">
        <v>-16760</v>
      </c>
    </row>
    <row r="717" spans="1:16" hidden="1" x14ac:dyDescent="0.3">
      <c r="A717">
        <v>34</v>
      </c>
      <c r="B717" t="str">
        <f>VLOOKUP($A717,[1]LISTA!$B:$C,2,0)</f>
        <v>AGOSTO</v>
      </c>
      <c r="C717" s="1">
        <v>2025</v>
      </c>
      <c r="D717" s="1" t="str">
        <f>IF($A717&lt;=[1]RESULTADOS!$D$6,"YTD","YTG")</f>
        <v>YTD</v>
      </c>
      <c r="E717" t="s">
        <v>17</v>
      </c>
      <c r="F717" t="s">
        <v>18</v>
      </c>
      <c r="G717" t="s">
        <v>158</v>
      </c>
      <c r="H717" t="s">
        <v>485</v>
      </c>
      <c r="I717" t="s">
        <v>366</v>
      </c>
      <c r="J717" t="str">
        <f>IFERROR(VLOOKUP(I717,[1]AUTOS!$C:$G,2,0),"")</f>
        <v>VENTO</v>
      </c>
      <c r="K717">
        <f>IFERROR(VLOOKUP(I717,[1]AUTOS!$C:$G,3,0),"")</f>
        <v>2019</v>
      </c>
      <c r="L717" t="str">
        <f>IFERROR(VLOOKUP(I717,[1]AUTOS!$C:$G,4,0),"")</f>
        <v>BLANCO</v>
      </c>
      <c r="M717" t="s">
        <v>215</v>
      </c>
      <c r="P717" s="3">
        <v>-1300</v>
      </c>
    </row>
    <row r="718" spans="1:16" hidden="1" x14ac:dyDescent="0.3">
      <c r="A718">
        <v>34</v>
      </c>
      <c r="B718" t="str">
        <f>VLOOKUP($A718,[1]LISTA!$B:$C,2,0)</f>
        <v>AGOSTO</v>
      </c>
      <c r="C718" s="1">
        <v>2025</v>
      </c>
      <c r="D718" s="1" t="str">
        <f>IF($A718&lt;=[1]RESULTADOS!$D$6,"YTD","YTG")</f>
        <v>YTD</v>
      </c>
      <c r="E718" t="s">
        <v>17</v>
      </c>
      <c r="F718" t="s">
        <v>18</v>
      </c>
      <c r="G718" t="s">
        <v>158</v>
      </c>
      <c r="H718" t="s">
        <v>485</v>
      </c>
      <c r="I718" t="s">
        <v>383</v>
      </c>
      <c r="J718" t="str">
        <f>IFERROR(VLOOKUP(I718,[1]AUTOS!$C:$G,2,0),"")</f>
        <v>VENTO</v>
      </c>
      <c r="K718">
        <f>IFERROR(VLOOKUP(I718,[1]AUTOS!$C:$G,3,0),"")</f>
        <v>2020</v>
      </c>
      <c r="L718" t="str">
        <f>IFERROR(VLOOKUP(I718,[1]AUTOS!$C:$G,4,0),"")</f>
        <v>GRIS</v>
      </c>
      <c r="M718" t="s">
        <v>215</v>
      </c>
      <c r="P718" s="3">
        <v>-1300</v>
      </c>
    </row>
    <row r="719" spans="1:16" hidden="1" x14ac:dyDescent="0.3">
      <c r="A719">
        <v>34</v>
      </c>
      <c r="B719" t="str">
        <f>VLOOKUP($A719,[1]LISTA!$B:$C,2,0)</f>
        <v>AGOSTO</v>
      </c>
      <c r="C719" s="1">
        <v>2025</v>
      </c>
      <c r="D719" s="1" t="str">
        <f>IF($A719&lt;=[1]RESULTADOS!$D$6,"YTD","YTG")</f>
        <v>YTD</v>
      </c>
      <c r="E719" t="s">
        <v>17</v>
      </c>
      <c r="F719" t="s">
        <v>18</v>
      </c>
      <c r="G719" t="s">
        <v>158</v>
      </c>
      <c r="H719" t="s">
        <v>485</v>
      </c>
      <c r="I719" t="s">
        <v>384</v>
      </c>
      <c r="J719" t="str">
        <f>IFERROR(VLOOKUP(I719,[1]AUTOS!$C:$G,2,0),"")</f>
        <v>MARCH</v>
      </c>
      <c r="K719">
        <f>IFERROR(VLOOKUP(I719,[1]AUTOS!$C:$G,3,0),"")</f>
        <v>2022</v>
      </c>
      <c r="L719" t="str">
        <f>IFERROR(VLOOKUP(I719,[1]AUTOS!$C:$G,4,0),"")</f>
        <v>BLANCO</v>
      </c>
      <c r="M719" t="s">
        <v>215</v>
      </c>
      <c r="P719" s="3">
        <v>-1300</v>
      </c>
    </row>
    <row r="720" spans="1:16" hidden="1" x14ac:dyDescent="0.3">
      <c r="A720">
        <v>34</v>
      </c>
      <c r="B720" t="str">
        <f>VLOOKUP($A720,[1]LISTA!$B:$C,2,0)</f>
        <v>AGOSTO</v>
      </c>
      <c r="C720" s="1">
        <v>2025</v>
      </c>
      <c r="D720" s="1" t="str">
        <f>IF($A720&lt;=[1]RESULTADOS!$D$6,"YTD","YTG")</f>
        <v>YTD</v>
      </c>
      <c r="E720" t="s">
        <v>486</v>
      </c>
      <c r="F720" t="s">
        <v>18</v>
      </c>
      <c r="G720" t="s">
        <v>57</v>
      </c>
      <c r="H720" t="s">
        <v>487</v>
      </c>
      <c r="I720" t="s">
        <v>46</v>
      </c>
      <c r="J720" t="str">
        <f>IFERROR(VLOOKUP(I720,[1]AUTOS!$C:$G,2,0),"")</f>
        <v>MARCH</v>
      </c>
      <c r="K720">
        <f>IFERROR(VLOOKUP(I720,[1]AUTOS!$C:$G,3,0),"")</f>
        <v>2020</v>
      </c>
      <c r="L720" t="str">
        <f>IFERROR(VLOOKUP(I720,[1]AUTOS!$C:$G,4,0),"")</f>
        <v>TURQ</v>
      </c>
      <c r="M720" t="s">
        <v>43</v>
      </c>
      <c r="P720" s="3">
        <v>-400</v>
      </c>
    </row>
    <row r="721" spans="1:16" hidden="1" x14ac:dyDescent="0.3">
      <c r="A721">
        <v>35</v>
      </c>
      <c r="B721" t="str">
        <f>VLOOKUP($A721,[1]LISTA!$B:$C,2,0)</f>
        <v>AGOSTO</v>
      </c>
      <c r="C721" s="1">
        <v>2025</v>
      </c>
      <c r="D721" s="1" t="str">
        <f>IF($A721&lt;=[1]RESULTADOS!$D$6,"YTD","YTG")</f>
        <v>YTD</v>
      </c>
      <c r="E721" t="s">
        <v>17</v>
      </c>
      <c r="F721" t="s">
        <v>18</v>
      </c>
      <c r="G721" t="s">
        <v>147</v>
      </c>
      <c r="H721" t="s">
        <v>488</v>
      </c>
      <c r="I721" t="s">
        <v>21</v>
      </c>
      <c r="J721" t="str">
        <f>IFERROR(VLOOKUP(I721,[1]AUTOS!$C:$G,2,0),"")</f>
        <v/>
      </c>
      <c r="K721" t="str">
        <f>IFERROR(VLOOKUP(I721,[1]AUTOS!$C:$G,3,0),"")</f>
        <v/>
      </c>
      <c r="L721" t="str">
        <f>IFERROR(VLOOKUP(I721,[1]AUTOS!$C:$G,4,0),"")</f>
        <v/>
      </c>
      <c r="M721" t="s">
        <v>22</v>
      </c>
      <c r="P721" s="3">
        <v>-50</v>
      </c>
    </row>
    <row r="722" spans="1:16" hidden="1" x14ac:dyDescent="0.3">
      <c r="A722">
        <v>36</v>
      </c>
      <c r="B722" t="str">
        <f>VLOOKUP($A722,[1]LISTA!$B:$C,2,0)</f>
        <v>SEPTIEMBRE</v>
      </c>
      <c r="C722" s="1">
        <v>2025</v>
      </c>
      <c r="D722" s="1" t="str">
        <f>IF($A722&lt;=[1]RESULTADOS!$D$6,"YTD","YTG")</f>
        <v>YTD</v>
      </c>
      <c r="E722" t="s">
        <v>17</v>
      </c>
      <c r="F722" t="s">
        <v>18</v>
      </c>
      <c r="G722" t="s">
        <v>142</v>
      </c>
      <c r="H722" t="s">
        <v>489</v>
      </c>
      <c r="I722" t="s">
        <v>21</v>
      </c>
      <c r="J722" t="str">
        <f>IFERROR(VLOOKUP(I722,[1]AUTOS!$C:$G,2,0),"")</f>
        <v/>
      </c>
      <c r="K722" t="str">
        <f>IFERROR(VLOOKUP(I722,[1]AUTOS!$C:$G,3,0),"")</f>
        <v/>
      </c>
      <c r="L722" t="str">
        <f>IFERROR(VLOOKUP(I722,[1]AUTOS!$C:$G,4,0),"")</f>
        <v/>
      </c>
      <c r="M722" t="s">
        <v>22</v>
      </c>
      <c r="P722" s="3">
        <v>-4800</v>
      </c>
    </row>
    <row r="723" spans="1:16" hidden="1" x14ac:dyDescent="0.3">
      <c r="A723">
        <v>36</v>
      </c>
      <c r="B723" t="str">
        <f>VLOOKUP($A723,[1]LISTA!$B:$C,2,0)</f>
        <v>SEPTIEMBRE</v>
      </c>
      <c r="C723" s="1">
        <v>2025</v>
      </c>
      <c r="D723" s="1" t="str">
        <f>IF($A723&lt;=[1]RESULTADOS!$D$6,"YTD","YTG")</f>
        <v>YTD</v>
      </c>
      <c r="E723" t="s">
        <v>17</v>
      </c>
      <c r="F723" t="s">
        <v>18</v>
      </c>
      <c r="G723" t="s">
        <v>29</v>
      </c>
      <c r="H723" t="s">
        <v>490</v>
      </c>
      <c r="I723" t="s">
        <v>21</v>
      </c>
      <c r="J723" t="str">
        <f>IFERROR(VLOOKUP(I723,[1]AUTOS!$C:$G,2,0),"")</f>
        <v/>
      </c>
      <c r="K723" t="str">
        <f>IFERROR(VLOOKUP(I723,[1]AUTOS!$C:$G,3,0),"")</f>
        <v/>
      </c>
      <c r="L723" t="str">
        <f>IFERROR(VLOOKUP(I723,[1]AUTOS!$C:$G,4,0),"")</f>
        <v/>
      </c>
      <c r="M723" t="s">
        <v>22</v>
      </c>
      <c r="P723" s="3">
        <v>-100</v>
      </c>
    </row>
    <row r="724" spans="1:16" hidden="1" x14ac:dyDescent="0.3">
      <c r="A724">
        <v>36</v>
      </c>
      <c r="B724" t="str">
        <f>VLOOKUP($A724,[1]LISTA!$B:$C,2,0)</f>
        <v>SEPTIEMBRE</v>
      </c>
      <c r="C724" s="1">
        <v>2025</v>
      </c>
      <c r="D724" s="1" t="str">
        <f>IF($A724&lt;=[1]RESULTADOS!$D$6,"YTD","YTG")</f>
        <v>YTD</v>
      </c>
      <c r="E724" t="s">
        <v>470</v>
      </c>
      <c r="F724" t="s">
        <v>18</v>
      </c>
      <c r="G724" t="s">
        <v>29</v>
      </c>
      <c r="H724" t="s">
        <v>491</v>
      </c>
      <c r="I724" t="s">
        <v>73</v>
      </c>
      <c r="J724" t="str">
        <f>IFERROR(VLOOKUP(I724,[1]AUTOS!$C:$G,2,0),"")</f>
        <v>VERSA</v>
      </c>
      <c r="K724">
        <f>IFERROR(VLOOKUP(I724,[1]AUTOS!$C:$G,3,0),"")</f>
        <v>2023</v>
      </c>
      <c r="L724" t="str">
        <f>IFERROR(VLOOKUP(I724,[1]AUTOS!$C:$G,4,0),"")</f>
        <v>PLATA</v>
      </c>
      <c r="M724" t="s">
        <v>43</v>
      </c>
      <c r="P724" s="3">
        <v>-1000</v>
      </c>
    </row>
    <row r="725" spans="1:16" hidden="1" x14ac:dyDescent="0.3">
      <c r="A725">
        <v>36</v>
      </c>
      <c r="B725" t="str">
        <f>VLOOKUP($A725,[1]LISTA!$B:$C,2,0)</f>
        <v>SEPTIEMBRE</v>
      </c>
      <c r="C725" s="1">
        <v>2025</v>
      </c>
      <c r="D725" s="1" t="str">
        <f>IF($A725&lt;=[1]RESULTADOS!$D$6,"YTD","YTG")</f>
        <v>YTD</v>
      </c>
      <c r="E725" t="s">
        <v>377</v>
      </c>
      <c r="F725" t="s">
        <v>18</v>
      </c>
      <c r="G725" t="s">
        <v>48</v>
      </c>
      <c r="H725" t="s">
        <v>471</v>
      </c>
      <c r="I725" t="s">
        <v>313</v>
      </c>
      <c r="J725" t="str">
        <f>IFERROR(VLOOKUP(I725,[1]AUTOS!$C:$G,2,0),"")</f>
        <v>MARCH</v>
      </c>
      <c r="K725">
        <f>IFERROR(VLOOKUP(I725,[1]AUTOS!$C:$G,3,0),"")</f>
        <v>2019</v>
      </c>
      <c r="L725" t="str">
        <f>IFERROR(VLOOKUP(I725,[1]AUTOS!$C:$G,4,0),"")</f>
        <v>TURQ</v>
      </c>
      <c r="M725" t="s">
        <v>140</v>
      </c>
      <c r="P725" s="3">
        <v>-350</v>
      </c>
    </row>
    <row r="726" spans="1:16" hidden="1" x14ac:dyDescent="0.3">
      <c r="A726">
        <v>36</v>
      </c>
      <c r="B726" t="str">
        <f>VLOOKUP($A726,[1]LISTA!$B:$C,2,0)</f>
        <v>SEPTIEMBRE</v>
      </c>
      <c r="C726" s="1">
        <v>2025</v>
      </c>
      <c r="D726" s="1" t="str">
        <f>IF($A726&lt;=[1]RESULTADOS!$D$6,"YTD","YTG")</f>
        <v>YTD</v>
      </c>
      <c r="E726" t="s">
        <v>492</v>
      </c>
      <c r="F726" t="s">
        <v>18</v>
      </c>
      <c r="G726" t="s">
        <v>57</v>
      </c>
      <c r="H726" t="s">
        <v>493</v>
      </c>
      <c r="I726" t="s">
        <v>144</v>
      </c>
      <c r="J726" t="str">
        <f>IFERROR(VLOOKUP(I726,[1]AUTOS!$C:$G,2,0),"")</f>
        <v>VERSA</v>
      </c>
      <c r="K726">
        <f>IFERROR(VLOOKUP(I726,[1]AUTOS!$C:$G,3,0),"")</f>
        <v>2020</v>
      </c>
      <c r="L726" t="str">
        <f>IFERROR(VLOOKUP(I726,[1]AUTOS!$C:$G,4,0),"")</f>
        <v>ROJO</v>
      </c>
      <c r="M726" t="s">
        <v>43</v>
      </c>
      <c r="P726" s="3">
        <v>-270</v>
      </c>
    </row>
    <row r="727" spans="1:16" hidden="1" x14ac:dyDescent="0.3">
      <c r="A727">
        <v>36</v>
      </c>
      <c r="B727" t="str">
        <f>VLOOKUP($A727,[1]LISTA!$B:$C,2,0)</f>
        <v>SEPTIEMBRE</v>
      </c>
      <c r="C727" s="1">
        <v>2025</v>
      </c>
      <c r="D727" s="1" t="str">
        <f>IF($A727&lt;=[1]RESULTADOS!$D$6,"YTD","YTG")</f>
        <v>YTD</v>
      </c>
      <c r="E727" t="s">
        <v>17</v>
      </c>
      <c r="F727" t="s">
        <v>18</v>
      </c>
      <c r="G727" t="s">
        <v>176</v>
      </c>
      <c r="H727" t="s">
        <v>473</v>
      </c>
      <c r="I727" t="s">
        <v>46</v>
      </c>
      <c r="J727" t="str">
        <f>IFERROR(VLOOKUP(I727,[1]AUTOS!$C:$G,2,0),"")</f>
        <v>MARCH</v>
      </c>
      <c r="K727">
        <f>IFERROR(VLOOKUP(I727,[1]AUTOS!$C:$G,3,0),"")</f>
        <v>2020</v>
      </c>
      <c r="L727" t="str">
        <f>IFERROR(VLOOKUP(I727,[1]AUTOS!$C:$G,4,0),"")</f>
        <v>TURQ</v>
      </c>
      <c r="M727" t="s">
        <v>43</v>
      </c>
      <c r="P727" s="3">
        <v>-40</v>
      </c>
    </row>
    <row r="728" spans="1:16" hidden="1" x14ac:dyDescent="0.3">
      <c r="A728">
        <v>36</v>
      </c>
      <c r="B728" t="str">
        <f>VLOOKUP($A728,[1]LISTA!$B:$C,2,0)</f>
        <v>SEPTIEMBRE</v>
      </c>
      <c r="C728" s="1">
        <v>2025</v>
      </c>
      <c r="D728" s="1" t="str">
        <f>IF($A728&lt;=[1]RESULTADOS!$D$6,"YTD","YTG")</f>
        <v>YTD</v>
      </c>
      <c r="E728" t="s">
        <v>474</v>
      </c>
      <c r="F728" t="s">
        <v>18</v>
      </c>
      <c r="G728" t="s">
        <v>48</v>
      </c>
      <c r="H728" t="s">
        <v>494</v>
      </c>
      <c r="I728" t="s">
        <v>76</v>
      </c>
      <c r="J728" t="str">
        <f>IFERROR(VLOOKUP(I728,[1]AUTOS!$C:$G,2,0),"")</f>
        <v>AVEO</v>
      </c>
      <c r="K728">
        <f>IFERROR(VLOOKUP(I728,[1]AUTOS!$C:$G,3,0),"")</f>
        <v>2018</v>
      </c>
      <c r="L728" t="str">
        <f>IFERROR(VLOOKUP(I728,[1]AUTOS!$C:$G,4,0),"")</f>
        <v>GRIS</v>
      </c>
      <c r="M728" t="s">
        <v>43</v>
      </c>
      <c r="P728" s="3">
        <v>-100</v>
      </c>
    </row>
    <row r="729" spans="1:16" hidden="1" x14ac:dyDescent="0.3">
      <c r="A729">
        <v>36</v>
      </c>
      <c r="B729" t="str">
        <f>VLOOKUP($A729,[1]LISTA!$B:$C,2,0)</f>
        <v>SEPTIEMBRE</v>
      </c>
      <c r="C729" s="1">
        <v>2025</v>
      </c>
      <c r="D729" s="1" t="str">
        <f>IF($A729&lt;=[1]RESULTADOS!$D$6,"YTD","YTG")</f>
        <v>YTD</v>
      </c>
      <c r="E729" t="s">
        <v>474</v>
      </c>
      <c r="F729" t="s">
        <v>18</v>
      </c>
      <c r="G729" t="s">
        <v>29</v>
      </c>
      <c r="H729" t="s">
        <v>476</v>
      </c>
      <c r="I729" t="s">
        <v>76</v>
      </c>
      <c r="J729" t="str">
        <f>IFERROR(VLOOKUP(I729,[1]AUTOS!$C:$G,2,0),"")</f>
        <v>AVEO</v>
      </c>
      <c r="K729">
        <f>IFERROR(VLOOKUP(I729,[1]AUTOS!$C:$G,3,0),"")</f>
        <v>2018</v>
      </c>
      <c r="L729" t="str">
        <f>IFERROR(VLOOKUP(I729,[1]AUTOS!$C:$G,4,0),"")</f>
        <v>GRIS</v>
      </c>
      <c r="M729" t="s">
        <v>43</v>
      </c>
      <c r="P729" s="3">
        <v>-756</v>
      </c>
    </row>
    <row r="730" spans="1:16" hidden="1" x14ac:dyDescent="0.3">
      <c r="A730">
        <v>36</v>
      </c>
      <c r="B730" t="str">
        <f>VLOOKUP($A730,[1]LISTA!$B:$C,2,0)</f>
        <v>SEPTIEMBRE</v>
      </c>
      <c r="C730" s="1">
        <v>2025</v>
      </c>
      <c r="D730" s="1" t="str">
        <f>IF($A730&lt;=[1]RESULTADOS!$D$6,"YTD","YTG")</f>
        <v>YTD</v>
      </c>
      <c r="E730" t="s">
        <v>17</v>
      </c>
      <c r="F730" t="s">
        <v>18</v>
      </c>
      <c r="G730" t="s">
        <v>29</v>
      </c>
      <c r="H730" t="s">
        <v>477</v>
      </c>
      <c r="I730" t="s">
        <v>21</v>
      </c>
      <c r="J730" t="str">
        <f>IFERROR(VLOOKUP(I730,[1]AUTOS!$C:$G,2,0),"")</f>
        <v/>
      </c>
      <c r="K730" t="str">
        <f>IFERROR(VLOOKUP(I730,[1]AUTOS!$C:$G,3,0),"")</f>
        <v/>
      </c>
      <c r="L730" t="str">
        <f>IFERROR(VLOOKUP(I730,[1]AUTOS!$C:$G,4,0),"")</f>
        <v/>
      </c>
      <c r="M730" t="s">
        <v>22</v>
      </c>
      <c r="P730" s="3">
        <v>-1500</v>
      </c>
    </row>
    <row r="731" spans="1:16" hidden="1" x14ac:dyDescent="0.3">
      <c r="A731">
        <v>36</v>
      </c>
      <c r="B731" t="str">
        <f>VLOOKUP($A731,[1]LISTA!$B:$C,2,0)</f>
        <v>SEPTIEMBRE</v>
      </c>
      <c r="C731" s="1">
        <v>2025</v>
      </c>
      <c r="D731" s="1" t="str">
        <f>IF($A731&lt;=[1]RESULTADOS!$D$6,"YTD","YTG")</f>
        <v>YTD</v>
      </c>
      <c r="E731" t="s">
        <v>416</v>
      </c>
      <c r="F731" t="s">
        <v>18</v>
      </c>
      <c r="G731" t="s">
        <v>29</v>
      </c>
      <c r="H731" t="s">
        <v>455</v>
      </c>
      <c r="I731" t="s">
        <v>495</v>
      </c>
      <c r="J731" t="str">
        <f>IFERROR(VLOOKUP(I731,[1]AUTOS!$C:$G,2,0),"")</f>
        <v>VERSA</v>
      </c>
      <c r="K731">
        <f>IFERROR(VLOOKUP(I731,[1]AUTOS!$C:$G,3,0),"")</f>
        <v>2021</v>
      </c>
      <c r="L731" t="str">
        <f>IFERROR(VLOOKUP(I731,[1]AUTOS!$C:$G,4,0),"")</f>
        <v>BLANCO</v>
      </c>
      <c r="M731" t="s">
        <v>43</v>
      </c>
      <c r="P731" s="3">
        <v>-500</v>
      </c>
    </row>
    <row r="732" spans="1:16" hidden="1" x14ac:dyDescent="0.3">
      <c r="A732">
        <v>36</v>
      </c>
      <c r="B732" t="str">
        <f>VLOOKUP($A732,[1]LISTA!$B:$C,2,0)</f>
        <v>SEPTIEMBRE</v>
      </c>
      <c r="C732" s="1">
        <v>2025</v>
      </c>
      <c r="D732" s="1" t="str">
        <f>IF($A732&lt;=[1]RESULTADOS!$D$6,"YTD","YTG")</f>
        <v>YTD</v>
      </c>
      <c r="E732" t="s">
        <v>478</v>
      </c>
      <c r="F732" t="s">
        <v>18</v>
      </c>
      <c r="G732" t="s">
        <v>158</v>
      </c>
      <c r="H732" t="s">
        <v>479</v>
      </c>
      <c r="I732" t="s">
        <v>51</v>
      </c>
      <c r="J732" t="str">
        <f>IFERROR(VLOOKUP(I732,[1]AUTOS!$C:$G,2,0),"")</f>
        <v>VENTO</v>
      </c>
      <c r="K732">
        <f>IFERROR(VLOOKUP(I732,[1]AUTOS!$C:$G,3,0),"")</f>
        <v>2017</v>
      </c>
      <c r="L732" t="str">
        <f>IFERROR(VLOOKUP(I732,[1]AUTOS!$C:$G,4,0),"")</f>
        <v>GRIS</v>
      </c>
      <c r="M732" t="s">
        <v>22</v>
      </c>
      <c r="P732" s="3">
        <v>-1740</v>
      </c>
    </row>
    <row r="733" spans="1:16" hidden="1" x14ac:dyDescent="0.3">
      <c r="A733">
        <v>36</v>
      </c>
      <c r="B733" t="str">
        <f>VLOOKUP($A733,[1]LISTA!$B:$C,2,0)</f>
        <v>SEPTIEMBRE</v>
      </c>
      <c r="C733" s="1">
        <v>2025</v>
      </c>
      <c r="D733" s="1" t="str">
        <f>IF($A733&lt;=[1]RESULTADOS!$D$6,"YTD","YTG")</f>
        <v>YTD</v>
      </c>
      <c r="E733" t="s">
        <v>496</v>
      </c>
      <c r="F733" t="s">
        <v>18</v>
      </c>
      <c r="G733" t="s">
        <v>57</v>
      </c>
      <c r="H733" t="s">
        <v>480</v>
      </c>
      <c r="I733" t="s">
        <v>42</v>
      </c>
      <c r="J733" t="str">
        <f>IFERROR(VLOOKUP(I733,[1]AUTOS!$C:$G,2,0),"")</f>
        <v>VENTO</v>
      </c>
      <c r="K733">
        <f>IFERROR(VLOOKUP(I733,[1]AUTOS!$C:$G,3,0),"")</f>
        <v>2018</v>
      </c>
      <c r="L733" t="str">
        <f>IFERROR(VLOOKUP(I733,[1]AUTOS!$C:$G,4,0),"")</f>
        <v>AMARILLO</v>
      </c>
      <c r="M733" t="s">
        <v>43</v>
      </c>
      <c r="P733" s="3">
        <v>-438</v>
      </c>
    </row>
    <row r="734" spans="1:16" hidden="1" x14ac:dyDescent="0.3">
      <c r="A734">
        <v>36</v>
      </c>
      <c r="B734" t="str">
        <f>VLOOKUP($A734,[1]LISTA!$B:$C,2,0)</f>
        <v>SEPTIEMBRE</v>
      </c>
      <c r="C734" s="1">
        <v>2025</v>
      </c>
      <c r="D734" s="1" t="str">
        <f>IF($A734&lt;=[1]RESULTADOS!$D$6,"YTD","YTG")</f>
        <v>YTD</v>
      </c>
      <c r="E734" t="s">
        <v>17</v>
      </c>
      <c r="F734" t="s">
        <v>18</v>
      </c>
      <c r="G734" t="s">
        <v>57</v>
      </c>
      <c r="H734" t="s">
        <v>481</v>
      </c>
      <c r="I734" t="s">
        <v>21</v>
      </c>
      <c r="J734" t="str">
        <f>IFERROR(VLOOKUP(I734,[1]AUTOS!$C:$G,2,0),"")</f>
        <v/>
      </c>
      <c r="K734" t="str">
        <f>IFERROR(VLOOKUP(I734,[1]AUTOS!$C:$G,3,0),"")</f>
        <v/>
      </c>
      <c r="L734" t="str">
        <f>IFERROR(VLOOKUP(I734,[1]AUTOS!$C:$G,4,0),"")</f>
        <v/>
      </c>
      <c r="M734" t="s">
        <v>22</v>
      </c>
      <c r="P734" s="3">
        <v>-239</v>
      </c>
    </row>
    <row r="735" spans="1:16" hidden="1" x14ac:dyDescent="0.3">
      <c r="A735">
        <v>36</v>
      </c>
      <c r="B735" t="str">
        <f>VLOOKUP($A735,[1]LISTA!$B:$C,2,0)</f>
        <v>SEPTIEMBRE</v>
      </c>
      <c r="C735" s="1">
        <v>2025</v>
      </c>
      <c r="D735" s="1" t="str">
        <f>IF($A735&lt;=[1]RESULTADOS!$D$6,"YTD","YTG")</f>
        <v>YTD</v>
      </c>
      <c r="E735" t="s">
        <v>497</v>
      </c>
      <c r="F735" t="s">
        <v>18</v>
      </c>
      <c r="G735" t="s">
        <v>57</v>
      </c>
      <c r="H735" t="s">
        <v>484</v>
      </c>
      <c r="I735" t="s">
        <v>116</v>
      </c>
      <c r="J735" t="str">
        <f>IFERROR(VLOOKUP(I735,[1]AUTOS!$C:$G,2,0),"")</f>
        <v>AVEO</v>
      </c>
      <c r="K735">
        <f>IFERROR(VLOOKUP(I735,[1]AUTOS!$C:$G,3,0),"")</f>
        <v>2022</v>
      </c>
      <c r="L735" t="str">
        <f>IFERROR(VLOOKUP(I735,[1]AUTOS!$C:$G,4,0),"")</f>
        <v>AZUL</v>
      </c>
      <c r="M735" t="s">
        <v>43</v>
      </c>
      <c r="P735" s="3">
        <v>-16760</v>
      </c>
    </row>
    <row r="736" spans="1:16" hidden="1" x14ac:dyDescent="0.3">
      <c r="A736">
        <v>36</v>
      </c>
      <c r="B736" t="str">
        <f>VLOOKUP($A736,[1]LISTA!$B:$C,2,0)</f>
        <v>SEPTIEMBRE</v>
      </c>
      <c r="C736" s="1">
        <v>2025</v>
      </c>
      <c r="D736" s="1" t="str">
        <f>IF($A736&lt;=[1]RESULTADOS!$D$6,"YTD","YTG")</f>
        <v>YTD</v>
      </c>
      <c r="E736" t="s">
        <v>17</v>
      </c>
      <c r="F736" t="s">
        <v>18</v>
      </c>
      <c r="G736" t="s">
        <v>29</v>
      </c>
      <c r="H736" t="s">
        <v>498</v>
      </c>
      <c r="I736" t="s">
        <v>21</v>
      </c>
      <c r="J736" t="str">
        <f>IFERROR(VLOOKUP(I736,[1]AUTOS!$C:$G,2,0),"")</f>
        <v/>
      </c>
      <c r="K736" t="str">
        <f>IFERROR(VLOOKUP(I736,[1]AUTOS!$C:$G,3,0),"")</f>
        <v/>
      </c>
      <c r="L736" t="str">
        <f>IFERROR(VLOOKUP(I736,[1]AUTOS!$C:$G,4,0),"")</f>
        <v/>
      </c>
      <c r="M736" t="s">
        <v>22</v>
      </c>
      <c r="P736" s="3">
        <v>-200</v>
      </c>
    </row>
    <row r="737" spans="1:16" hidden="1" x14ac:dyDescent="0.3">
      <c r="A737">
        <v>36</v>
      </c>
      <c r="B737" t="str">
        <f>VLOOKUP($A737,[1]LISTA!$B:$C,2,0)</f>
        <v>SEPTIEMBRE</v>
      </c>
      <c r="C737" s="1">
        <v>2025</v>
      </c>
      <c r="D737" s="1" t="str">
        <f>IF($A737&lt;=[1]RESULTADOS!$D$6,"YTD","YTG")</f>
        <v>YTD</v>
      </c>
      <c r="E737" t="s">
        <v>17</v>
      </c>
      <c r="F737" t="s">
        <v>18</v>
      </c>
      <c r="G737" t="s">
        <v>147</v>
      </c>
      <c r="H737" t="s">
        <v>488</v>
      </c>
      <c r="I737" t="s">
        <v>21</v>
      </c>
      <c r="J737" t="str">
        <f>IFERROR(VLOOKUP(I737,[1]AUTOS!$C:$G,2,0),"")</f>
        <v/>
      </c>
      <c r="K737" t="str">
        <f>IFERROR(VLOOKUP(I737,[1]AUTOS!$C:$G,3,0),"")</f>
        <v/>
      </c>
      <c r="L737" t="str">
        <f>IFERROR(VLOOKUP(I737,[1]AUTOS!$C:$G,4,0),"")</f>
        <v/>
      </c>
      <c r="M737" t="s">
        <v>22</v>
      </c>
      <c r="P737" s="3">
        <v>-50</v>
      </c>
    </row>
    <row r="738" spans="1:16" hidden="1" x14ac:dyDescent="0.3">
      <c r="A738">
        <v>36</v>
      </c>
      <c r="B738" t="str">
        <f>VLOOKUP($A738,[1]LISTA!$B:$C,2,0)</f>
        <v>SEPTIEMBRE</v>
      </c>
      <c r="C738" s="1">
        <v>2025</v>
      </c>
      <c r="D738" s="1" t="str">
        <f>IF($A738&lt;=[1]RESULTADOS!$D$6,"YTD","YTG")</f>
        <v>YTD</v>
      </c>
      <c r="E738" t="s">
        <v>486</v>
      </c>
      <c r="F738" t="s">
        <v>18</v>
      </c>
      <c r="G738" t="s">
        <v>48</v>
      </c>
      <c r="H738" t="s">
        <v>499</v>
      </c>
      <c r="I738" t="s">
        <v>46</v>
      </c>
      <c r="J738" t="str">
        <f>IFERROR(VLOOKUP(I738,[1]AUTOS!$C:$G,2,0),"")</f>
        <v>MARCH</v>
      </c>
      <c r="K738">
        <f>IFERROR(VLOOKUP(I738,[1]AUTOS!$C:$G,3,0),"")</f>
        <v>2020</v>
      </c>
      <c r="L738" t="str">
        <f>IFERROR(VLOOKUP(I738,[1]AUTOS!$C:$G,4,0),"")</f>
        <v>TURQ</v>
      </c>
      <c r="M738" t="s">
        <v>43</v>
      </c>
      <c r="P738" s="3">
        <v>-1102</v>
      </c>
    </row>
    <row r="739" spans="1:16" hidden="1" x14ac:dyDescent="0.3">
      <c r="A739">
        <v>36</v>
      </c>
      <c r="B739" t="str">
        <f>VLOOKUP($A739,[1]LISTA!$B:$C,2,0)</f>
        <v>SEPTIEMBRE</v>
      </c>
      <c r="C739" s="1">
        <v>2025</v>
      </c>
      <c r="D739" s="1" t="str">
        <f>IF($A739&lt;=[1]RESULTADOS!$D$6,"YTD","YTG")</f>
        <v>YTD</v>
      </c>
      <c r="E739" t="s">
        <v>399</v>
      </c>
      <c r="F739" t="s">
        <v>18</v>
      </c>
      <c r="G739" t="s">
        <v>48</v>
      </c>
      <c r="H739" t="s">
        <v>500</v>
      </c>
      <c r="I739" t="s">
        <v>162</v>
      </c>
      <c r="J739" t="str">
        <f>IFERROR(VLOOKUP(I739,[1]AUTOS!$C:$G,2,0),"")</f>
        <v>HYUNDAI</v>
      </c>
      <c r="K739">
        <f>IFERROR(VLOOKUP(I739,[1]AUTOS!$C:$G,3,0),"")</f>
        <v>2022</v>
      </c>
      <c r="L739" t="str">
        <f>IFERROR(VLOOKUP(I739,[1]AUTOS!$C:$G,4,0),"")</f>
        <v>PLATA</v>
      </c>
      <c r="M739" t="s">
        <v>43</v>
      </c>
      <c r="P739" s="3">
        <v>-1276</v>
      </c>
    </row>
    <row r="740" spans="1:16" hidden="1" x14ac:dyDescent="0.3">
      <c r="A740">
        <v>36</v>
      </c>
      <c r="B740" t="str">
        <f>VLOOKUP($A740,[1]LISTA!$B:$C,2,0)</f>
        <v>SEPTIEMBRE</v>
      </c>
      <c r="C740" s="1">
        <v>2025</v>
      </c>
      <c r="D740" s="1" t="str">
        <f>IF($A740&lt;=[1]RESULTADOS!$D$6,"YTD","YTG")</f>
        <v>YTD</v>
      </c>
      <c r="E740" t="s">
        <v>377</v>
      </c>
      <c r="F740" t="s">
        <v>18</v>
      </c>
      <c r="G740" t="s">
        <v>48</v>
      </c>
      <c r="H740" t="s">
        <v>501</v>
      </c>
      <c r="I740" t="s">
        <v>313</v>
      </c>
      <c r="J740" t="str">
        <f>IFERROR(VLOOKUP(I740,[1]AUTOS!$C:$G,2,0),"")</f>
        <v>MARCH</v>
      </c>
      <c r="K740">
        <f>IFERROR(VLOOKUP(I740,[1]AUTOS!$C:$G,3,0),"")</f>
        <v>2019</v>
      </c>
      <c r="L740" t="str">
        <f>IFERROR(VLOOKUP(I740,[1]AUTOS!$C:$G,4,0),"")</f>
        <v>TURQ</v>
      </c>
      <c r="M740" t="s">
        <v>140</v>
      </c>
      <c r="P740" s="3">
        <v>-1160</v>
      </c>
    </row>
    <row r="741" spans="1:16" hidden="1" x14ac:dyDescent="0.3">
      <c r="A741">
        <v>36</v>
      </c>
      <c r="B741" t="str">
        <f>VLOOKUP($A741,[1]LISTA!$B:$C,2,0)</f>
        <v>SEPTIEMBRE</v>
      </c>
      <c r="C741" s="1">
        <v>2025</v>
      </c>
      <c r="D741" s="1" t="str">
        <f>IF($A741&lt;=[1]RESULTADOS!$D$6,"YTD","YTG")</f>
        <v>YTD</v>
      </c>
      <c r="E741" t="s">
        <v>492</v>
      </c>
      <c r="F741" t="s">
        <v>18</v>
      </c>
      <c r="G741" t="s">
        <v>57</v>
      </c>
      <c r="H741" t="s">
        <v>493</v>
      </c>
      <c r="I741" t="s">
        <v>144</v>
      </c>
      <c r="J741" t="str">
        <f>IFERROR(VLOOKUP(I741,[1]AUTOS!$C:$G,2,0),"")</f>
        <v>VERSA</v>
      </c>
      <c r="K741">
        <f>IFERROR(VLOOKUP(I741,[1]AUTOS!$C:$G,3,0),"")</f>
        <v>2020</v>
      </c>
      <c r="L741" t="str">
        <f>IFERROR(VLOOKUP(I741,[1]AUTOS!$C:$G,4,0),"")</f>
        <v>ROJO</v>
      </c>
      <c r="M741" t="s">
        <v>43</v>
      </c>
      <c r="P741" s="3">
        <v>-280</v>
      </c>
    </row>
    <row r="742" spans="1:16" hidden="1" x14ac:dyDescent="0.3">
      <c r="A742">
        <v>36</v>
      </c>
      <c r="B742" t="str">
        <f>VLOOKUP($A742,[1]LISTA!$B:$C,2,0)</f>
        <v>SEPTIEMBRE</v>
      </c>
      <c r="C742" s="1">
        <v>2025</v>
      </c>
      <c r="D742" s="1" t="str">
        <f>IF($A742&lt;=[1]RESULTADOS!$D$6,"YTD","YTG")</f>
        <v>YTD</v>
      </c>
      <c r="E742" t="s">
        <v>492</v>
      </c>
      <c r="F742" t="s">
        <v>18</v>
      </c>
      <c r="G742" t="s">
        <v>57</v>
      </c>
      <c r="H742" t="s">
        <v>502</v>
      </c>
      <c r="I742" t="s">
        <v>144</v>
      </c>
      <c r="J742" t="str">
        <f>IFERROR(VLOOKUP(I742,[1]AUTOS!$C:$G,2,0),"")</f>
        <v>VERSA</v>
      </c>
      <c r="K742">
        <f>IFERROR(VLOOKUP(I742,[1]AUTOS!$C:$G,3,0),"")</f>
        <v>2020</v>
      </c>
      <c r="L742" t="str">
        <f>IFERROR(VLOOKUP(I742,[1]AUTOS!$C:$G,4,0),"")</f>
        <v>ROJO</v>
      </c>
      <c r="M742" t="s">
        <v>43</v>
      </c>
      <c r="P742" s="3">
        <v>-220</v>
      </c>
    </row>
    <row r="743" spans="1:16" hidden="1" x14ac:dyDescent="0.3">
      <c r="A743">
        <v>36</v>
      </c>
      <c r="B743" t="str">
        <f>VLOOKUP($A743,[1]LISTA!$B:$C,2,0)</f>
        <v>SEPTIEMBRE</v>
      </c>
      <c r="C743" s="1">
        <v>2025</v>
      </c>
      <c r="D743" s="1" t="str">
        <f>IF($A743&lt;=[1]RESULTADOS!$D$6,"YTD","YTG")</f>
        <v>YTD</v>
      </c>
      <c r="E743" t="s">
        <v>492</v>
      </c>
      <c r="F743" t="s">
        <v>18</v>
      </c>
      <c r="G743" t="s">
        <v>64</v>
      </c>
      <c r="H743" t="s">
        <v>290</v>
      </c>
      <c r="I743" t="s">
        <v>144</v>
      </c>
      <c r="J743" t="str">
        <f>IFERROR(VLOOKUP(I743,[1]AUTOS!$C:$G,2,0),"")</f>
        <v>VERSA</v>
      </c>
      <c r="K743">
        <f>IFERROR(VLOOKUP(I743,[1]AUTOS!$C:$G,3,0),"")</f>
        <v>2020</v>
      </c>
      <c r="L743" t="str">
        <f>IFERROR(VLOOKUP(I743,[1]AUTOS!$C:$G,4,0),"")</f>
        <v>ROJO</v>
      </c>
      <c r="M743" t="s">
        <v>43</v>
      </c>
      <c r="P743" s="3">
        <v>-150</v>
      </c>
    </row>
    <row r="744" spans="1:16" hidden="1" x14ac:dyDescent="0.3">
      <c r="A744">
        <v>36</v>
      </c>
      <c r="B744" t="str">
        <f>VLOOKUP($A744,[1]LISTA!$B:$C,2,0)</f>
        <v>SEPTIEMBRE</v>
      </c>
      <c r="C744" s="1">
        <v>2025</v>
      </c>
      <c r="D744" s="1" t="str">
        <f>IF($A744&lt;=[1]RESULTADOS!$D$6,"YTD","YTG")</f>
        <v>YTD</v>
      </c>
      <c r="E744" t="s">
        <v>17</v>
      </c>
      <c r="F744" t="s">
        <v>18</v>
      </c>
      <c r="G744" t="s">
        <v>29</v>
      </c>
      <c r="H744" t="s">
        <v>490</v>
      </c>
      <c r="I744" t="s">
        <v>21</v>
      </c>
      <c r="J744" t="str">
        <f>IFERROR(VLOOKUP(I744,[1]AUTOS!$C:$G,2,0),"")</f>
        <v/>
      </c>
      <c r="K744" t="str">
        <f>IFERROR(VLOOKUP(I744,[1]AUTOS!$C:$G,3,0),"")</f>
        <v/>
      </c>
      <c r="L744" t="str">
        <f>IFERROR(VLOOKUP(I744,[1]AUTOS!$C:$G,4,0),"")</f>
        <v/>
      </c>
      <c r="M744" t="s">
        <v>22</v>
      </c>
      <c r="P744" s="3">
        <v>-200</v>
      </c>
    </row>
    <row r="745" spans="1:16" hidden="1" x14ac:dyDescent="0.3">
      <c r="A745">
        <v>37</v>
      </c>
      <c r="B745" t="str">
        <f>VLOOKUP($A745,[1]LISTA!$B:$C,2,0)</f>
        <v>SEPTIEMBRE</v>
      </c>
      <c r="C745" s="1">
        <v>2025</v>
      </c>
      <c r="D745" s="1" t="str">
        <f>IF($A745&lt;=[1]RESULTADOS!$D$6,"YTD","YTG")</f>
        <v>YTD</v>
      </c>
      <c r="E745" t="s">
        <v>470</v>
      </c>
      <c r="F745" t="s">
        <v>18</v>
      </c>
      <c r="G745" t="s">
        <v>57</v>
      </c>
      <c r="H745" t="s">
        <v>503</v>
      </c>
      <c r="I745" t="s">
        <v>73</v>
      </c>
      <c r="J745" t="str">
        <f>IFERROR(VLOOKUP(I745,[1]AUTOS!$C:$G,2,0),"")</f>
        <v>VERSA</v>
      </c>
      <c r="K745">
        <f>IFERROR(VLOOKUP(I745,[1]AUTOS!$C:$G,3,0),"")</f>
        <v>2023</v>
      </c>
      <c r="L745" t="str">
        <f>IFERROR(VLOOKUP(I745,[1]AUTOS!$C:$G,4,0),"")</f>
        <v>PLATA</v>
      </c>
      <c r="M745" t="s">
        <v>43</v>
      </c>
      <c r="P745" s="3">
        <v>-450</v>
      </c>
    </row>
    <row r="746" spans="1:16" hidden="1" x14ac:dyDescent="0.3">
      <c r="A746">
        <v>37</v>
      </c>
      <c r="B746" t="str">
        <f>VLOOKUP($A746,[1]LISTA!$B:$C,2,0)</f>
        <v>SEPTIEMBRE</v>
      </c>
      <c r="C746" s="1">
        <v>2025</v>
      </c>
      <c r="D746" s="1" t="str">
        <f>IF($A746&lt;=[1]RESULTADOS!$D$6,"YTD","YTG")</f>
        <v>YTD</v>
      </c>
      <c r="E746" t="s">
        <v>470</v>
      </c>
      <c r="F746" t="s">
        <v>18</v>
      </c>
      <c r="G746" t="s">
        <v>57</v>
      </c>
      <c r="H746" t="s">
        <v>504</v>
      </c>
      <c r="I746" t="s">
        <v>73</v>
      </c>
      <c r="J746" t="str">
        <f>IFERROR(VLOOKUP(I746,[1]AUTOS!$C:$G,2,0),"")</f>
        <v>VERSA</v>
      </c>
      <c r="K746">
        <f>IFERROR(VLOOKUP(I746,[1]AUTOS!$C:$G,3,0),"")</f>
        <v>2023</v>
      </c>
      <c r="L746" t="str">
        <f>IFERROR(VLOOKUP(I746,[1]AUTOS!$C:$G,4,0),"")</f>
        <v>PLATA</v>
      </c>
      <c r="M746" t="s">
        <v>43</v>
      </c>
      <c r="P746" s="3">
        <v>-270</v>
      </c>
    </row>
    <row r="747" spans="1:16" hidden="1" x14ac:dyDescent="0.3">
      <c r="A747">
        <v>37</v>
      </c>
      <c r="B747" t="str">
        <f>VLOOKUP($A747,[1]LISTA!$B:$C,2,0)</f>
        <v>SEPTIEMBRE</v>
      </c>
      <c r="C747" s="1">
        <v>2025</v>
      </c>
      <c r="D747" s="1" t="str">
        <f>IF($A747&lt;=[1]RESULTADOS!$D$6,"YTD","YTG")</f>
        <v>YTD</v>
      </c>
      <c r="E747" t="s">
        <v>470</v>
      </c>
      <c r="F747" t="s">
        <v>18</v>
      </c>
      <c r="G747" t="s">
        <v>64</v>
      </c>
      <c r="H747" t="s">
        <v>505</v>
      </c>
      <c r="I747" t="s">
        <v>73</v>
      </c>
      <c r="J747" t="str">
        <f>IFERROR(VLOOKUP(I747,[1]AUTOS!$C:$G,2,0),"")</f>
        <v>VERSA</v>
      </c>
      <c r="K747">
        <f>IFERROR(VLOOKUP(I747,[1]AUTOS!$C:$G,3,0),"")</f>
        <v>2023</v>
      </c>
      <c r="L747" t="str">
        <f>IFERROR(VLOOKUP(I747,[1]AUTOS!$C:$G,4,0),"")</f>
        <v>PLATA</v>
      </c>
      <c r="M747" t="s">
        <v>43</v>
      </c>
      <c r="P747" s="3">
        <v>-120</v>
      </c>
    </row>
    <row r="748" spans="1:16" hidden="1" x14ac:dyDescent="0.3">
      <c r="A748">
        <v>37</v>
      </c>
      <c r="B748" t="str">
        <f>VLOOKUP($A748,[1]LISTA!$B:$C,2,0)</f>
        <v>SEPTIEMBRE</v>
      </c>
      <c r="C748" s="1">
        <v>2025</v>
      </c>
      <c r="D748" s="1" t="str">
        <f>IF($A748&lt;=[1]RESULTADOS!$D$6,"YTD","YTG")</f>
        <v>YTD</v>
      </c>
      <c r="E748" t="s">
        <v>17</v>
      </c>
      <c r="F748" t="s">
        <v>18</v>
      </c>
      <c r="G748" t="s">
        <v>38</v>
      </c>
      <c r="H748" t="s">
        <v>265</v>
      </c>
      <c r="I748" t="s">
        <v>370</v>
      </c>
      <c r="J748" t="str">
        <f>IFERROR(VLOOKUP(I748,[1]AUTOS!$C:$G,2,0),"")</f>
        <v>KIA RIO</v>
      </c>
      <c r="K748">
        <f>IFERROR(VLOOKUP(I748,[1]AUTOS!$C:$G,3,0),"")</f>
        <v>2020</v>
      </c>
      <c r="L748" t="str">
        <f>IFERROR(VLOOKUP(I748,[1]AUTOS!$C:$G,4,0),"")</f>
        <v>AZUL</v>
      </c>
      <c r="M748" t="s">
        <v>215</v>
      </c>
      <c r="P748" s="3">
        <v>-100</v>
      </c>
    </row>
    <row r="749" spans="1:16" hidden="1" x14ac:dyDescent="0.3">
      <c r="A749">
        <v>37</v>
      </c>
      <c r="B749" t="str">
        <f>VLOOKUP($A749,[1]LISTA!$B:$C,2,0)</f>
        <v>SEPTIEMBRE</v>
      </c>
      <c r="C749" s="1">
        <v>2025</v>
      </c>
      <c r="D749" s="1" t="str">
        <f>IF($A749&lt;=[1]RESULTADOS!$D$6,"YTD","YTG")</f>
        <v>YTD</v>
      </c>
      <c r="E749" t="s">
        <v>17</v>
      </c>
      <c r="F749" t="s">
        <v>18</v>
      </c>
      <c r="G749" t="s">
        <v>57</v>
      </c>
      <c r="H749" t="s">
        <v>506</v>
      </c>
      <c r="I749" t="s">
        <v>370</v>
      </c>
      <c r="J749" t="str">
        <f>IFERROR(VLOOKUP(I749,[1]AUTOS!$C:$G,2,0),"")</f>
        <v>KIA RIO</v>
      </c>
      <c r="K749">
        <f>IFERROR(VLOOKUP(I749,[1]AUTOS!$C:$G,3,0),"")</f>
        <v>2020</v>
      </c>
      <c r="L749" t="str">
        <f>IFERROR(VLOOKUP(I749,[1]AUTOS!$C:$G,4,0),"")</f>
        <v>AZUL</v>
      </c>
      <c r="M749" t="s">
        <v>215</v>
      </c>
      <c r="P749" s="3">
        <v>-363</v>
      </c>
    </row>
    <row r="750" spans="1:16" hidden="1" x14ac:dyDescent="0.3">
      <c r="A750">
        <v>37</v>
      </c>
      <c r="B750" t="str">
        <f>VLOOKUP($A750,[1]LISTA!$B:$C,2,0)</f>
        <v>SEPTIEMBRE</v>
      </c>
      <c r="C750" s="1">
        <v>2025</v>
      </c>
      <c r="D750" s="1" t="str">
        <f>IF($A750&lt;=[1]RESULTADOS!$D$6,"YTD","YTG")</f>
        <v>YTD</v>
      </c>
      <c r="E750" t="s">
        <v>399</v>
      </c>
      <c r="F750" t="s">
        <v>18</v>
      </c>
      <c r="G750" t="s">
        <v>48</v>
      </c>
      <c r="H750" t="s">
        <v>507</v>
      </c>
      <c r="I750" t="s">
        <v>162</v>
      </c>
      <c r="J750" t="str">
        <f>IFERROR(VLOOKUP(I750,[1]AUTOS!$C:$G,2,0),"")</f>
        <v>HYUNDAI</v>
      </c>
      <c r="K750">
        <f>IFERROR(VLOOKUP(I750,[1]AUTOS!$C:$G,3,0),"")</f>
        <v>2022</v>
      </c>
      <c r="L750" t="str">
        <f>IFERROR(VLOOKUP(I750,[1]AUTOS!$C:$G,4,0),"")</f>
        <v>PLATA</v>
      </c>
      <c r="M750" t="s">
        <v>43</v>
      </c>
      <c r="P750" s="3">
        <v>-150</v>
      </c>
    </row>
    <row r="751" spans="1:16" hidden="1" x14ac:dyDescent="0.3">
      <c r="A751">
        <v>37</v>
      </c>
      <c r="B751" t="str">
        <f>VLOOKUP($A751,[1]LISTA!$B:$C,2,0)</f>
        <v>SEPTIEMBRE</v>
      </c>
      <c r="C751" s="1">
        <v>2025</v>
      </c>
      <c r="D751" s="1" t="str">
        <f>IF($A751&lt;=[1]RESULTADOS!$D$6,"YTD","YTG")</f>
        <v>YTD</v>
      </c>
      <c r="E751" t="s">
        <v>377</v>
      </c>
      <c r="F751" t="s">
        <v>18</v>
      </c>
      <c r="G751" t="s">
        <v>32</v>
      </c>
      <c r="H751" t="s">
        <v>508</v>
      </c>
      <c r="I751" t="s">
        <v>42</v>
      </c>
      <c r="J751" t="str">
        <f>IFERROR(VLOOKUP(I751,[1]AUTOS!$C:$G,2,0),"")</f>
        <v>VENTO</v>
      </c>
      <c r="K751">
        <f>IFERROR(VLOOKUP(I751,[1]AUTOS!$C:$G,3,0),"")</f>
        <v>2018</v>
      </c>
      <c r="L751" t="str">
        <f>IFERROR(VLOOKUP(I751,[1]AUTOS!$C:$G,4,0),"")</f>
        <v>AMARILLO</v>
      </c>
      <c r="M751" t="s">
        <v>43</v>
      </c>
      <c r="P751" s="3">
        <v>-600</v>
      </c>
    </row>
    <row r="752" spans="1:16" hidden="1" x14ac:dyDescent="0.3">
      <c r="A752">
        <v>37</v>
      </c>
      <c r="B752" t="str">
        <f>VLOOKUP($A752,[1]LISTA!$B:$C,2,0)</f>
        <v>SEPTIEMBRE</v>
      </c>
      <c r="C752" s="1">
        <v>2025</v>
      </c>
      <c r="D752" s="1" t="str">
        <f>IF($A752&lt;=[1]RESULTADOS!$D$6,"YTD","YTG")</f>
        <v>YTD</v>
      </c>
      <c r="E752" t="s">
        <v>474</v>
      </c>
      <c r="F752" t="s">
        <v>18</v>
      </c>
      <c r="G752" t="s">
        <v>29</v>
      </c>
      <c r="H752" t="s">
        <v>509</v>
      </c>
      <c r="I752" t="s">
        <v>510</v>
      </c>
      <c r="J752" t="str">
        <f>IFERROR(VLOOKUP(I752,[1]AUTOS!$C:$G,2,0),"")</f>
        <v>AVEO</v>
      </c>
      <c r="K752">
        <f>IFERROR(VLOOKUP(I752,[1]AUTOS!$C:$G,3,0),"")</f>
        <v>2023</v>
      </c>
      <c r="L752" t="str">
        <f>IFERROR(VLOOKUP(I752,[1]AUTOS!$C:$G,4,0),"")</f>
        <v>GRIS</v>
      </c>
      <c r="M752" t="s">
        <v>43</v>
      </c>
      <c r="P752" s="3">
        <v>-479.8</v>
      </c>
    </row>
    <row r="753" spans="1:16" hidden="1" x14ac:dyDescent="0.3">
      <c r="A753">
        <v>37</v>
      </c>
      <c r="B753" t="str">
        <f>VLOOKUP($A753,[1]LISTA!$B:$C,2,0)</f>
        <v>SEPTIEMBRE</v>
      </c>
      <c r="C753" s="1">
        <v>2025</v>
      </c>
      <c r="D753" s="1" t="str">
        <f>IF($A753&lt;=[1]RESULTADOS!$D$6,"YTD","YTG")</f>
        <v>YTD</v>
      </c>
      <c r="E753" t="s">
        <v>17</v>
      </c>
      <c r="F753" t="s">
        <v>18</v>
      </c>
      <c r="G753" t="s">
        <v>147</v>
      </c>
      <c r="H753" t="s">
        <v>488</v>
      </c>
      <c r="I753" t="s">
        <v>21</v>
      </c>
      <c r="J753" t="str">
        <f>IFERROR(VLOOKUP(I753,[1]AUTOS!$C:$G,2,0),"")</f>
        <v/>
      </c>
      <c r="K753" t="str">
        <f>IFERROR(VLOOKUP(I753,[1]AUTOS!$C:$G,3,0),"")</f>
        <v/>
      </c>
      <c r="L753" t="str">
        <f>IFERROR(VLOOKUP(I753,[1]AUTOS!$C:$G,4,0),"")</f>
        <v/>
      </c>
      <c r="M753" t="s">
        <v>22</v>
      </c>
      <c r="P753" s="3">
        <v>-50</v>
      </c>
    </row>
    <row r="754" spans="1:16" hidden="1" x14ac:dyDescent="0.3">
      <c r="A754">
        <v>37</v>
      </c>
      <c r="B754" t="str">
        <f>VLOOKUP($A754,[1]LISTA!$B:$C,2,0)</f>
        <v>SEPTIEMBRE</v>
      </c>
      <c r="C754" s="1">
        <v>2025</v>
      </c>
      <c r="D754" s="1" t="str">
        <f>IF($A754&lt;=[1]RESULTADOS!$D$6,"YTD","YTG")</f>
        <v>YTD</v>
      </c>
      <c r="E754" t="s">
        <v>511</v>
      </c>
      <c r="F754" t="s">
        <v>18</v>
      </c>
      <c r="G754" t="s">
        <v>38</v>
      </c>
      <c r="H754" t="s">
        <v>310</v>
      </c>
      <c r="I754" t="s">
        <v>76</v>
      </c>
      <c r="J754" t="str">
        <f>IFERROR(VLOOKUP(I754,[1]AUTOS!$C:$G,2,0),"")</f>
        <v>AVEO</v>
      </c>
      <c r="K754">
        <f>IFERROR(VLOOKUP(I754,[1]AUTOS!$C:$G,3,0),"")</f>
        <v>2018</v>
      </c>
      <c r="L754" t="str">
        <f>IFERROR(VLOOKUP(I754,[1]AUTOS!$C:$G,4,0),"")</f>
        <v>GRIS</v>
      </c>
      <c r="M754" t="s">
        <v>43</v>
      </c>
      <c r="P754" s="3">
        <v>-550</v>
      </c>
    </row>
    <row r="755" spans="1:16" hidden="1" x14ac:dyDescent="0.3">
      <c r="A755">
        <v>37</v>
      </c>
      <c r="B755" t="str">
        <f>VLOOKUP($A755,[1]LISTA!$B:$C,2,0)</f>
        <v>SEPTIEMBRE</v>
      </c>
      <c r="C755" s="1">
        <v>2025</v>
      </c>
      <c r="D755" s="1" t="str">
        <f>IF($A755&lt;=[1]RESULTADOS!$D$6,"YTD","YTG")</f>
        <v>YTD</v>
      </c>
      <c r="E755" t="s">
        <v>511</v>
      </c>
      <c r="F755" t="s">
        <v>18</v>
      </c>
      <c r="G755" t="s">
        <v>57</v>
      </c>
      <c r="H755" t="s">
        <v>260</v>
      </c>
      <c r="I755" t="s">
        <v>76</v>
      </c>
      <c r="J755" t="str">
        <f>IFERROR(VLOOKUP(I755,[1]AUTOS!$C:$G,2,0),"")</f>
        <v>AVEO</v>
      </c>
      <c r="K755">
        <f>IFERROR(VLOOKUP(I755,[1]AUTOS!$C:$G,3,0),"")</f>
        <v>2018</v>
      </c>
      <c r="L755" t="str">
        <f>IFERROR(VLOOKUP(I755,[1]AUTOS!$C:$G,4,0),"")</f>
        <v>GRIS</v>
      </c>
      <c r="M755" t="s">
        <v>43</v>
      </c>
      <c r="P755" s="3">
        <v>-328</v>
      </c>
    </row>
    <row r="756" spans="1:16" hidden="1" x14ac:dyDescent="0.3">
      <c r="A756">
        <v>37</v>
      </c>
      <c r="B756" t="str">
        <f>VLOOKUP($A756,[1]LISTA!$B:$C,2,0)</f>
        <v>SEPTIEMBRE</v>
      </c>
      <c r="C756" s="1">
        <v>2025</v>
      </c>
      <c r="D756" s="1" t="str">
        <f>IF($A756&lt;=[1]RESULTADOS!$D$6,"YTD","YTG")</f>
        <v>YTD</v>
      </c>
      <c r="E756" t="s">
        <v>511</v>
      </c>
      <c r="F756" t="s">
        <v>18</v>
      </c>
      <c r="G756" t="s">
        <v>38</v>
      </c>
      <c r="H756" t="s">
        <v>193</v>
      </c>
      <c r="I756" t="s">
        <v>76</v>
      </c>
      <c r="J756" t="str">
        <f>IFERROR(VLOOKUP(I756,[1]AUTOS!$C:$G,2,0),"")</f>
        <v>AVEO</v>
      </c>
      <c r="K756">
        <f>IFERROR(VLOOKUP(I756,[1]AUTOS!$C:$G,3,0),"")</f>
        <v>2018</v>
      </c>
      <c r="L756" t="str">
        <f>IFERROR(VLOOKUP(I756,[1]AUTOS!$C:$G,4,0),"")</f>
        <v>GRIS</v>
      </c>
      <c r="M756" t="s">
        <v>43</v>
      </c>
      <c r="P756" s="3">
        <v>-124</v>
      </c>
    </row>
    <row r="757" spans="1:16" hidden="1" x14ac:dyDescent="0.3">
      <c r="A757">
        <v>37</v>
      </c>
      <c r="B757" t="str">
        <f>VLOOKUP($A757,[1]LISTA!$B:$C,2,0)</f>
        <v>SEPTIEMBRE</v>
      </c>
      <c r="C757" s="1">
        <v>2025</v>
      </c>
      <c r="D757" s="1" t="str">
        <f>IF($A757&lt;=[1]RESULTADOS!$D$6,"YTD","YTG")</f>
        <v>YTD</v>
      </c>
      <c r="E757" t="s">
        <v>511</v>
      </c>
      <c r="F757" t="s">
        <v>18</v>
      </c>
      <c r="G757" t="s">
        <v>153</v>
      </c>
      <c r="H757" t="s">
        <v>155</v>
      </c>
      <c r="I757" t="s">
        <v>76</v>
      </c>
      <c r="J757" t="str">
        <f>IFERROR(VLOOKUP(I757,[1]AUTOS!$C:$G,2,0),"")</f>
        <v>AVEO</v>
      </c>
      <c r="K757">
        <f>IFERROR(VLOOKUP(I757,[1]AUTOS!$C:$G,3,0),"")</f>
        <v>2018</v>
      </c>
      <c r="L757" t="str">
        <f>IFERROR(VLOOKUP(I757,[1]AUTOS!$C:$G,4,0),"")</f>
        <v>GRIS</v>
      </c>
      <c r="M757" t="s">
        <v>43</v>
      </c>
      <c r="P757" s="3">
        <v>-397</v>
      </c>
    </row>
    <row r="758" spans="1:16" hidden="1" x14ac:dyDescent="0.3">
      <c r="A758">
        <v>37</v>
      </c>
      <c r="B758" t="str">
        <f>VLOOKUP($A758,[1]LISTA!$B:$C,2,0)</f>
        <v>SEPTIEMBRE</v>
      </c>
      <c r="C758" s="1">
        <v>2025</v>
      </c>
      <c r="D758" s="1" t="str">
        <f>IF($A758&lt;=[1]RESULTADOS!$D$6,"YTD","YTG")</f>
        <v>YTD</v>
      </c>
      <c r="E758" t="s">
        <v>511</v>
      </c>
      <c r="F758" t="s">
        <v>18</v>
      </c>
      <c r="G758" t="s">
        <v>153</v>
      </c>
      <c r="H758" t="s">
        <v>285</v>
      </c>
      <c r="I758" t="s">
        <v>76</v>
      </c>
      <c r="J758" t="str">
        <f>IFERROR(VLOOKUP(I758,[1]AUTOS!$C:$G,2,0),"")</f>
        <v>AVEO</v>
      </c>
      <c r="K758">
        <f>IFERROR(VLOOKUP(I758,[1]AUTOS!$C:$G,3,0),"")</f>
        <v>2018</v>
      </c>
      <c r="L758" t="str">
        <f>IFERROR(VLOOKUP(I758,[1]AUTOS!$C:$G,4,0),"")</f>
        <v>GRIS</v>
      </c>
      <c r="M758" t="s">
        <v>43</v>
      </c>
      <c r="P758" s="3">
        <v>-464</v>
      </c>
    </row>
    <row r="759" spans="1:16" hidden="1" x14ac:dyDescent="0.3">
      <c r="A759">
        <v>37</v>
      </c>
      <c r="B759" t="str">
        <f>VLOOKUP($A759,[1]LISTA!$B:$C,2,0)</f>
        <v>SEPTIEMBRE</v>
      </c>
      <c r="C759" s="1">
        <v>2025</v>
      </c>
      <c r="D759" s="1" t="str">
        <f>IF($A759&lt;=[1]RESULTADOS!$D$6,"YTD","YTG")</f>
        <v>YTD</v>
      </c>
      <c r="E759" t="s">
        <v>478</v>
      </c>
      <c r="F759" t="s">
        <v>18</v>
      </c>
      <c r="G759" t="s">
        <v>38</v>
      </c>
      <c r="H759" t="s">
        <v>310</v>
      </c>
      <c r="I759" t="s">
        <v>185</v>
      </c>
      <c r="J759" t="str">
        <f>IFERROR(VLOOKUP(I759,[1]AUTOS!$C:$G,2,0),"")</f>
        <v>MARCH</v>
      </c>
      <c r="K759">
        <f>IFERROR(VLOOKUP(I759,[1]AUTOS!$C:$G,3,0),"")</f>
        <v>2021</v>
      </c>
      <c r="L759" t="str">
        <f>IFERROR(VLOOKUP(I759,[1]AUTOS!$C:$G,4,0),"")</f>
        <v>ROJO</v>
      </c>
      <c r="M759" t="s">
        <v>43</v>
      </c>
      <c r="P759" s="3">
        <v>-550</v>
      </c>
    </row>
    <row r="760" spans="1:16" hidden="1" x14ac:dyDescent="0.3">
      <c r="A760">
        <v>37</v>
      </c>
      <c r="B760" t="str">
        <f>VLOOKUP($A760,[1]LISTA!$B:$C,2,0)</f>
        <v>SEPTIEMBRE</v>
      </c>
      <c r="C760" s="1">
        <v>2025</v>
      </c>
      <c r="D760" s="1" t="str">
        <f>IF($A760&lt;=[1]RESULTADOS!$D$6,"YTD","YTG")</f>
        <v>YTD</v>
      </c>
      <c r="E760" t="s">
        <v>478</v>
      </c>
      <c r="F760" t="s">
        <v>18</v>
      </c>
      <c r="G760" t="s">
        <v>38</v>
      </c>
      <c r="H760" t="s">
        <v>194</v>
      </c>
      <c r="I760" t="s">
        <v>185</v>
      </c>
      <c r="J760" t="str">
        <f>IFERROR(VLOOKUP(I760,[1]AUTOS!$C:$G,2,0),"")</f>
        <v>MARCH</v>
      </c>
      <c r="K760">
        <f>IFERROR(VLOOKUP(I760,[1]AUTOS!$C:$G,3,0),"")</f>
        <v>2021</v>
      </c>
      <c r="L760" t="str">
        <f>IFERROR(VLOOKUP(I760,[1]AUTOS!$C:$G,4,0),"")</f>
        <v>ROJO</v>
      </c>
      <c r="M760" t="s">
        <v>43</v>
      </c>
      <c r="P760" s="3">
        <v>-77</v>
      </c>
    </row>
    <row r="761" spans="1:16" hidden="1" x14ac:dyDescent="0.3">
      <c r="A761">
        <v>37</v>
      </c>
      <c r="B761" t="str">
        <f>VLOOKUP($A761,[1]LISTA!$B:$C,2,0)</f>
        <v>SEPTIEMBRE</v>
      </c>
      <c r="C761" s="1">
        <v>2025</v>
      </c>
      <c r="D761" s="1" t="str">
        <f>IF($A761&lt;=[1]RESULTADOS!$D$6,"YTD","YTG")</f>
        <v>YTD</v>
      </c>
      <c r="E761" t="s">
        <v>478</v>
      </c>
      <c r="F761" t="s">
        <v>18</v>
      </c>
      <c r="G761" t="s">
        <v>38</v>
      </c>
      <c r="H761" t="s">
        <v>193</v>
      </c>
      <c r="I761" t="s">
        <v>185</v>
      </c>
      <c r="J761" t="str">
        <f>IFERROR(VLOOKUP(I761,[1]AUTOS!$C:$G,2,0),"")</f>
        <v>MARCH</v>
      </c>
      <c r="K761">
        <f>IFERROR(VLOOKUP(I761,[1]AUTOS!$C:$G,3,0),"")</f>
        <v>2021</v>
      </c>
      <c r="L761" t="str">
        <f>IFERROR(VLOOKUP(I761,[1]AUTOS!$C:$G,4,0),"")</f>
        <v>ROJO</v>
      </c>
      <c r="M761" t="s">
        <v>43</v>
      </c>
      <c r="P761" s="3">
        <v>-49</v>
      </c>
    </row>
    <row r="762" spans="1:16" hidden="1" x14ac:dyDescent="0.3">
      <c r="A762">
        <v>37</v>
      </c>
      <c r="B762" t="str">
        <f>VLOOKUP($A762,[1]LISTA!$B:$C,2,0)</f>
        <v>SEPTIEMBRE</v>
      </c>
      <c r="C762" s="1">
        <v>2025</v>
      </c>
      <c r="D762" s="1" t="str">
        <f>IF($A762&lt;=[1]RESULTADOS!$D$6,"YTD","YTG")</f>
        <v>YTD</v>
      </c>
      <c r="E762" t="s">
        <v>478</v>
      </c>
      <c r="F762" t="s">
        <v>18</v>
      </c>
      <c r="G762" t="s">
        <v>153</v>
      </c>
      <c r="H762" t="s">
        <v>155</v>
      </c>
      <c r="I762" t="s">
        <v>185</v>
      </c>
      <c r="J762" t="str">
        <f>IFERROR(VLOOKUP(I762,[1]AUTOS!$C:$G,2,0),"")</f>
        <v>MARCH</v>
      </c>
      <c r="K762">
        <f>IFERROR(VLOOKUP(I762,[1]AUTOS!$C:$G,3,0),"")</f>
        <v>2021</v>
      </c>
      <c r="L762" t="str">
        <f>IFERROR(VLOOKUP(I762,[1]AUTOS!$C:$G,4,0),"")</f>
        <v>ROJO</v>
      </c>
      <c r="M762" t="s">
        <v>43</v>
      </c>
      <c r="P762" s="3">
        <v>-358</v>
      </c>
    </row>
    <row r="763" spans="1:16" hidden="1" x14ac:dyDescent="0.3">
      <c r="A763">
        <v>37</v>
      </c>
      <c r="B763" t="str">
        <f>VLOOKUP($A763,[1]LISTA!$B:$C,2,0)</f>
        <v>SEPTIEMBRE</v>
      </c>
      <c r="C763" s="1">
        <v>2025</v>
      </c>
      <c r="D763" s="1" t="str">
        <f>IF($A763&lt;=[1]RESULTADOS!$D$6,"YTD","YTG")</f>
        <v>YTD</v>
      </c>
      <c r="E763" t="s">
        <v>512</v>
      </c>
      <c r="F763" t="s">
        <v>18</v>
      </c>
      <c r="G763" t="s">
        <v>38</v>
      </c>
      <c r="H763" t="s">
        <v>310</v>
      </c>
      <c r="I763" t="s">
        <v>182</v>
      </c>
      <c r="J763" t="str">
        <f>IFERROR(VLOOKUP(I763,[1]AUTOS!$C:$G,2,0),"")</f>
        <v>AVEO</v>
      </c>
      <c r="K763">
        <f>IFERROR(VLOOKUP(I763,[1]AUTOS!$C:$G,3,0),"")</f>
        <v>2020</v>
      </c>
      <c r="L763" t="str">
        <f>IFERROR(VLOOKUP(I763,[1]AUTOS!$C:$G,4,0),"")</f>
        <v>AZUL</v>
      </c>
      <c r="M763" t="s">
        <v>43</v>
      </c>
      <c r="P763" s="3">
        <v>-550</v>
      </c>
    </row>
    <row r="764" spans="1:16" hidden="1" x14ac:dyDescent="0.3">
      <c r="A764">
        <v>37</v>
      </c>
      <c r="B764" t="str">
        <f>VLOOKUP($A764,[1]LISTA!$B:$C,2,0)</f>
        <v>SEPTIEMBRE</v>
      </c>
      <c r="C764" s="1">
        <v>2025</v>
      </c>
      <c r="D764" s="1" t="str">
        <f>IF($A764&lt;=[1]RESULTADOS!$D$6,"YTD","YTG")</f>
        <v>YTD</v>
      </c>
      <c r="E764" t="s">
        <v>512</v>
      </c>
      <c r="F764" t="s">
        <v>18</v>
      </c>
      <c r="G764" t="s">
        <v>57</v>
      </c>
      <c r="H764" t="s">
        <v>260</v>
      </c>
      <c r="I764" t="s">
        <v>182</v>
      </c>
      <c r="J764" t="str">
        <f>IFERROR(VLOOKUP(I764,[1]AUTOS!$C:$G,2,0),"")</f>
        <v>AVEO</v>
      </c>
      <c r="K764">
        <f>IFERROR(VLOOKUP(I764,[1]AUTOS!$C:$G,3,0),"")</f>
        <v>2020</v>
      </c>
      <c r="L764" t="str">
        <f>IFERROR(VLOOKUP(I764,[1]AUTOS!$C:$G,4,0),"")</f>
        <v>AZUL</v>
      </c>
      <c r="M764" t="s">
        <v>43</v>
      </c>
      <c r="P764" s="3">
        <v>-328</v>
      </c>
    </row>
    <row r="765" spans="1:16" hidden="1" x14ac:dyDescent="0.3">
      <c r="A765">
        <v>37</v>
      </c>
      <c r="B765" t="str">
        <f>VLOOKUP($A765,[1]LISTA!$B:$C,2,0)</f>
        <v>SEPTIEMBRE</v>
      </c>
      <c r="C765" s="1">
        <v>2025</v>
      </c>
      <c r="D765" s="1" t="str">
        <f>IF($A765&lt;=[1]RESULTADOS!$D$6,"YTD","YTG")</f>
        <v>YTD</v>
      </c>
      <c r="E765" t="s">
        <v>512</v>
      </c>
      <c r="F765" t="s">
        <v>18</v>
      </c>
      <c r="G765" t="s">
        <v>38</v>
      </c>
      <c r="H765" t="s">
        <v>193</v>
      </c>
      <c r="I765" t="s">
        <v>182</v>
      </c>
      <c r="J765" t="str">
        <f>IFERROR(VLOOKUP(I765,[1]AUTOS!$C:$G,2,0),"")</f>
        <v>AVEO</v>
      </c>
      <c r="K765">
        <f>IFERROR(VLOOKUP(I765,[1]AUTOS!$C:$G,3,0),"")</f>
        <v>2020</v>
      </c>
      <c r="L765" t="str">
        <f>IFERROR(VLOOKUP(I765,[1]AUTOS!$C:$G,4,0),"")</f>
        <v>AZUL</v>
      </c>
      <c r="M765" t="s">
        <v>43</v>
      </c>
      <c r="P765" s="3">
        <v>-124</v>
      </c>
    </row>
    <row r="766" spans="1:16" hidden="1" x14ac:dyDescent="0.3">
      <c r="A766">
        <v>37</v>
      </c>
      <c r="B766" t="str">
        <f>VLOOKUP($A766,[1]LISTA!$B:$C,2,0)</f>
        <v>SEPTIEMBRE</v>
      </c>
      <c r="C766" s="1">
        <v>2025</v>
      </c>
      <c r="D766" s="1" t="str">
        <f>IF($A766&lt;=[1]RESULTADOS!$D$6,"YTD","YTG")</f>
        <v>YTD</v>
      </c>
      <c r="E766" t="s">
        <v>512</v>
      </c>
      <c r="F766" t="s">
        <v>18</v>
      </c>
      <c r="G766" t="s">
        <v>153</v>
      </c>
      <c r="H766" t="s">
        <v>155</v>
      </c>
      <c r="I766" t="s">
        <v>182</v>
      </c>
      <c r="J766" t="str">
        <f>IFERROR(VLOOKUP(I766,[1]AUTOS!$C:$G,2,0),"")</f>
        <v>AVEO</v>
      </c>
      <c r="K766">
        <f>IFERROR(VLOOKUP(I766,[1]AUTOS!$C:$G,3,0),"")</f>
        <v>2020</v>
      </c>
      <c r="L766" t="str">
        <f>IFERROR(VLOOKUP(I766,[1]AUTOS!$C:$G,4,0),"")</f>
        <v>AZUL</v>
      </c>
      <c r="M766" t="s">
        <v>43</v>
      </c>
      <c r="P766" s="3">
        <v>-397</v>
      </c>
    </row>
    <row r="767" spans="1:16" hidden="1" x14ac:dyDescent="0.3">
      <c r="A767">
        <v>37</v>
      </c>
      <c r="B767" t="str">
        <f>VLOOKUP($A767,[1]LISTA!$B:$C,2,0)</f>
        <v>SEPTIEMBRE</v>
      </c>
      <c r="C767" s="1">
        <v>2025</v>
      </c>
      <c r="D767" s="1" t="str">
        <f>IF($A767&lt;=[1]RESULTADOS!$D$6,"YTD","YTG")</f>
        <v>YTD</v>
      </c>
      <c r="E767" t="s">
        <v>17</v>
      </c>
      <c r="F767" t="s">
        <v>18</v>
      </c>
      <c r="G767" t="s">
        <v>29</v>
      </c>
      <c r="H767" t="s">
        <v>331</v>
      </c>
      <c r="I767" t="s">
        <v>21</v>
      </c>
      <c r="J767" t="str">
        <f>IFERROR(VLOOKUP(I767,[1]AUTOS!$C:$G,2,0),"")</f>
        <v/>
      </c>
      <c r="K767" t="str">
        <f>IFERROR(VLOOKUP(I767,[1]AUTOS!$C:$G,3,0),"")</f>
        <v/>
      </c>
      <c r="L767" t="str">
        <f>IFERROR(VLOOKUP(I767,[1]AUTOS!$C:$G,4,0),"")</f>
        <v/>
      </c>
      <c r="M767" t="s">
        <v>22</v>
      </c>
      <c r="P767" s="3">
        <v>-1500</v>
      </c>
    </row>
    <row r="768" spans="1:16" hidden="1" x14ac:dyDescent="0.3">
      <c r="A768">
        <v>37</v>
      </c>
      <c r="B768" t="str">
        <f>VLOOKUP($A768,[1]LISTA!$B:$C,2,0)</f>
        <v>SEPTIEMBRE</v>
      </c>
      <c r="C768" s="1">
        <v>2025</v>
      </c>
      <c r="D768" s="1" t="str">
        <f>IF($A768&lt;=[1]RESULTADOS!$D$6,"YTD","YTG")</f>
        <v>YTD</v>
      </c>
      <c r="E768" t="s">
        <v>17</v>
      </c>
      <c r="F768" t="s">
        <v>18</v>
      </c>
      <c r="G768" t="s">
        <v>87</v>
      </c>
      <c r="H768" t="s">
        <v>513</v>
      </c>
      <c r="I768" t="s">
        <v>51</v>
      </c>
      <c r="J768" t="str">
        <f>IFERROR(VLOOKUP(I768,[1]AUTOS!$C:$G,2,0),"")</f>
        <v>VENTO</v>
      </c>
      <c r="K768">
        <f>IFERROR(VLOOKUP(I768,[1]AUTOS!$C:$G,3,0),"")</f>
        <v>2017</v>
      </c>
      <c r="L768" t="str">
        <f>IFERROR(VLOOKUP(I768,[1]AUTOS!$C:$G,4,0),"")</f>
        <v>GRIS</v>
      </c>
      <c r="M768" t="s">
        <v>43</v>
      </c>
      <c r="P768" s="3">
        <v>-250</v>
      </c>
    </row>
    <row r="769" spans="1:16" hidden="1" x14ac:dyDescent="0.3">
      <c r="A769">
        <v>37</v>
      </c>
      <c r="B769" t="str">
        <f>VLOOKUP($A769,[1]LISTA!$B:$C,2,0)</f>
        <v>SEPTIEMBRE</v>
      </c>
      <c r="C769" s="1">
        <v>2025</v>
      </c>
      <c r="D769" s="1" t="str">
        <f>IF($A769&lt;=[1]RESULTADOS!$D$6,"YTD","YTG")</f>
        <v>YTD</v>
      </c>
      <c r="E769" t="s">
        <v>474</v>
      </c>
      <c r="F769" t="s">
        <v>18</v>
      </c>
      <c r="G769" t="s">
        <v>77</v>
      </c>
      <c r="H769" t="s">
        <v>514</v>
      </c>
      <c r="I769" t="s">
        <v>510</v>
      </c>
      <c r="J769" t="str">
        <f>IFERROR(VLOOKUP(I769,[1]AUTOS!$C:$G,2,0),"")</f>
        <v>AVEO</v>
      </c>
      <c r="K769">
        <f>IFERROR(VLOOKUP(I769,[1]AUTOS!$C:$G,3,0),"")</f>
        <v>2023</v>
      </c>
      <c r="L769" t="str">
        <f>IFERROR(VLOOKUP(I769,[1]AUTOS!$C:$G,4,0),"")</f>
        <v>GRIS</v>
      </c>
      <c r="M769" t="s">
        <v>43</v>
      </c>
      <c r="P769" s="3">
        <v>-1131</v>
      </c>
    </row>
    <row r="770" spans="1:16" hidden="1" x14ac:dyDescent="0.3">
      <c r="A770">
        <v>37</v>
      </c>
      <c r="B770" t="str">
        <f>VLOOKUP($A770,[1]LISTA!$B:$C,2,0)</f>
        <v>SEPTIEMBRE</v>
      </c>
      <c r="C770" s="1">
        <v>2025</v>
      </c>
      <c r="D770" s="1" t="str">
        <f>IF($A770&lt;=[1]RESULTADOS!$D$6,"YTD","YTG")</f>
        <v>YTD</v>
      </c>
      <c r="E770" t="s">
        <v>17</v>
      </c>
      <c r="F770" t="s">
        <v>18</v>
      </c>
      <c r="G770" t="s">
        <v>87</v>
      </c>
      <c r="H770" t="s">
        <v>515</v>
      </c>
      <c r="I770" t="s">
        <v>51</v>
      </c>
      <c r="J770" t="str">
        <f>IFERROR(VLOOKUP(I770,[1]AUTOS!$C:$G,2,0),"")</f>
        <v>VENTO</v>
      </c>
      <c r="K770">
        <f>IFERROR(VLOOKUP(I770,[1]AUTOS!$C:$G,3,0),"")</f>
        <v>2017</v>
      </c>
      <c r="L770" t="str">
        <f>IFERROR(VLOOKUP(I770,[1]AUTOS!$C:$G,4,0),"")</f>
        <v>GRIS</v>
      </c>
      <c r="M770" t="s">
        <v>43</v>
      </c>
      <c r="P770" s="3">
        <v>-100</v>
      </c>
    </row>
    <row r="771" spans="1:16" hidden="1" x14ac:dyDescent="0.3">
      <c r="A771">
        <v>37</v>
      </c>
      <c r="B771" t="str">
        <f>VLOOKUP($A771,[1]LISTA!$B:$C,2,0)</f>
        <v>SEPTIEMBRE</v>
      </c>
      <c r="C771" s="1">
        <v>2025</v>
      </c>
      <c r="D771" s="1" t="str">
        <f>IF($A771&lt;=[1]RESULTADOS!$D$6,"YTD","YTG")</f>
        <v>YTD</v>
      </c>
      <c r="E771" t="s">
        <v>17</v>
      </c>
      <c r="F771" t="s">
        <v>18</v>
      </c>
      <c r="G771" t="s">
        <v>87</v>
      </c>
      <c r="H771" t="s">
        <v>515</v>
      </c>
      <c r="I771" t="s">
        <v>51</v>
      </c>
      <c r="J771" t="str">
        <f>IFERROR(VLOOKUP(I771,[1]AUTOS!$C:$G,2,0),"")</f>
        <v>VENTO</v>
      </c>
      <c r="K771">
        <f>IFERROR(VLOOKUP(I771,[1]AUTOS!$C:$G,3,0),"")</f>
        <v>2017</v>
      </c>
      <c r="L771" t="str">
        <f>IFERROR(VLOOKUP(I771,[1]AUTOS!$C:$G,4,0),"")</f>
        <v>GRIS</v>
      </c>
      <c r="M771" t="s">
        <v>43</v>
      </c>
      <c r="P771" s="3">
        <v>-100</v>
      </c>
    </row>
    <row r="772" spans="1:16" hidden="1" x14ac:dyDescent="0.3">
      <c r="A772">
        <v>37</v>
      </c>
      <c r="B772" t="str">
        <f>VLOOKUP($A772,[1]LISTA!$B:$C,2,0)</f>
        <v>SEPTIEMBRE</v>
      </c>
      <c r="C772" s="1">
        <v>2025</v>
      </c>
      <c r="D772" s="1" t="str">
        <f>IF($A772&lt;=[1]RESULTADOS!$D$6,"YTD","YTG")</f>
        <v>YTD</v>
      </c>
      <c r="E772" t="s">
        <v>17</v>
      </c>
      <c r="F772" t="s">
        <v>18</v>
      </c>
      <c r="G772" t="s">
        <v>87</v>
      </c>
      <c r="H772" t="s">
        <v>515</v>
      </c>
      <c r="I772" t="s">
        <v>21</v>
      </c>
      <c r="J772" t="str">
        <f>IFERROR(VLOOKUP(I772,[1]AUTOS!$C:$G,2,0),"")</f>
        <v/>
      </c>
      <c r="K772" t="str">
        <f>IFERROR(VLOOKUP(I772,[1]AUTOS!$C:$G,3,0),"")</f>
        <v/>
      </c>
      <c r="L772" t="str">
        <f>IFERROR(VLOOKUP(I772,[1]AUTOS!$C:$G,4,0),"")</f>
        <v/>
      </c>
      <c r="M772" t="s">
        <v>22</v>
      </c>
      <c r="P772" s="3">
        <v>-100</v>
      </c>
    </row>
    <row r="773" spans="1:16" hidden="1" x14ac:dyDescent="0.3">
      <c r="A773">
        <v>37</v>
      </c>
      <c r="B773" t="str">
        <f>VLOOKUP($A773,[1]LISTA!$B:$C,2,0)</f>
        <v>SEPTIEMBRE</v>
      </c>
      <c r="C773" s="1">
        <v>2025</v>
      </c>
      <c r="D773" s="1" t="str">
        <f>IF($A773&lt;=[1]RESULTADOS!$D$6,"YTD","YTG")</f>
        <v>YTD</v>
      </c>
      <c r="E773" t="s">
        <v>17</v>
      </c>
      <c r="F773" t="s">
        <v>18</v>
      </c>
      <c r="G773" t="s">
        <v>87</v>
      </c>
      <c r="H773" t="s">
        <v>515</v>
      </c>
      <c r="I773" t="s">
        <v>21</v>
      </c>
      <c r="J773" t="str">
        <f>IFERROR(VLOOKUP(I773,[1]AUTOS!$C:$G,2,0),"")</f>
        <v/>
      </c>
      <c r="K773" t="str">
        <f>IFERROR(VLOOKUP(I773,[1]AUTOS!$C:$G,3,0),"")</f>
        <v/>
      </c>
      <c r="L773" t="str">
        <f>IFERROR(VLOOKUP(I773,[1]AUTOS!$C:$G,4,0),"")</f>
        <v/>
      </c>
      <c r="M773" t="s">
        <v>22</v>
      </c>
      <c r="P773" s="3">
        <v>-100</v>
      </c>
    </row>
    <row r="774" spans="1:16" hidden="1" x14ac:dyDescent="0.3">
      <c r="A774">
        <v>37</v>
      </c>
      <c r="B774" t="str">
        <f>VLOOKUP($A774,[1]LISTA!$B:$C,2,0)</f>
        <v>SEPTIEMBRE</v>
      </c>
      <c r="C774" s="1">
        <v>2025</v>
      </c>
      <c r="D774" s="1" t="str">
        <f>IF($A774&lt;=[1]RESULTADOS!$D$6,"YTD","YTG")</f>
        <v>YTD</v>
      </c>
      <c r="E774" t="s">
        <v>17</v>
      </c>
      <c r="F774" t="s">
        <v>18</v>
      </c>
      <c r="G774" t="s">
        <v>176</v>
      </c>
      <c r="H774" t="s">
        <v>516</v>
      </c>
      <c r="I774" t="s">
        <v>384</v>
      </c>
      <c r="J774" t="str">
        <f>IFERROR(VLOOKUP(I774,[1]AUTOS!$C:$G,2,0),"")</f>
        <v>MARCH</v>
      </c>
      <c r="K774">
        <f>IFERROR(VLOOKUP(I774,[1]AUTOS!$C:$G,3,0),"")</f>
        <v>2022</v>
      </c>
      <c r="L774" t="str">
        <f>IFERROR(VLOOKUP(I774,[1]AUTOS!$C:$G,4,0),"")</f>
        <v>BLANCO</v>
      </c>
      <c r="M774" t="s">
        <v>215</v>
      </c>
      <c r="P774" s="3">
        <v>-60</v>
      </c>
    </row>
    <row r="775" spans="1:16" hidden="1" x14ac:dyDescent="0.3">
      <c r="A775">
        <v>38</v>
      </c>
      <c r="B775" t="str">
        <f>VLOOKUP($A775,[1]LISTA!$B:$C,2,0)</f>
        <v>SEPTIEMBRE</v>
      </c>
      <c r="C775" s="1">
        <v>2025</v>
      </c>
      <c r="D775" s="1" t="str">
        <f>IF($A775&lt;=[1]RESULTADOS!$D$6,"YTD","YTG")</f>
        <v>YTD</v>
      </c>
      <c r="E775" t="s">
        <v>17</v>
      </c>
      <c r="F775" t="s">
        <v>18</v>
      </c>
      <c r="G775" t="s">
        <v>29</v>
      </c>
      <c r="H775" t="s">
        <v>490</v>
      </c>
      <c r="I775" t="s">
        <v>21</v>
      </c>
      <c r="J775" t="str">
        <f>IFERROR(VLOOKUP(I775,[1]AUTOS!$C:$G,2,0),"")</f>
        <v/>
      </c>
      <c r="K775" t="str">
        <f>IFERROR(VLOOKUP(I775,[1]AUTOS!$C:$G,3,0),"")</f>
        <v/>
      </c>
      <c r="L775" t="str">
        <f>IFERROR(VLOOKUP(I775,[1]AUTOS!$C:$G,4,0),"")</f>
        <v/>
      </c>
      <c r="M775" t="s">
        <v>22</v>
      </c>
      <c r="P775" s="3">
        <v>-50</v>
      </c>
    </row>
    <row r="776" spans="1:16" hidden="1" x14ac:dyDescent="0.3">
      <c r="A776">
        <v>38</v>
      </c>
      <c r="B776" t="str">
        <f>VLOOKUP($A776,[1]LISTA!$B:$C,2,0)</f>
        <v>SEPTIEMBRE</v>
      </c>
      <c r="C776" s="1">
        <v>2025</v>
      </c>
      <c r="D776" s="1" t="str">
        <f>IF($A776&lt;=[1]RESULTADOS!$D$6,"YTD","YTG")</f>
        <v>YTD</v>
      </c>
      <c r="E776" t="s">
        <v>486</v>
      </c>
      <c r="F776" t="s">
        <v>18</v>
      </c>
      <c r="G776" t="s">
        <v>57</v>
      </c>
      <c r="H776" t="s">
        <v>517</v>
      </c>
      <c r="I776" t="s">
        <v>46</v>
      </c>
      <c r="J776" t="str">
        <f>IFERROR(VLOOKUP(I776,[1]AUTOS!$C:$G,2,0),"")</f>
        <v>MARCH</v>
      </c>
      <c r="K776">
        <f>IFERROR(VLOOKUP(I776,[1]AUTOS!$C:$G,3,0),"")</f>
        <v>2020</v>
      </c>
      <c r="L776" t="str">
        <f>IFERROR(VLOOKUP(I776,[1]AUTOS!$C:$G,4,0),"")</f>
        <v>TURQ</v>
      </c>
      <c r="M776" t="s">
        <v>43</v>
      </c>
      <c r="P776" s="3">
        <v>-45</v>
      </c>
    </row>
    <row r="777" spans="1:16" hidden="1" x14ac:dyDescent="0.3">
      <c r="A777">
        <v>38</v>
      </c>
      <c r="B777" t="str">
        <f>VLOOKUP($A777,[1]LISTA!$B:$C,2,0)</f>
        <v>SEPTIEMBRE</v>
      </c>
      <c r="C777" s="1">
        <v>2025</v>
      </c>
      <c r="D777" s="1" t="str">
        <f>IF($A777&lt;=[1]RESULTADOS!$D$6,"YTD","YTG")</f>
        <v>YTD</v>
      </c>
      <c r="E777" t="s">
        <v>518</v>
      </c>
      <c r="F777" t="s">
        <v>18</v>
      </c>
      <c r="G777" t="s">
        <v>57</v>
      </c>
      <c r="H777" t="s">
        <v>519</v>
      </c>
      <c r="I777" t="s">
        <v>214</v>
      </c>
      <c r="J777" t="str">
        <f>IFERROR(VLOOKUP(I777,[1]AUTOS!$C:$G,2,0),"")</f>
        <v>VENTO</v>
      </c>
      <c r="K777">
        <f>IFERROR(VLOOKUP(I777,[1]AUTOS!$C:$G,3,0),"")</f>
        <v>2019</v>
      </c>
      <c r="L777" t="str">
        <f>IFERROR(VLOOKUP(I777,[1]AUTOS!$C:$G,4,0),"")</f>
        <v>BLANCO</v>
      </c>
      <c r="M777" t="s">
        <v>215</v>
      </c>
      <c r="P777" s="3">
        <v>-100</v>
      </c>
    </row>
    <row r="778" spans="1:16" hidden="1" x14ac:dyDescent="0.3">
      <c r="A778">
        <v>38</v>
      </c>
      <c r="B778" t="str">
        <f>VLOOKUP($A778,[1]LISTA!$B:$C,2,0)</f>
        <v>SEPTIEMBRE</v>
      </c>
      <c r="C778" s="1">
        <v>2025</v>
      </c>
      <c r="D778" s="1" t="str">
        <f>IF($A778&lt;=[1]RESULTADOS!$D$6,"YTD","YTG")</f>
        <v>YTD</v>
      </c>
      <c r="E778" t="s">
        <v>486</v>
      </c>
      <c r="F778" t="s">
        <v>18</v>
      </c>
      <c r="G778" t="s">
        <v>57</v>
      </c>
      <c r="H778" t="s">
        <v>249</v>
      </c>
      <c r="I778" t="s">
        <v>46</v>
      </c>
      <c r="J778" t="str">
        <f>IFERROR(VLOOKUP(I778,[1]AUTOS!$C:$G,2,0),"")</f>
        <v>MARCH</v>
      </c>
      <c r="K778">
        <f>IFERROR(VLOOKUP(I778,[1]AUTOS!$C:$G,3,0),"")</f>
        <v>2020</v>
      </c>
      <c r="L778" t="str">
        <f>IFERROR(VLOOKUP(I778,[1]AUTOS!$C:$G,4,0),"")</f>
        <v>TURQ</v>
      </c>
      <c r="M778" t="s">
        <v>43</v>
      </c>
      <c r="P778" s="3">
        <v>-50</v>
      </c>
    </row>
    <row r="779" spans="1:16" hidden="1" x14ac:dyDescent="0.3">
      <c r="A779">
        <v>38</v>
      </c>
      <c r="B779" t="str">
        <f>VLOOKUP($A779,[1]LISTA!$B:$C,2,0)</f>
        <v>SEPTIEMBRE</v>
      </c>
      <c r="C779" s="1">
        <v>2025</v>
      </c>
      <c r="D779" s="1" t="str">
        <f>IF($A779&lt;=[1]RESULTADOS!$D$6,"YTD","YTG")</f>
        <v>YTD</v>
      </c>
      <c r="E779" t="s">
        <v>512</v>
      </c>
      <c r="F779" t="s">
        <v>18</v>
      </c>
      <c r="G779" t="s">
        <v>77</v>
      </c>
      <c r="H779" t="s">
        <v>514</v>
      </c>
      <c r="I779" t="s">
        <v>182</v>
      </c>
      <c r="J779" t="str">
        <f>IFERROR(VLOOKUP(I779,[1]AUTOS!$C:$G,2,0),"")</f>
        <v>AVEO</v>
      </c>
      <c r="K779">
        <f>IFERROR(VLOOKUP(I779,[1]AUTOS!$C:$G,3,0),"")</f>
        <v>2020</v>
      </c>
      <c r="L779" t="str">
        <f>IFERROR(VLOOKUP(I779,[1]AUTOS!$C:$G,4,0),"")</f>
        <v>AZUL</v>
      </c>
      <c r="M779" t="s">
        <v>43</v>
      </c>
      <c r="P779" s="3">
        <v>-740</v>
      </c>
    </row>
    <row r="780" spans="1:16" hidden="1" x14ac:dyDescent="0.3">
      <c r="A780">
        <v>38</v>
      </c>
      <c r="B780" t="str">
        <f>VLOOKUP($A780,[1]LISTA!$B:$C,2,0)</f>
        <v>SEPTIEMBRE</v>
      </c>
      <c r="C780" s="1">
        <v>2025</v>
      </c>
      <c r="D780" s="1" t="str">
        <f>IF($A780&lt;=[1]RESULTADOS!$D$6,"YTD","YTG")</f>
        <v>YTD</v>
      </c>
      <c r="E780" t="s">
        <v>17</v>
      </c>
      <c r="F780" t="s">
        <v>18</v>
      </c>
      <c r="G780" t="s">
        <v>176</v>
      </c>
      <c r="H780" t="s">
        <v>520</v>
      </c>
      <c r="I780" t="s">
        <v>21</v>
      </c>
      <c r="J780" t="str">
        <f>IFERROR(VLOOKUP(I780,[1]AUTOS!$C:$G,2,0),"")</f>
        <v/>
      </c>
      <c r="K780" t="str">
        <f>IFERROR(VLOOKUP(I780,[1]AUTOS!$C:$G,3,0),"")</f>
        <v/>
      </c>
      <c r="L780" t="str">
        <f>IFERROR(VLOOKUP(I780,[1]AUTOS!$C:$G,4,0),"")</f>
        <v/>
      </c>
      <c r="M780" t="s">
        <v>22</v>
      </c>
      <c r="P780" s="3">
        <v>-50</v>
      </c>
    </row>
    <row r="781" spans="1:16" hidden="1" x14ac:dyDescent="0.3">
      <c r="A781">
        <v>38</v>
      </c>
      <c r="B781" t="str">
        <f>VLOOKUP($A781,[1]LISTA!$B:$C,2,0)</f>
        <v>SEPTIEMBRE</v>
      </c>
      <c r="C781" s="1">
        <v>2025</v>
      </c>
      <c r="D781" s="1" t="str">
        <f>IF($A781&lt;=[1]RESULTADOS!$D$6,"YTD","YTG")</f>
        <v>YTD</v>
      </c>
      <c r="E781" t="s">
        <v>512</v>
      </c>
      <c r="F781" t="s">
        <v>18</v>
      </c>
      <c r="G781" t="s">
        <v>176</v>
      </c>
      <c r="H781" t="s">
        <v>516</v>
      </c>
      <c r="I781" t="s">
        <v>182</v>
      </c>
      <c r="J781" t="str">
        <f>IFERROR(VLOOKUP(I781,[1]AUTOS!$C:$G,2,0),"")</f>
        <v>AVEO</v>
      </c>
      <c r="K781">
        <f>IFERROR(VLOOKUP(I781,[1]AUTOS!$C:$G,3,0),"")</f>
        <v>2020</v>
      </c>
      <c r="L781" t="str">
        <f>IFERROR(VLOOKUP(I781,[1]AUTOS!$C:$G,4,0),"")</f>
        <v>AZUL</v>
      </c>
      <c r="M781" t="s">
        <v>43</v>
      </c>
      <c r="P781" s="3">
        <v>-40</v>
      </c>
    </row>
    <row r="782" spans="1:16" hidden="1" x14ac:dyDescent="0.3">
      <c r="A782">
        <v>38</v>
      </c>
      <c r="B782" t="str">
        <f>VLOOKUP($A782,[1]LISTA!$B:$C,2,0)</f>
        <v>SEPTIEMBRE</v>
      </c>
      <c r="C782" s="1">
        <v>2025</v>
      </c>
      <c r="D782" s="1" t="str">
        <f>IF($A782&lt;=[1]RESULTADOS!$D$6,"YTD","YTG")</f>
        <v>YTD</v>
      </c>
      <c r="E782" t="s">
        <v>17</v>
      </c>
      <c r="F782" t="s">
        <v>18</v>
      </c>
      <c r="G782" t="s">
        <v>87</v>
      </c>
      <c r="H782" t="s">
        <v>521</v>
      </c>
      <c r="I782" t="s">
        <v>51</v>
      </c>
      <c r="J782" t="str">
        <f>IFERROR(VLOOKUP(I782,[1]AUTOS!$C:$G,2,0),"")</f>
        <v>VENTO</v>
      </c>
      <c r="K782">
        <f>IFERROR(VLOOKUP(I782,[1]AUTOS!$C:$G,3,0),"")</f>
        <v>2017</v>
      </c>
      <c r="L782" t="str">
        <f>IFERROR(VLOOKUP(I782,[1]AUTOS!$C:$G,4,0),"")</f>
        <v>GRIS</v>
      </c>
      <c r="M782" t="s">
        <v>43</v>
      </c>
      <c r="P782" s="3">
        <v>-2082</v>
      </c>
    </row>
    <row r="783" spans="1:16" hidden="1" x14ac:dyDescent="0.3">
      <c r="A783">
        <v>38</v>
      </c>
      <c r="B783" t="str">
        <f>VLOOKUP($A783,[1]LISTA!$B:$C,2,0)</f>
        <v>SEPTIEMBRE</v>
      </c>
      <c r="C783" s="1">
        <v>2025</v>
      </c>
      <c r="D783" s="1" t="str">
        <f>IF($A783&lt;=[1]RESULTADOS!$D$6,"YTD","YTG")</f>
        <v>YTD</v>
      </c>
      <c r="E783" t="s">
        <v>17</v>
      </c>
      <c r="F783" t="s">
        <v>18</v>
      </c>
      <c r="G783" t="s">
        <v>147</v>
      </c>
      <c r="H783" t="s">
        <v>522</v>
      </c>
      <c r="I783" t="s">
        <v>51</v>
      </c>
      <c r="J783" t="str">
        <f>IFERROR(VLOOKUP(I783,[1]AUTOS!$C:$G,2,0),"")</f>
        <v>VENTO</v>
      </c>
      <c r="K783">
        <f>IFERROR(VLOOKUP(I783,[1]AUTOS!$C:$G,3,0),"")</f>
        <v>2017</v>
      </c>
      <c r="L783" t="str">
        <f>IFERROR(VLOOKUP(I783,[1]AUTOS!$C:$G,4,0),"")</f>
        <v>GRIS</v>
      </c>
      <c r="M783" t="s">
        <v>43</v>
      </c>
      <c r="P783" s="3">
        <v>-18</v>
      </c>
    </row>
    <row r="784" spans="1:16" hidden="1" x14ac:dyDescent="0.3">
      <c r="A784">
        <v>38</v>
      </c>
      <c r="B784" t="str">
        <f>VLOOKUP($A784,[1]LISTA!$B:$C,2,0)</f>
        <v>SEPTIEMBRE</v>
      </c>
      <c r="C784" s="1">
        <v>2025</v>
      </c>
      <c r="D784" s="1" t="str">
        <f>IF($A784&lt;=[1]RESULTADOS!$D$6,"YTD","YTG")</f>
        <v>YTD</v>
      </c>
      <c r="E784" t="s">
        <v>17</v>
      </c>
      <c r="F784" t="s">
        <v>18</v>
      </c>
      <c r="G784" t="s">
        <v>29</v>
      </c>
      <c r="H784" t="s">
        <v>523</v>
      </c>
      <c r="I784" t="s">
        <v>21</v>
      </c>
      <c r="J784" t="str">
        <f>IFERROR(VLOOKUP(I784,[1]AUTOS!$C:$G,2,0),"")</f>
        <v/>
      </c>
      <c r="K784" t="str">
        <f>IFERROR(VLOOKUP(I784,[1]AUTOS!$C:$G,3,0),"")</f>
        <v/>
      </c>
      <c r="L784" t="str">
        <f>IFERROR(VLOOKUP(I784,[1]AUTOS!$C:$G,4,0),"")</f>
        <v/>
      </c>
      <c r="M784" t="s">
        <v>22</v>
      </c>
      <c r="P784" s="3">
        <v>-1500</v>
      </c>
    </row>
    <row r="785" spans="1:16" hidden="1" x14ac:dyDescent="0.3">
      <c r="A785">
        <v>38</v>
      </c>
      <c r="B785" t="str">
        <f>VLOOKUP($A785,[1]LISTA!$B:$C,2,0)</f>
        <v>SEPTIEMBRE</v>
      </c>
      <c r="C785" s="1">
        <v>2025</v>
      </c>
      <c r="D785" s="1" t="str">
        <f>IF($A785&lt;=[1]RESULTADOS!$D$6,"YTD","YTG")</f>
        <v>YTD</v>
      </c>
      <c r="E785" t="s">
        <v>17</v>
      </c>
      <c r="F785" t="s">
        <v>18</v>
      </c>
      <c r="G785" t="s">
        <v>147</v>
      </c>
      <c r="H785" t="s">
        <v>524</v>
      </c>
      <c r="I785" t="s">
        <v>21</v>
      </c>
      <c r="J785" t="str">
        <f>IFERROR(VLOOKUP(I785,[1]AUTOS!$C:$G,2,0),"")</f>
        <v/>
      </c>
      <c r="K785" t="str">
        <f>IFERROR(VLOOKUP(I785,[1]AUTOS!$C:$G,3,0),"")</f>
        <v/>
      </c>
      <c r="L785" t="str">
        <f>IFERROR(VLOOKUP(I785,[1]AUTOS!$C:$G,4,0),"")</f>
        <v/>
      </c>
      <c r="M785" t="s">
        <v>22</v>
      </c>
      <c r="P785" s="3">
        <v>-200</v>
      </c>
    </row>
    <row r="786" spans="1:16" hidden="1" x14ac:dyDescent="0.3">
      <c r="A786">
        <v>38</v>
      </c>
      <c r="B786" t="str">
        <f>VLOOKUP($A786,[1]LISTA!$B:$C,2,0)</f>
        <v>SEPTIEMBRE</v>
      </c>
      <c r="C786" s="1">
        <v>2025</v>
      </c>
      <c r="D786" s="1" t="str">
        <f>IF($A786&lt;=[1]RESULTADOS!$D$6,"YTD","YTG")</f>
        <v>YTD</v>
      </c>
      <c r="E786" t="s">
        <v>17</v>
      </c>
      <c r="F786" t="s">
        <v>18</v>
      </c>
      <c r="G786" t="s">
        <v>318</v>
      </c>
      <c r="H786" t="s">
        <v>525</v>
      </c>
      <c r="I786" t="s">
        <v>21</v>
      </c>
      <c r="J786" t="str">
        <f>IFERROR(VLOOKUP(I786,[1]AUTOS!$C:$G,2,0),"")</f>
        <v/>
      </c>
      <c r="K786" t="str">
        <f>IFERROR(VLOOKUP(I786,[1]AUTOS!$C:$G,3,0),"")</f>
        <v/>
      </c>
      <c r="L786" t="str">
        <f>IFERROR(VLOOKUP(I786,[1]AUTOS!$C:$G,4,0),"")</f>
        <v/>
      </c>
      <c r="M786" t="s">
        <v>22</v>
      </c>
      <c r="P786" s="3">
        <v>-50</v>
      </c>
    </row>
    <row r="787" spans="1:16" hidden="1" x14ac:dyDescent="0.3">
      <c r="A787">
        <v>38</v>
      </c>
      <c r="B787" t="str">
        <f>VLOOKUP($A787,[1]LISTA!$B:$C,2,0)</f>
        <v>SEPTIEMBRE</v>
      </c>
      <c r="C787" s="1">
        <v>2025</v>
      </c>
      <c r="D787" s="1" t="str">
        <f>IF($A787&lt;=[1]RESULTADOS!$D$6,"YTD","YTG")</f>
        <v>YTD</v>
      </c>
      <c r="E787" t="s">
        <v>526</v>
      </c>
      <c r="F787" t="s">
        <v>18</v>
      </c>
      <c r="G787" t="s">
        <v>38</v>
      </c>
      <c r="H787" t="s">
        <v>310</v>
      </c>
      <c r="I787" t="s">
        <v>67</v>
      </c>
      <c r="J787" t="str">
        <f>IFERROR(VLOOKUP(I787,[1]AUTOS!$C:$G,2,0),"")</f>
        <v>KIA RIO</v>
      </c>
      <c r="K787">
        <f>IFERROR(VLOOKUP(I787,[1]AUTOS!$C:$G,3,0),"")</f>
        <v>2020</v>
      </c>
      <c r="L787" t="str">
        <f>IFERROR(VLOOKUP(I787,[1]AUTOS!$C:$G,4,0),"")</f>
        <v>GRIS</v>
      </c>
      <c r="M787" t="s">
        <v>43</v>
      </c>
      <c r="P787" s="3">
        <v>-550</v>
      </c>
    </row>
    <row r="788" spans="1:16" hidden="1" x14ac:dyDescent="0.3">
      <c r="A788">
        <v>38</v>
      </c>
      <c r="B788" t="str">
        <f>VLOOKUP($A788,[1]LISTA!$B:$C,2,0)</f>
        <v>SEPTIEMBRE</v>
      </c>
      <c r="C788" s="1">
        <v>2025</v>
      </c>
      <c r="D788" s="1" t="str">
        <f>IF($A788&lt;=[1]RESULTADOS!$D$6,"YTD","YTG")</f>
        <v>YTD</v>
      </c>
      <c r="E788" t="s">
        <v>526</v>
      </c>
      <c r="F788" t="s">
        <v>18</v>
      </c>
      <c r="G788" t="s">
        <v>38</v>
      </c>
      <c r="H788" t="s">
        <v>194</v>
      </c>
      <c r="I788" t="s">
        <v>67</v>
      </c>
      <c r="J788" t="str">
        <f>IFERROR(VLOOKUP(I788,[1]AUTOS!$C:$G,2,0),"")</f>
        <v>KIA RIO</v>
      </c>
      <c r="K788">
        <f>IFERROR(VLOOKUP(I788,[1]AUTOS!$C:$G,3,0),"")</f>
        <v>2020</v>
      </c>
      <c r="L788" t="str">
        <f>IFERROR(VLOOKUP(I788,[1]AUTOS!$C:$G,4,0),"")</f>
        <v>GRIS</v>
      </c>
      <c r="M788" t="s">
        <v>43</v>
      </c>
      <c r="P788" s="3">
        <v>-50</v>
      </c>
    </row>
    <row r="789" spans="1:16" hidden="1" x14ac:dyDescent="0.3">
      <c r="A789">
        <v>38</v>
      </c>
      <c r="B789" t="str">
        <f>VLOOKUP($A789,[1]LISTA!$B:$C,2,0)</f>
        <v>SEPTIEMBRE</v>
      </c>
      <c r="C789" s="1">
        <v>2025</v>
      </c>
      <c r="D789" s="1" t="str">
        <f>IF($A789&lt;=[1]RESULTADOS!$D$6,"YTD","YTG")</f>
        <v>YTD</v>
      </c>
      <c r="E789" t="s">
        <v>526</v>
      </c>
      <c r="F789" t="s">
        <v>18</v>
      </c>
      <c r="G789" t="s">
        <v>38</v>
      </c>
      <c r="H789" t="s">
        <v>193</v>
      </c>
      <c r="I789" t="s">
        <v>67</v>
      </c>
      <c r="J789" t="str">
        <f>IFERROR(VLOOKUP(I789,[1]AUTOS!$C:$G,2,0),"")</f>
        <v>KIA RIO</v>
      </c>
      <c r="K789">
        <f>IFERROR(VLOOKUP(I789,[1]AUTOS!$C:$G,3,0),"")</f>
        <v>2020</v>
      </c>
      <c r="L789" t="str">
        <f>IFERROR(VLOOKUP(I789,[1]AUTOS!$C:$G,4,0),"")</f>
        <v>GRIS</v>
      </c>
      <c r="M789" t="s">
        <v>43</v>
      </c>
      <c r="P789" s="3">
        <v>-50</v>
      </c>
    </row>
    <row r="790" spans="1:16" hidden="1" x14ac:dyDescent="0.3">
      <c r="A790">
        <v>38</v>
      </c>
      <c r="B790" t="str">
        <f>VLOOKUP($A790,[1]LISTA!$B:$C,2,0)</f>
        <v>SEPTIEMBRE</v>
      </c>
      <c r="C790" s="1">
        <v>2025</v>
      </c>
      <c r="D790" s="1" t="str">
        <f>IF($A790&lt;=[1]RESULTADOS!$D$6,"YTD","YTG")</f>
        <v>YTD</v>
      </c>
      <c r="E790" t="s">
        <v>17</v>
      </c>
      <c r="F790" t="s">
        <v>18</v>
      </c>
      <c r="G790" t="s">
        <v>57</v>
      </c>
      <c r="H790" t="s">
        <v>527</v>
      </c>
      <c r="I790" t="s">
        <v>34</v>
      </c>
      <c r="J790" t="str">
        <f>IFERROR(VLOOKUP(I790,[1]AUTOS!$C:$G,2,0),"")</f>
        <v>AVEO</v>
      </c>
      <c r="K790">
        <f>IFERROR(VLOOKUP(I790,[1]AUTOS!$C:$G,3,0),"")</f>
        <v>2018</v>
      </c>
      <c r="L790" t="str">
        <f>IFERROR(VLOOKUP(I790,[1]AUTOS!$C:$G,4,0),"")</f>
        <v>ROJO</v>
      </c>
      <c r="M790" t="s">
        <v>35</v>
      </c>
      <c r="P790" s="3">
        <v>-183</v>
      </c>
    </row>
    <row r="791" spans="1:16" hidden="1" x14ac:dyDescent="0.3">
      <c r="A791">
        <v>38</v>
      </c>
      <c r="B791" t="str">
        <f>VLOOKUP($A791,[1]LISTA!$B:$C,2,0)</f>
        <v>SEPTIEMBRE</v>
      </c>
      <c r="C791" s="1">
        <v>2025</v>
      </c>
      <c r="D791" s="1" t="str">
        <f>IF($A791&lt;=[1]RESULTADOS!$D$6,"YTD","YTG")</f>
        <v>YTD</v>
      </c>
      <c r="E791" t="s">
        <v>17</v>
      </c>
      <c r="F791" t="s">
        <v>18</v>
      </c>
      <c r="G791" t="s">
        <v>57</v>
      </c>
      <c r="H791" t="s">
        <v>528</v>
      </c>
      <c r="I791" t="s">
        <v>34</v>
      </c>
      <c r="J791" t="str">
        <f>IFERROR(VLOOKUP(I791,[1]AUTOS!$C:$G,2,0),"")</f>
        <v>AVEO</v>
      </c>
      <c r="K791">
        <f>IFERROR(VLOOKUP(I791,[1]AUTOS!$C:$G,3,0),"")</f>
        <v>2018</v>
      </c>
      <c r="L791" t="str">
        <f>IFERROR(VLOOKUP(I791,[1]AUTOS!$C:$G,4,0),"")</f>
        <v>ROJO</v>
      </c>
      <c r="M791" t="s">
        <v>35</v>
      </c>
      <c r="P791" s="3">
        <v>-365</v>
      </c>
    </row>
    <row r="792" spans="1:16" hidden="1" x14ac:dyDescent="0.3">
      <c r="A792">
        <v>38</v>
      </c>
      <c r="B792" t="str">
        <f>VLOOKUP($A792,[1]LISTA!$B:$C,2,0)</f>
        <v>SEPTIEMBRE</v>
      </c>
      <c r="C792" s="1">
        <v>2025</v>
      </c>
      <c r="D792" s="1" t="str">
        <f>IF($A792&lt;=[1]RESULTADOS!$D$6,"YTD","YTG")</f>
        <v>YTD</v>
      </c>
      <c r="E792" t="s">
        <v>17</v>
      </c>
      <c r="F792" t="s">
        <v>18</v>
      </c>
      <c r="G792" t="s">
        <v>29</v>
      </c>
      <c r="H792" t="s">
        <v>490</v>
      </c>
      <c r="I792" t="s">
        <v>21</v>
      </c>
      <c r="J792" t="str">
        <f>IFERROR(VLOOKUP(I792,[1]AUTOS!$C:$G,2,0),"")</f>
        <v/>
      </c>
      <c r="K792" t="str">
        <f>IFERROR(VLOOKUP(I792,[1]AUTOS!$C:$G,3,0),"")</f>
        <v/>
      </c>
      <c r="L792" t="str">
        <f>IFERROR(VLOOKUP(I792,[1]AUTOS!$C:$G,4,0),"")</f>
        <v/>
      </c>
      <c r="M792" t="s">
        <v>22</v>
      </c>
      <c r="P792" s="3">
        <v>-200</v>
      </c>
    </row>
    <row r="793" spans="1:16" hidden="1" x14ac:dyDescent="0.3">
      <c r="A793">
        <v>38</v>
      </c>
      <c r="B793" t="str">
        <f>VLOOKUP($A793,[1]LISTA!$B:$C,2,0)</f>
        <v>SEPTIEMBRE</v>
      </c>
      <c r="C793" s="1">
        <v>2025</v>
      </c>
      <c r="D793" s="1" t="str">
        <f>IF($A793&lt;=[1]RESULTADOS!$D$6,"YTD","YTG")</f>
        <v>YTD</v>
      </c>
      <c r="E793" t="s">
        <v>17</v>
      </c>
      <c r="F793" t="s">
        <v>18</v>
      </c>
      <c r="G793" t="s">
        <v>29</v>
      </c>
      <c r="H793" t="s">
        <v>529</v>
      </c>
      <c r="I793" t="s">
        <v>384</v>
      </c>
      <c r="J793" t="str">
        <f>IFERROR(VLOOKUP(I793,[1]AUTOS!$C:$G,2,0),"")</f>
        <v>MARCH</v>
      </c>
      <c r="K793">
        <f>IFERROR(VLOOKUP(I793,[1]AUTOS!$C:$G,3,0),"")</f>
        <v>2022</v>
      </c>
      <c r="L793" t="str">
        <f>IFERROR(VLOOKUP(I793,[1]AUTOS!$C:$G,4,0),"")</f>
        <v>BLANCO</v>
      </c>
      <c r="M793" t="s">
        <v>215</v>
      </c>
      <c r="P793" s="3">
        <v>-966</v>
      </c>
    </row>
    <row r="794" spans="1:16" hidden="1" x14ac:dyDescent="0.3">
      <c r="A794">
        <v>38</v>
      </c>
      <c r="B794" t="str">
        <f>VLOOKUP($A794,[1]LISTA!$B:$C,2,0)</f>
        <v>SEPTIEMBRE</v>
      </c>
      <c r="C794" s="1">
        <v>2025</v>
      </c>
      <c r="D794" s="1" t="str">
        <f>IF($A794&lt;=[1]RESULTADOS!$D$6,"YTD","YTG")</f>
        <v>YTD</v>
      </c>
      <c r="E794" t="s">
        <v>17</v>
      </c>
      <c r="F794" t="s">
        <v>18</v>
      </c>
      <c r="G794" t="s">
        <v>57</v>
      </c>
      <c r="H794" t="s">
        <v>530</v>
      </c>
      <c r="I794" t="s">
        <v>34</v>
      </c>
      <c r="J794" t="str">
        <f>IFERROR(VLOOKUP(I794,[1]AUTOS!$C:$G,2,0),"")</f>
        <v>AVEO</v>
      </c>
      <c r="K794">
        <f>IFERROR(VLOOKUP(I794,[1]AUTOS!$C:$G,3,0),"")</f>
        <v>2018</v>
      </c>
      <c r="L794" t="str">
        <f>IFERROR(VLOOKUP(I794,[1]AUTOS!$C:$G,4,0),"")</f>
        <v>ROJO</v>
      </c>
      <c r="M794" t="s">
        <v>35</v>
      </c>
      <c r="P794" s="3">
        <v>-120</v>
      </c>
    </row>
    <row r="795" spans="1:16" hidden="1" x14ac:dyDescent="0.3">
      <c r="A795">
        <v>38</v>
      </c>
      <c r="B795" t="str">
        <f>VLOOKUP($A795,[1]LISTA!$B:$C,2,0)</f>
        <v>SEPTIEMBRE</v>
      </c>
      <c r="C795" s="1">
        <v>2025</v>
      </c>
      <c r="D795" s="1" t="str">
        <f>IF($A795&lt;=[1]RESULTADOS!$D$6,"YTD","YTG")</f>
        <v>YTD</v>
      </c>
      <c r="E795" t="s">
        <v>17</v>
      </c>
      <c r="F795" t="s">
        <v>18</v>
      </c>
      <c r="G795" t="s">
        <v>77</v>
      </c>
      <c r="H795" t="s">
        <v>514</v>
      </c>
      <c r="I795" t="s">
        <v>51</v>
      </c>
      <c r="J795" t="str">
        <f>IFERROR(VLOOKUP(I795,[1]AUTOS!$C:$G,2,0),"")</f>
        <v>VENTO</v>
      </c>
      <c r="K795">
        <f>IFERROR(VLOOKUP(I795,[1]AUTOS!$C:$G,3,0),"")</f>
        <v>2017</v>
      </c>
      <c r="L795" t="str">
        <f>IFERROR(VLOOKUP(I795,[1]AUTOS!$C:$G,4,0),"")</f>
        <v>GRIS</v>
      </c>
      <c r="M795" t="s">
        <v>43</v>
      </c>
      <c r="P795" s="3">
        <v>-740</v>
      </c>
    </row>
    <row r="796" spans="1:16" hidden="1" x14ac:dyDescent="0.3">
      <c r="A796">
        <v>38</v>
      </c>
      <c r="B796" t="str">
        <f>VLOOKUP($A796,[1]LISTA!$B:$C,2,0)</f>
        <v>SEPTIEMBRE</v>
      </c>
      <c r="C796" s="1">
        <v>2025</v>
      </c>
      <c r="D796" s="1" t="str">
        <f>IF($A796&lt;=[1]RESULTADOS!$D$6,"YTD","YTG")</f>
        <v>YTD</v>
      </c>
      <c r="E796" t="s">
        <v>474</v>
      </c>
      <c r="F796" t="s">
        <v>18</v>
      </c>
      <c r="G796" t="s">
        <v>29</v>
      </c>
      <c r="H796" t="s">
        <v>113</v>
      </c>
      <c r="I796" t="s">
        <v>510</v>
      </c>
      <c r="J796" t="str">
        <f>IFERROR(VLOOKUP(I796,[1]AUTOS!$C:$G,2,0),"")</f>
        <v>AVEO</v>
      </c>
      <c r="K796">
        <f>IFERROR(VLOOKUP(I796,[1]AUTOS!$C:$G,3,0),"")</f>
        <v>2023</v>
      </c>
      <c r="L796" t="str">
        <f>IFERROR(VLOOKUP(I796,[1]AUTOS!$C:$G,4,0),"")</f>
        <v>GRIS</v>
      </c>
      <c r="M796" t="s">
        <v>43</v>
      </c>
      <c r="P796" s="3">
        <v>-250</v>
      </c>
    </row>
    <row r="797" spans="1:16" hidden="1" x14ac:dyDescent="0.3">
      <c r="A797">
        <v>38</v>
      </c>
      <c r="B797" t="str">
        <f>VLOOKUP($A797,[1]LISTA!$B:$C,2,0)</f>
        <v>SEPTIEMBRE</v>
      </c>
      <c r="C797" s="1">
        <v>2025</v>
      </c>
      <c r="D797" s="1" t="str">
        <f>IF($A797&lt;=[1]RESULTADOS!$D$6,"YTD","YTG")</f>
        <v>YTD</v>
      </c>
      <c r="E797" t="s">
        <v>17</v>
      </c>
      <c r="F797" t="s">
        <v>18</v>
      </c>
      <c r="G797" t="s">
        <v>147</v>
      </c>
      <c r="H797" t="s">
        <v>531</v>
      </c>
      <c r="I797" t="s">
        <v>51</v>
      </c>
      <c r="J797" t="str">
        <f>IFERROR(VLOOKUP(I797,[1]AUTOS!$C:$G,2,0),"")</f>
        <v>VENTO</v>
      </c>
      <c r="K797">
        <f>IFERROR(VLOOKUP(I797,[1]AUTOS!$C:$G,3,0),"")</f>
        <v>2017</v>
      </c>
      <c r="L797" t="str">
        <f>IFERROR(VLOOKUP(I797,[1]AUTOS!$C:$G,4,0),"")</f>
        <v>GRIS</v>
      </c>
      <c r="M797" t="s">
        <v>43</v>
      </c>
      <c r="P797" s="3">
        <v>-50</v>
      </c>
    </row>
    <row r="798" spans="1:16" hidden="1" x14ac:dyDescent="0.3">
      <c r="A798">
        <v>38</v>
      </c>
      <c r="B798" t="str">
        <f>VLOOKUP($A798,[1]LISTA!$B:$C,2,0)</f>
        <v>SEPTIEMBRE</v>
      </c>
      <c r="C798" s="1">
        <v>2025</v>
      </c>
      <c r="D798" s="1" t="str">
        <f>IF($A798&lt;=[1]RESULTADOS!$D$6,"YTD","YTG")</f>
        <v>YTD</v>
      </c>
      <c r="E798" t="s">
        <v>17</v>
      </c>
      <c r="F798" t="s">
        <v>18</v>
      </c>
      <c r="G798" t="s">
        <v>29</v>
      </c>
      <c r="H798" t="s">
        <v>532</v>
      </c>
      <c r="I798" t="s">
        <v>370</v>
      </c>
      <c r="J798" t="str">
        <f>IFERROR(VLOOKUP(I798,[1]AUTOS!$C:$G,2,0),"")</f>
        <v>KIA RIO</v>
      </c>
      <c r="K798">
        <f>IFERROR(VLOOKUP(I798,[1]AUTOS!$C:$G,3,0),"")</f>
        <v>2020</v>
      </c>
      <c r="L798" t="str">
        <f>IFERROR(VLOOKUP(I798,[1]AUTOS!$C:$G,4,0),"")</f>
        <v>AZUL</v>
      </c>
      <c r="M798" t="s">
        <v>22</v>
      </c>
      <c r="P798" s="3">
        <v>-100</v>
      </c>
    </row>
    <row r="799" spans="1:16" hidden="1" x14ac:dyDescent="0.3">
      <c r="A799">
        <v>38</v>
      </c>
      <c r="B799" t="str">
        <f>VLOOKUP($A799,[1]LISTA!$B:$C,2,0)</f>
        <v>SEPTIEMBRE</v>
      </c>
      <c r="C799" s="1">
        <v>2025</v>
      </c>
      <c r="D799" s="1" t="str">
        <f>IF($A799&lt;=[1]RESULTADOS!$D$6,"YTD","YTG")</f>
        <v>YTD</v>
      </c>
      <c r="E799" t="s">
        <v>533</v>
      </c>
      <c r="F799" t="s">
        <v>18</v>
      </c>
      <c r="G799" t="s">
        <v>29</v>
      </c>
      <c r="H799" t="s">
        <v>449</v>
      </c>
      <c r="I799" t="s">
        <v>366</v>
      </c>
      <c r="J799" t="str">
        <f>IFERROR(VLOOKUP(I799,[1]AUTOS!$C:$G,2,0),"")</f>
        <v>VENTO</v>
      </c>
      <c r="K799">
        <f>IFERROR(VLOOKUP(I799,[1]AUTOS!$C:$G,3,0),"")</f>
        <v>2019</v>
      </c>
      <c r="L799" t="str">
        <f>IFERROR(VLOOKUP(I799,[1]AUTOS!$C:$G,4,0),"")</f>
        <v>BLANCO</v>
      </c>
      <c r="M799" t="s">
        <v>215</v>
      </c>
      <c r="P799" s="3">
        <v>-200</v>
      </c>
    </row>
    <row r="800" spans="1:16" hidden="1" x14ac:dyDescent="0.3">
      <c r="A800">
        <v>39</v>
      </c>
      <c r="B800" t="str">
        <f>VLOOKUP($A800,[1]LISTA!$B:$C,2,0)</f>
        <v>SEPTIEMBRE</v>
      </c>
      <c r="C800" s="1">
        <v>2025</v>
      </c>
      <c r="D800" s="1" t="str">
        <f>IF($A800&lt;=[1]RESULTADOS!$D$6,"YTD","YTG")</f>
        <v>YTD</v>
      </c>
      <c r="E800" t="s">
        <v>17</v>
      </c>
      <c r="F800" t="s">
        <v>18</v>
      </c>
      <c r="G800" t="s">
        <v>53</v>
      </c>
      <c r="H800" t="s">
        <v>233</v>
      </c>
      <c r="I800" t="s">
        <v>370</v>
      </c>
      <c r="J800" t="str">
        <f>IFERROR(VLOOKUP(I800,[1]AUTOS!$C:$G,2,0),"")</f>
        <v>KIA RIO</v>
      </c>
      <c r="K800">
        <f>IFERROR(VLOOKUP(I800,[1]AUTOS!$C:$G,3,0),"")</f>
        <v>2020</v>
      </c>
      <c r="L800" t="str">
        <f>IFERROR(VLOOKUP(I800,[1]AUTOS!$C:$G,4,0),"")</f>
        <v>AZUL</v>
      </c>
      <c r="M800" t="s">
        <v>22</v>
      </c>
      <c r="P800" s="3">
        <v>-120</v>
      </c>
    </row>
    <row r="801" spans="1:16" hidden="1" x14ac:dyDescent="0.3">
      <c r="A801">
        <v>39</v>
      </c>
      <c r="B801" t="str">
        <f>VLOOKUP($A801,[1]LISTA!$B:$C,2,0)</f>
        <v>SEPTIEMBRE</v>
      </c>
      <c r="C801" s="1">
        <v>2025</v>
      </c>
      <c r="D801" s="1" t="str">
        <f>IF($A801&lt;=[1]RESULTADOS!$D$6,"YTD","YTG")</f>
        <v>YTD</v>
      </c>
      <c r="E801" t="s">
        <v>534</v>
      </c>
      <c r="F801" t="s">
        <v>18</v>
      </c>
      <c r="G801" t="s">
        <v>87</v>
      </c>
      <c r="H801" t="s">
        <v>335</v>
      </c>
      <c r="I801" t="s">
        <v>51</v>
      </c>
      <c r="J801" t="str">
        <f>IFERROR(VLOOKUP(I801,[1]AUTOS!$C:$G,2,0),"")</f>
        <v>VENTO</v>
      </c>
      <c r="K801">
        <f>IFERROR(VLOOKUP(I801,[1]AUTOS!$C:$G,3,0),"")</f>
        <v>2017</v>
      </c>
      <c r="L801" t="str">
        <f>IFERROR(VLOOKUP(I801,[1]AUTOS!$C:$G,4,0),"")</f>
        <v>GRIS</v>
      </c>
      <c r="M801" t="s">
        <v>43</v>
      </c>
      <c r="P801" s="3">
        <v>-500</v>
      </c>
    </row>
    <row r="802" spans="1:16" hidden="1" x14ac:dyDescent="0.3">
      <c r="A802">
        <v>39</v>
      </c>
      <c r="B802" t="str">
        <f>VLOOKUP($A802,[1]LISTA!$B:$C,2,0)</f>
        <v>SEPTIEMBRE</v>
      </c>
      <c r="C802" s="1">
        <v>2025</v>
      </c>
      <c r="D802" s="1" t="str">
        <f>IF($A802&lt;=[1]RESULTADOS!$D$6,"YTD","YTG")</f>
        <v>YTD</v>
      </c>
      <c r="E802" t="s">
        <v>17</v>
      </c>
      <c r="F802" t="s">
        <v>18</v>
      </c>
      <c r="G802" t="s">
        <v>29</v>
      </c>
      <c r="H802" t="s">
        <v>529</v>
      </c>
      <c r="I802" t="s">
        <v>384</v>
      </c>
      <c r="J802" t="str">
        <f>IFERROR(VLOOKUP(I802,[1]AUTOS!$C:$G,2,0),"")</f>
        <v>MARCH</v>
      </c>
      <c r="K802">
        <f>IFERROR(VLOOKUP(I802,[1]AUTOS!$C:$G,3,0),"")</f>
        <v>2022</v>
      </c>
      <c r="L802" t="str">
        <f>IFERROR(VLOOKUP(I802,[1]AUTOS!$C:$G,4,0),"")</f>
        <v>BLANCO</v>
      </c>
      <c r="M802" t="s">
        <v>215</v>
      </c>
      <c r="P802" s="3">
        <v>-807</v>
      </c>
    </row>
    <row r="803" spans="1:16" hidden="1" x14ac:dyDescent="0.3">
      <c r="A803">
        <v>39</v>
      </c>
      <c r="B803" t="str">
        <f>VLOOKUP($A803,[1]LISTA!$B:$C,2,0)</f>
        <v>SEPTIEMBRE</v>
      </c>
      <c r="C803" s="1">
        <v>2025</v>
      </c>
      <c r="D803" s="1" t="str">
        <f>IF($A803&lt;=[1]RESULTADOS!$D$6,"YTD","YTG")</f>
        <v>YTD</v>
      </c>
      <c r="E803" t="s">
        <v>17</v>
      </c>
      <c r="F803" t="s">
        <v>18</v>
      </c>
      <c r="G803" t="s">
        <v>29</v>
      </c>
      <c r="H803" t="s">
        <v>529</v>
      </c>
      <c r="I803" t="s">
        <v>384</v>
      </c>
      <c r="J803" t="str">
        <f>IFERROR(VLOOKUP(I803,[1]AUTOS!$C:$G,2,0),"")</f>
        <v>MARCH</v>
      </c>
      <c r="K803">
        <f>IFERROR(VLOOKUP(I803,[1]AUTOS!$C:$G,3,0),"")</f>
        <v>2022</v>
      </c>
      <c r="L803" t="str">
        <f>IFERROR(VLOOKUP(I803,[1]AUTOS!$C:$G,4,0),"")</f>
        <v>BLANCO</v>
      </c>
      <c r="M803" t="s">
        <v>215</v>
      </c>
      <c r="P803" s="3">
        <v>-200</v>
      </c>
    </row>
    <row r="804" spans="1:16" hidden="1" x14ac:dyDescent="0.3">
      <c r="A804">
        <v>39</v>
      </c>
      <c r="B804" t="str">
        <f>VLOOKUP($A804,[1]LISTA!$B:$C,2,0)</f>
        <v>SEPTIEMBRE</v>
      </c>
      <c r="C804" s="1">
        <v>2025</v>
      </c>
      <c r="D804" s="1" t="str">
        <f>IF($A804&lt;=[1]RESULTADOS!$D$6,"YTD","YTG")</f>
        <v>YTD</v>
      </c>
      <c r="E804" t="s">
        <v>486</v>
      </c>
      <c r="F804" t="s">
        <v>18</v>
      </c>
      <c r="G804" t="s">
        <v>57</v>
      </c>
      <c r="H804" t="s">
        <v>535</v>
      </c>
      <c r="I804" t="s">
        <v>34</v>
      </c>
      <c r="J804" t="str">
        <f>IFERROR(VLOOKUP(I804,[1]AUTOS!$C:$G,2,0),"")</f>
        <v>AVEO</v>
      </c>
      <c r="K804">
        <f>IFERROR(VLOOKUP(I804,[1]AUTOS!$C:$G,3,0),"")</f>
        <v>2018</v>
      </c>
      <c r="L804" t="str">
        <f>IFERROR(VLOOKUP(I804,[1]AUTOS!$C:$G,4,0),"")</f>
        <v>ROJO</v>
      </c>
      <c r="M804" t="s">
        <v>35</v>
      </c>
      <c r="P804" s="3">
        <v>-440</v>
      </c>
    </row>
    <row r="805" spans="1:16" hidden="1" x14ac:dyDescent="0.3">
      <c r="A805">
        <v>39</v>
      </c>
      <c r="B805" t="str">
        <f>VLOOKUP($A805,[1]LISTA!$B:$C,2,0)</f>
        <v>SEPTIEMBRE</v>
      </c>
      <c r="C805" s="1">
        <v>2025</v>
      </c>
      <c r="D805" s="1" t="str">
        <f>IF($A805&lt;=[1]RESULTADOS!$D$6,"YTD","YTG")</f>
        <v>YTD</v>
      </c>
      <c r="E805" t="s">
        <v>436</v>
      </c>
      <c r="F805" t="s">
        <v>18</v>
      </c>
      <c r="G805" t="s">
        <v>77</v>
      </c>
      <c r="H805" t="s">
        <v>514</v>
      </c>
      <c r="I805" t="s">
        <v>112</v>
      </c>
      <c r="J805" t="str">
        <f>IFERROR(VLOOKUP(I805,[1]AUTOS!$C:$G,2,0),"")</f>
        <v>KIA RIO</v>
      </c>
      <c r="K805">
        <f>IFERROR(VLOOKUP(I805,[1]AUTOS!$C:$G,3,0),"")</f>
        <v>2020</v>
      </c>
      <c r="L805" t="str">
        <f>IFERROR(VLOOKUP(I805,[1]AUTOS!$C:$G,4,0),"")</f>
        <v>ROJO</v>
      </c>
      <c r="M805" t="s">
        <v>43</v>
      </c>
      <c r="P805" s="3">
        <v>-740</v>
      </c>
    </row>
    <row r="806" spans="1:16" hidden="1" x14ac:dyDescent="0.3">
      <c r="A806">
        <v>39</v>
      </c>
      <c r="B806" t="str">
        <f>VLOOKUP($A806,[1]LISTA!$B:$C,2,0)</f>
        <v>SEPTIEMBRE</v>
      </c>
      <c r="C806" s="1">
        <v>2025</v>
      </c>
      <c r="D806" s="1" t="str">
        <f>IF($A806&lt;=[1]RESULTADOS!$D$6,"YTD","YTG")</f>
        <v>YTD</v>
      </c>
      <c r="E806" t="s">
        <v>478</v>
      </c>
      <c r="F806" t="s">
        <v>18</v>
      </c>
      <c r="G806" t="s">
        <v>137</v>
      </c>
      <c r="H806" t="s">
        <v>536</v>
      </c>
      <c r="I806" t="s">
        <v>185</v>
      </c>
      <c r="J806" t="str">
        <f>IFERROR(VLOOKUP(I806,[1]AUTOS!$C:$G,2,0),"")</f>
        <v>MARCH</v>
      </c>
      <c r="K806">
        <f>IFERROR(VLOOKUP(I806,[1]AUTOS!$C:$G,3,0),"")</f>
        <v>2021</v>
      </c>
      <c r="L806" t="str">
        <f>IFERROR(VLOOKUP(I806,[1]AUTOS!$C:$G,4,0),"")</f>
        <v>ROJO</v>
      </c>
      <c r="M806" t="s">
        <v>43</v>
      </c>
      <c r="P806" s="3">
        <v>-30</v>
      </c>
    </row>
    <row r="807" spans="1:16" hidden="1" x14ac:dyDescent="0.3">
      <c r="A807">
        <v>39</v>
      </c>
      <c r="B807" t="str">
        <f>VLOOKUP($A807,[1]LISTA!$B:$C,2,0)</f>
        <v>SEPTIEMBRE</v>
      </c>
      <c r="C807" s="1">
        <v>2025</v>
      </c>
      <c r="D807" s="1" t="str">
        <f>IF($A807&lt;=[1]RESULTADOS!$D$6,"YTD","YTG")</f>
        <v>YTD</v>
      </c>
      <c r="E807" t="s">
        <v>486</v>
      </c>
      <c r="F807" t="s">
        <v>18</v>
      </c>
      <c r="G807" t="s">
        <v>57</v>
      </c>
      <c r="H807" t="s">
        <v>414</v>
      </c>
      <c r="I807" t="s">
        <v>46</v>
      </c>
      <c r="J807" t="str">
        <f>IFERROR(VLOOKUP(I807,[1]AUTOS!$C:$G,2,0),"")</f>
        <v>MARCH</v>
      </c>
      <c r="K807">
        <f>IFERROR(VLOOKUP(I807,[1]AUTOS!$C:$G,3,0),"")</f>
        <v>2020</v>
      </c>
      <c r="L807" t="str">
        <f>IFERROR(VLOOKUP(I807,[1]AUTOS!$C:$G,4,0),"")</f>
        <v>TURQ</v>
      </c>
      <c r="M807" t="s">
        <v>43</v>
      </c>
      <c r="P807" s="3">
        <v>-250</v>
      </c>
    </row>
    <row r="808" spans="1:16" hidden="1" x14ac:dyDescent="0.3">
      <c r="A808">
        <v>39</v>
      </c>
      <c r="B808" t="str">
        <f>VLOOKUP($A808,[1]LISTA!$B:$C,2,0)</f>
        <v>SEPTIEMBRE</v>
      </c>
      <c r="C808" s="1">
        <v>2025</v>
      </c>
      <c r="D808" s="1" t="str">
        <f>IF($A808&lt;=[1]RESULTADOS!$D$6,"YTD","YTG")</f>
        <v>YTD</v>
      </c>
      <c r="E808" t="s">
        <v>537</v>
      </c>
      <c r="F808" t="s">
        <v>18</v>
      </c>
      <c r="G808" t="s">
        <v>38</v>
      </c>
      <c r="H808" t="s">
        <v>538</v>
      </c>
      <c r="I808" t="s">
        <v>214</v>
      </c>
      <c r="J808" t="str">
        <f>IFERROR(VLOOKUP(I808,[1]AUTOS!$C:$G,2,0),"")</f>
        <v>VENTO</v>
      </c>
      <c r="K808">
        <f>IFERROR(VLOOKUP(I808,[1]AUTOS!$C:$G,3,0),"")</f>
        <v>2019</v>
      </c>
      <c r="L808" t="str">
        <f>IFERROR(VLOOKUP(I808,[1]AUTOS!$C:$G,4,0),"")</f>
        <v>BLANCO</v>
      </c>
      <c r="M808" t="s">
        <v>215</v>
      </c>
      <c r="P808" s="3">
        <v>-40</v>
      </c>
    </row>
    <row r="809" spans="1:16" hidden="1" x14ac:dyDescent="0.3">
      <c r="A809">
        <v>39</v>
      </c>
      <c r="B809" t="str">
        <f>VLOOKUP($A809,[1]LISTA!$B:$C,2,0)</f>
        <v>SEPTIEMBRE</v>
      </c>
      <c r="C809" s="1">
        <v>2025</v>
      </c>
      <c r="D809" s="1" t="str">
        <f>IF($A809&lt;=[1]RESULTADOS!$D$6,"YTD","YTG")</f>
        <v>YTD</v>
      </c>
      <c r="E809" t="s">
        <v>486</v>
      </c>
      <c r="F809" t="s">
        <v>18</v>
      </c>
      <c r="G809" t="s">
        <v>87</v>
      </c>
      <c r="H809" t="s">
        <v>539</v>
      </c>
      <c r="I809" t="s">
        <v>46</v>
      </c>
      <c r="J809" t="str">
        <f>IFERROR(VLOOKUP(I809,[1]AUTOS!$C:$G,2,0),"")</f>
        <v>MARCH</v>
      </c>
      <c r="K809">
        <f>IFERROR(VLOOKUP(I809,[1]AUTOS!$C:$G,3,0),"")</f>
        <v>2020</v>
      </c>
      <c r="L809" t="str">
        <f>IFERROR(VLOOKUP(I809,[1]AUTOS!$C:$G,4,0),"")</f>
        <v>TURQ</v>
      </c>
      <c r="M809" t="s">
        <v>43</v>
      </c>
      <c r="P809" s="3">
        <v>-20</v>
      </c>
    </row>
    <row r="810" spans="1:16" hidden="1" x14ac:dyDescent="0.3">
      <c r="A810">
        <v>39</v>
      </c>
      <c r="B810" t="str">
        <f>VLOOKUP($A810,[1]LISTA!$B:$C,2,0)</f>
        <v>SEPTIEMBRE</v>
      </c>
      <c r="C810" s="1">
        <v>2025</v>
      </c>
      <c r="D810" s="1" t="str">
        <f>IF($A810&lt;=[1]RESULTADOS!$D$6,"YTD","YTG")</f>
        <v>YTD</v>
      </c>
      <c r="E810" t="s">
        <v>540</v>
      </c>
      <c r="F810" t="s">
        <v>18</v>
      </c>
      <c r="G810" t="s">
        <v>57</v>
      </c>
      <c r="H810" t="s">
        <v>541</v>
      </c>
      <c r="I810" t="s">
        <v>366</v>
      </c>
      <c r="J810" t="str">
        <f>IFERROR(VLOOKUP(I810,[1]AUTOS!$C:$G,2,0),"")</f>
        <v>VENTO</v>
      </c>
      <c r="K810">
        <f>IFERROR(VLOOKUP(I810,[1]AUTOS!$C:$G,3,0),"")</f>
        <v>2019</v>
      </c>
      <c r="L810" t="str">
        <f>IFERROR(VLOOKUP(I810,[1]AUTOS!$C:$G,4,0),"")</f>
        <v>BLANCO</v>
      </c>
      <c r="M810" t="s">
        <v>215</v>
      </c>
      <c r="P810" s="3">
        <v>-135</v>
      </c>
    </row>
    <row r="811" spans="1:16" hidden="1" x14ac:dyDescent="0.3">
      <c r="A811">
        <v>39</v>
      </c>
      <c r="B811" t="str">
        <f>VLOOKUP($A811,[1]LISTA!$B:$C,2,0)</f>
        <v>SEPTIEMBRE</v>
      </c>
      <c r="C811" s="1">
        <v>2025</v>
      </c>
      <c r="D811" s="1" t="str">
        <f>IF($A811&lt;=[1]RESULTADOS!$D$6,"YTD","YTG")</f>
        <v>YTD</v>
      </c>
      <c r="E811" t="s">
        <v>540</v>
      </c>
      <c r="F811" t="s">
        <v>18</v>
      </c>
      <c r="G811" t="s">
        <v>57</v>
      </c>
      <c r="H811" t="s">
        <v>542</v>
      </c>
      <c r="I811" t="s">
        <v>366</v>
      </c>
      <c r="J811" t="str">
        <f>IFERROR(VLOOKUP(I811,[1]AUTOS!$C:$G,2,0),"")</f>
        <v>VENTO</v>
      </c>
      <c r="K811">
        <f>IFERROR(VLOOKUP(I811,[1]AUTOS!$C:$G,3,0),"")</f>
        <v>2019</v>
      </c>
      <c r="L811" t="str">
        <f>IFERROR(VLOOKUP(I811,[1]AUTOS!$C:$G,4,0),"")</f>
        <v>BLANCO</v>
      </c>
      <c r="M811" t="s">
        <v>215</v>
      </c>
      <c r="P811" s="3">
        <v>-165</v>
      </c>
    </row>
    <row r="812" spans="1:16" hidden="1" x14ac:dyDescent="0.3">
      <c r="A812">
        <v>39</v>
      </c>
      <c r="B812" t="str">
        <f>VLOOKUP($A812,[1]LISTA!$B:$C,2,0)</f>
        <v>SEPTIEMBRE</v>
      </c>
      <c r="C812" s="1">
        <v>2025</v>
      </c>
      <c r="D812" s="1" t="str">
        <f>IF($A812&lt;=[1]RESULTADOS!$D$6,"YTD","YTG")</f>
        <v>YTD</v>
      </c>
      <c r="E812" t="s">
        <v>540</v>
      </c>
      <c r="F812" t="s">
        <v>18</v>
      </c>
      <c r="G812" t="s">
        <v>29</v>
      </c>
      <c r="H812" t="s">
        <v>113</v>
      </c>
      <c r="I812" t="s">
        <v>366</v>
      </c>
      <c r="J812" t="str">
        <f>IFERROR(VLOOKUP(I812,[1]AUTOS!$C:$G,2,0),"")</f>
        <v>VENTO</v>
      </c>
      <c r="K812">
        <f>IFERROR(VLOOKUP(I812,[1]AUTOS!$C:$G,3,0),"")</f>
        <v>2019</v>
      </c>
      <c r="L812" t="str">
        <f>IFERROR(VLOOKUP(I812,[1]AUTOS!$C:$G,4,0),"")</f>
        <v>BLANCO</v>
      </c>
      <c r="M812" t="s">
        <v>215</v>
      </c>
      <c r="P812" s="3">
        <v>-150</v>
      </c>
    </row>
    <row r="813" spans="1:16" hidden="1" x14ac:dyDescent="0.3">
      <c r="A813">
        <v>39</v>
      </c>
      <c r="B813" t="str">
        <f>VLOOKUP($A813,[1]LISTA!$B:$C,2,0)</f>
        <v>SEPTIEMBRE</v>
      </c>
      <c r="C813" s="1">
        <v>2025</v>
      </c>
      <c r="D813" s="1" t="str">
        <f>IF($A813&lt;=[1]RESULTADOS!$D$6,"YTD","YTG")</f>
        <v>YTD</v>
      </c>
      <c r="E813" t="s">
        <v>486</v>
      </c>
      <c r="F813" t="s">
        <v>18</v>
      </c>
      <c r="G813" t="s">
        <v>29</v>
      </c>
      <c r="H813" t="s">
        <v>113</v>
      </c>
      <c r="I813" t="s">
        <v>46</v>
      </c>
      <c r="J813" t="str">
        <f>IFERROR(VLOOKUP(I813,[1]AUTOS!$C:$G,2,0),"")</f>
        <v>MARCH</v>
      </c>
      <c r="K813">
        <f>IFERROR(VLOOKUP(I813,[1]AUTOS!$C:$G,3,0),"")</f>
        <v>2020</v>
      </c>
      <c r="L813" t="str">
        <f>IFERROR(VLOOKUP(I813,[1]AUTOS!$C:$G,4,0),"")</f>
        <v>TURQ</v>
      </c>
      <c r="M813" t="s">
        <v>43</v>
      </c>
      <c r="P813" s="3">
        <v>-300</v>
      </c>
    </row>
    <row r="814" spans="1:16" hidden="1" x14ac:dyDescent="0.3">
      <c r="A814">
        <v>39</v>
      </c>
      <c r="B814" t="str">
        <f>VLOOKUP($A814,[1]LISTA!$B:$C,2,0)</f>
        <v>SEPTIEMBRE</v>
      </c>
      <c r="C814" s="1">
        <v>2025</v>
      </c>
      <c r="D814" s="1" t="str">
        <f>IF($A814&lt;=[1]RESULTADOS!$D$6,"YTD","YTG")</f>
        <v>YTD</v>
      </c>
      <c r="E814" t="s">
        <v>17</v>
      </c>
      <c r="F814" t="s">
        <v>18</v>
      </c>
      <c r="G814" t="s">
        <v>137</v>
      </c>
      <c r="H814" t="s">
        <v>543</v>
      </c>
      <c r="I814" t="s">
        <v>21</v>
      </c>
      <c r="J814" t="str">
        <f>IFERROR(VLOOKUP(I814,[1]AUTOS!$C:$G,2,0),"")</f>
        <v/>
      </c>
      <c r="K814" t="str">
        <f>IFERROR(VLOOKUP(I814,[1]AUTOS!$C:$G,3,0),"")</f>
        <v/>
      </c>
      <c r="L814" t="str">
        <f>IFERROR(VLOOKUP(I814,[1]AUTOS!$C:$G,4,0),"")</f>
        <v/>
      </c>
      <c r="M814" t="s">
        <v>22</v>
      </c>
      <c r="P814" s="3">
        <v>-200</v>
      </c>
    </row>
    <row r="815" spans="1:16" hidden="1" x14ac:dyDescent="0.3">
      <c r="A815">
        <v>39</v>
      </c>
      <c r="B815" t="str">
        <f>VLOOKUP($A815,[1]LISTA!$B:$C,2,0)</f>
        <v>SEPTIEMBRE</v>
      </c>
      <c r="C815" s="1">
        <v>2025</v>
      </c>
      <c r="D815" s="1" t="str">
        <f>IF($A815&lt;=[1]RESULTADOS!$D$6,"YTD","YTG")</f>
        <v>YTD</v>
      </c>
      <c r="E815" t="s">
        <v>534</v>
      </c>
      <c r="F815" t="s">
        <v>18</v>
      </c>
      <c r="G815" t="s">
        <v>38</v>
      </c>
      <c r="H815" t="s">
        <v>194</v>
      </c>
      <c r="I815" t="s">
        <v>313</v>
      </c>
      <c r="J815" t="str">
        <f>IFERROR(VLOOKUP(I815,[1]AUTOS!$C:$G,2,0),"")</f>
        <v>MARCH</v>
      </c>
      <c r="K815">
        <f>IFERROR(VLOOKUP(I815,[1]AUTOS!$C:$G,3,0),"")</f>
        <v>2019</v>
      </c>
      <c r="L815" t="str">
        <f>IFERROR(VLOOKUP(I815,[1]AUTOS!$C:$G,4,0),"")</f>
        <v>TURQ</v>
      </c>
      <c r="M815" t="s">
        <v>140</v>
      </c>
      <c r="P815" s="3">
        <v>-120</v>
      </c>
    </row>
    <row r="816" spans="1:16" hidden="1" x14ac:dyDescent="0.3">
      <c r="A816">
        <v>39</v>
      </c>
      <c r="B816" t="str">
        <f>VLOOKUP($A816,[1]LISTA!$B:$C,2,0)</f>
        <v>SEPTIEMBRE</v>
      </c>
      <c r="C816" s="1">
        <v>2025</v>
      </c>
      <c r="D816" s="1" t="str">
        <f>IF($A816&lt;=[1]RESULTADOS!$D$6,"YTD","YTG")</f>
        <v>YTD</v>
      </c>
      <c r="E816" t="s">
        <v>377</v>
      </c>
      <c r="F816" t="s">
        <v>18</v>
      </c>
      <c r="G816" t="s">
        <v>141</v>
      </c>
      <c r="H816" t="s">
        <v>544</v>
      </c>
      <c r="I816" t="s">
        <v>42</v>
      </c>
      <c r="J816" t="str">
        <f>IFERROR(VLOOKUP(I816,[1]AUTOS!$C:$G,2,0),"")</f>
        <v>VENTO</v>
      </c>
      <c r="K816">
        <f>IFERROR(VLOOKUP(I816,[1]AUTOS!$C:$G,3,0),"")</f>
        <v>2018</v>
      </c>
      <c r="L816" t="str">
        <f>IFERROR(VLOOKUP(I816,[1]AUTOS!$C:$G,4,0),"")</f>
        <v>AMARILLO</v>
      </c>
      <c r="M816" t="s">
        <v>43</v>
      </c>
      <c r="P816" s="3">
        <v>-3600</v>
      </c>
    </row>
    <row r="817" spans="1:16" hidden="1" x14ac:dyDescent="0.3">
      <c r="A817">
        <v>39</v>
      </c>
      <c r="B817" t="str">
        <f>VLOOKUP($A817,[1]LISTA!$B:$C,2,0)</f>
        <v>SEPTIEMBRE</v>
      </c>
      <c r="C817" s="1">
        <v>2025</v>
      </c>
      <c r="D817" s="1" t="str">
        <f>IF($A817&lt;=[1]RESULTADOS!$D$6,"YTD","YTG")</f>
        <v>YTD</v>
      </c>
      <c r="E817" t="s">
        <v>377</v>
      </c>
      <c r="F817" t="s">
        <v>18</v>
      </c>
      <c r="G817" t="s">
        <v>57</v>
      </c>
      <c r="H817" t="s">
        <v>503</v>
      </c>
      <c r="I817" t="s">
        <v>42</v>
      </c>
      <c r="J817" t="str">
        <f>IFERROR(VLOOKUP(I817,[1]AUTOS!$C:$G,2,0),"")</f>
        <v>VENTO</v>
      </c>
      <c r="K817">
        <f>IFERROR(VLOOKUP(I817,[1]AUTOS!$C:$G,3,0),"")</f>
        <v>2018</v>
      </c>
      <c r="L817" t="str">
        <f>IFERROR(VLOOKUP(I817,[1]AUTOS!$C:$G,4,0),"")</f>
        <v>AMARILLO</v>
      </c>
      <c r="M817" t="s">
        <v>43</v>
      </c>
      <c r="P817" s="3">
        <v>-350</v>
      </c>
    </row>
    <row r="818" spans="1:16" hidden="1" x14ac:dyDescent="0.3">
      <c r="A818">
        <v>39</v>
      </c>
      <c r="B818" t="str">
        <f>VLOOKUP($A818,[1]LISTA!$B:$C,2,0)</f>
        <v>SEPTIEMBRE</v>
      </c>
      <c r="C818" s="1">
        <v>2025</v>
      </c>
      <c r="D818" s="1" t="str">
        <f>IF($A818&lt;=[1]RESULTADOS!$D$6,"YTD","YTG")</f>
        <v>YTD</v>
      </c>
      <c r="E818" t="s">
        <v>17</v>
      </c>
      <c r="F818" t="s">
        <v>18</v>
      </c>
      <c r="G818" t="s">
        <v>27</v>
      </c>
      <c r="H818" t="s">
        <v>545</v>
      </c>
      <c r="I818" t="s">
        <v>370</v>
      </c>
      <c r="J818" t="str">
        <f>IFERROR(VLOOKUP(I818,[1]AUTOS!$C:$G,2,0),"")</f>
        <v>KIA RIO</v>
      </c>
      <c r="K818">
        <f>IFERROR(VLOOKUP(I818,[1]AUTOS!$C:$G,3,0),"")</f>
        <v>2020</v>
      </c>
      <c r="L818" t="str">
        <f>IFERROR(VLOOKUP(I818,[1]AUTOS!$C:$G,4,0),"")</f>
        <v>AZUL</v>
      </c>
      <c r="M818" t="s">
        <v>22</v>
      </c>
      <c r="P818" s="3">
        <v>-480</v>
      </c>
    </row>
    <row r="819" spans="1:16" hidden="1" x14ac:dyDescent="0.3">
      <c r="A819">
        <v>39</v>
      </c>
      <c r="B819" t="str">
        <f>VLOOKUP($A819,[1]LISTA!$B:$C,2,0)</f>
        <v>SEPTIEMBRE</v>
      </c>
      <c r="C819" s="1">
        <v>2025</v>
      </c>
      <c r="D819" s="1" t="str">
        <f>IF($A819&lt;=[1]RESULTADOS!$D$6,"YTD","YTG")</f>
        <v>YTD</v>
      </c>
      <c r="E819" t="s">
        <v>496</v>
      </c>
      <c r="F819" t="s">
        <v>18</v>
      </c>
      <c r="G819" t="s">
        <v>251</v>
      </c>
      <c r="H819" t="s">
        <v>546</v>
      </c>
      <c r="I819" t="s">
        <v>547</v>
      </c>
      <c r="J819" t="str">
        <f>IFERROR(VLOOKUP(I819,[1]AUTOS!$C:$G,2,0),"")</f>
        <v>AVEO</v>
      </c>
      <c r="K819">
        <f>IFERROR(VLOOKUP(I819,[1]AUTOS!$C:$G,3,0),"")</f>
        <v>2022</v>
      </c>
      <c r="L819" t="str">
        <f>IFERROR(VLOOKUP(I819,[1]AUTOS!$C:$G,4,0),"")</f>
        <v>VINO</v>
      </c>
      <c r="M819" t="s">
        <v>43</v>
      </c>
      <c r="P819" s="3">
        <v>-100</v>
      </c>
    </row>
    <row r="820" spans="1:16" hidden="1" x14ac:dyDescent="0.3">
      <c r="A820">
        <v>39</v>
      </c>
      <c r="B820" t="str">
        <f>VLOOKUP($A820,[1]LISTA!$B:$C,2,0)</f>
        <v>SEPTIEMBRE</v>
      </c>
      <c r="C820" s="1">
        <v>2025</v>
      </c>
      <c r="D820" s="1" t="str">
        <f>IF($A820&lt;=[1]RESULTADOS!$D$6,"YTD","YTG")</f>
        <v>YTD</v>
      </c>
      <c r="E820" t="s">
        <v>486</v>
      </c>
      <c r="F820" t="s">
        <v>18</v>
      </c>
      <c r="G820" t="s">
        <v>29</v>
      </c>
      <c r="H820" t="s">
        <v>548</v>
      </c>
      <c r="I820" t="s">
        <v>46</v>
      </c>
      <c r="J820" t="str">
        <f>IFERROR(VLOOKUP(I820,[1]AUTOS!$C:$G,2,0),"")</f>
        <v>MARCH</v>
      </c>
      <c r="K820">
        <f>IFERROR(VLOOKUP(I820,[1]AUTOS!$C:$G,3,0),"")</f>
        <v>2020</v>
      </c>
      <c r="L820" t="str">
        <f>IFERROR(VLOOKUP(I820,[1]AUTOS!$C:$G,4,0),"")</f>
        <v>TURQ</v>
      </c>
      <c r="M820" t="s">
        <v>43</v>
      </c>
      <c r="P820" s="3">
        <v>-100</v>
      </c>
    </row>
    <row r="821" spans="1:16" hidden="1" x14ac:dyDescent="0.3">
      <c r="A821">
        <v>39</v>
      </c>
      <c r="B821" t="str">
        <f>VLOOKUP($A821,[1]LISTA!$B:$C,2,0)</f>
        <v>SEPTIEMBRE</v>
      </c>
      <c r="C821" s="1">
        <v>2025</v>
      </c>
      <c r="D821" s="1" t="str">
        <f>IF($A821&lt;=[1]RESULTADOS!$D$6,"YTD","YTG")</f>
        <v>YTD</v>
      </c>
      <c r="E821" t="s">
        <v>17</v>
      </c>
      <c r="F821" t="s">
        <v>18</v>
      </c>
      <c r="G821" t="s">
        <v>29</v>
      </c>
      <c r="H821" t="s">
        <v>549</v>
      </c>
      <c r="I821" t="s">
        <v>333</v>
      </c>
      <c r="J821" t="str">
        <f>IFERROR(VLOOKUP(I821,[1]AUTOS!$C:$G,2,0),"")</f>
        <v>BEAT</v>
      </c>
      <c r="K821">
        <f>IFERROR(VLOOKUP(I821,[1]AUTOS!$C:$G,3,0),"")</f>
        <v>2019</v>
      </c>
      <c r="L821" t="str">
        <f>IFERROR(VLOOKUP(I821,[1]AUTOS!$C:$G,4,0),"")</f>
        <v>OCRE</v>
      </c>
      <c r="M821" t="s">
        <v>43</v>
      </c>
      <c r="P821" s="3">
        <v>-200</v>
      </c>
    </row>
    <row r="822" spans="1:16" hidden="1" x14ac:dyDescent="0.3">
      <c r="A822">
        <v>39</v>
      </c>
      <c r="B822" t="str">
        <f>VLOOKUP($A822,[1]LISTA!$B:$C,2,0)</f>
        <v>SEPTIEMBRE</v>
      </c>
      <c r="C822" s="1">
        <v>2025</v>
      </c>
      <c r="D822" s="1" t="str">
        <f>IF($A822&lt;=[1]RESULTADOS!$D$6,"YTD","YTG")</f>
        <v>YTD</v>
      </c>
      <c r="E822" t="s">
        <v>17</v>
      </c>
      <c r="F822" t="s">
        <v>18</v>
      </c>
      <c r="G822" t="s">
        <v>176</v>
      </c>
      <c r="H822" t="s">
        <v>550</v>
      </c>
      <c r="I822" t="s">
        <v>384</v>
      </c>
      <c r="J822" t="str">
        <f>IFERROR(VLOOKUP(I822,[1]AUTOS!$C:$G,2,0),"")</f>
        <v>MARCH</v>
      </c>
      <c r="K822">
        <f>IFERROR(VLOOKUP(I822,[1]AUTOS!$C:$G,3,0),"")</f>
        <v>2022</v>
      </c>
      <c r="L822" t="str">
        <f>IFERROR(VLOOKUP(I822,[1]AUTOS!$C:$G,4,0),"")</f>
        <v>BLANCO</v>
      </c>
      <c r="M822" t="s">
        <v>215</v>
      </c>
      <c r="P822" s="3">
        <v>-20</v>
      </c>
    </row>
    <row r="823" spans="1:16" hidden="1" x14ac:dyDescent="0.3">
      <c r="A823">
        <v>39</v>
      </c>
      <c r="B823" t="str">
        <f>VLOOKUP($A823,[1]LISTA!$B:$C,2,0)</f>
        <v>SEPTIEMBRE</v>
      </c>
      <c r="C823" s="1">
        <v>2025</v>
      </c>
      <c r="D823" s="1" t="str">
        <f>IF($A823&lt;=[1]RESULTADOS!$D$6,"YTD","YTG")</f>
        <v>YTD</v>
      </c>
      <c r="E823" t="s">
        <v>17</v>
      </c>
      <c r="F823" t="s">
        <v>18</v>
      </c>
      <c r="G823" t="s">
        <v>53</v>
      </c>
      <c r="H823" t="s">
        <v>233</v>
      </c>
      <c r="I823" t="s">
        <v>384</v>
      </c>
      <c r="J823" t="str">
        <f>IFERROR(VLOOKUP(I823,[1]AUTOS!$C:$G,2,0),"")</f>
        <v>MARCH</v>
      </c>
      <c r="K823">
        <f>IFERROR(VLOOKUP(I823,[1]AUTOS!$C:$G,3,0),"")</f>
        <v>2022</v>
      </c>
      <c r="L823" t="str">
        <f>IFERROR(VLOOKUP(I823,[1]AUTOS!$C:$G,4,0),"")</f>
        <v>BLANCO</v>
      </c>
      <c r="M823" t="s">
        <v>215</v>
      </c>
      <c r="P823" s="3">
        <v>-110</v>
      </c>
    </row>
    <row r="824" spans="1:16" hidden="1" x14ac:dyDescent="0.3">
      <c r="A824">
        <v>39</v>
      </c>
      <c r="B824" t="str">
        <f>VLOOKUP($A824,[1]LISTA!$B:$C,2,0)</f>
        <v>SEPTIEMBRE</v>
      </c>
      <c r="C824" s="1">
        <v>2025</v>
      </c>
      <c r="D824" s="1" t="str">
        <f>IF($A824&lt;=[1]RESULTADOS!$D$6,"YTD","YTG")</f>
        <v>YTD</v>
      </c>
      <c r="E824" t="s">
        <v>17</v>
      </c>
      <c r="F824" t="s">
        <v>18</v>
      </c>
      <c r="G824" t="s">
        <v>27</v>
      </c>
      <c r="H824" t="s">
        <v>551</v>
      </c>
      <c r="I824" t="s">
        <v>21</v>
      </c>
      <c r="J824" t="str">
        <f>IFERROR(VLOOKUP(I824,[1]AUTOS!$C:$G,2,0),"")</f>
        <v/>
      </c>
      <c r="K824" t="str">
        <f>IFERROR(VLOOKUP(I824,[1]AUTOS!$C:$G,3,0),"")</f>
        <v/>
      </c>
      <c r="L824" t="str">
        <f>IFERROR(VLOOKUP(I824,[1]AUTOS!$C:$G,4,0),"")</f>
        <v/>
      </c>
      <c r="M824" t="s">
        <v>22</v>
      </c>
      <c r="P824" s="3">
        <v>-60</v>
      </c>
    </row>
    <row r="825" spans="1:16" hidden="1" x14ac:dyDescent="0.3">
      <c r="A825">
        <v>39</v>
      </c>
      <c r="B825" t="str">
        <f>VLOOKUP($A825,[1]LISTA!$B:$C,2,0)</f>
        <v>SEPTIEMBRE</v>
      </c>
      <c r="C825" s="1">
        <v>2025</v>
      </c>
      <c r="D825" s="1" t="str">
        <f>IF($A825&lt;=[1]RESULTADOS!$D$6,"YTD","YTG")</f>
        <v>YTD</v>
      </c>
      <c r="E825" t="s">
        <v>17</v>
      </c>
      <c r="F825" t="s">
        <v>18</v>
      </c>
      <c r="G825" t="s">
        <v>29</v>
      </c>
      <c r="H825" t="s">
        <v>552</v>
      </c>
      <c r="I825" t="s">
        <v>21</v>
      </c>
      <c r="J825" t="str">
        <f>IFERROR(VLOOKUP(I825,[1]AUTOS!$C:$G,2,0),"")</f>
        <v/>
      </c>
      <c r="K825" t="str">
        <f>IFERROR(VLOOKUP(I825,[1]AUTOS!$C:$G,3,0),"")</f>
        <v/>
      </c>
      <c r="L825" t="str">
        <f>IFERROR(VLOOKUP(I825,[1]AUTOS!$C:$G,4,0),"")</f>
        <v/>
      </c>
      <c r="M825" t="s">
        <v>22</v>
      </c>
      <c r="P825" s="3">
        <v>-250</v>
      </c>
    </row>
    <row r="826" spans="1:16" hidden="1" x14ac:dyDescent="0.3">
      <c r="A826">
        <v>39</v>
      </c>
      <c r="B826" t="str">
        <f>VLOOKUP($A826,[1]LISTA!$B:$C,2,0)</f>
        <v>SEPTIEMBRE</v>
      </c>
      <c r="C826" s="1">
        <v>2025</v>
      </c>
      <c r="D826" s="1" t="str">
        <f>IF($A826&lt;=[1]RESULTADOS!$D$6,"YTD","YTG")</f>
        <v>YTD</v>
      </c>
      <c r="E826" t="s">
        <v>17</v>
      </c>
      <c r="F826" t="s">
        <v>18</v>
      </c>
      <c r="G826" t="s">
        <v>87</v>
      </c>
      <c r="H826" t="s">
        <v>553</v>
      </c>
      <c r="I826" t="s">
        <v>333</v>
      </c>
      <c r="J826" t="str">
        <f>IFERROR(VLOOKUP(I826,[1]AUTOS!$C:$G,2,0),"")</f>
        <v>BEAT</v>
      </c>
      <c r="K826">
        <f>IFERROR(VLOOKUP(I826,[1]AUTOS!$C:$G,3,0),"")</f>
        <v>2019</v>
      </c>
      <c r="L826" t="str">
        <f>IFERROR(VLOOKUP(I826,[1]AUTOS!$C:$G,4,0),"")</f>
        <v>OCRE</v>
      </c>
      <c r="M826" t="s">
        <v>43</v>
      </c>
      <c r="P826" s="3">
        <v>-6500</v>
      </c>
    </row>
    <row r="827" spans="1:16" hidden="1" x14ac:dyDescent="0.3">
      <c r="A827">
        <v>39</v>
      </c>
      <c r="B827" t="str">
        <f>VLOOKUP($A827,[1]LISTA!$B:$C,2,0)</f>
        <v>SEPTIEMBRE</v>
      </c>
      <c r="C827" s="1">
        <v>2025</v>
      </c>
      <c r="D827" s="1" t="str">
        <f>IF($A827&lt;=[1]RESULTADOS!$D$6,"YTD","YTG")</f>
        <v>YTD</v>
      </c>
      <c r="E827" t="s">
        <v>17</v>
      </c>
      <c r="F827" t="s">
        <v>18</v>
      </c>
      <c r="G827" t="s">
        <v>57</v>
      </c>
      <c r="H827" t="s">
        <v>554</v>
      </c>
      <c r="I827" t="s">
        <v>333</v>
      </c>
      <c r="J827" t="str">
        <f>IFERROR(VLOOKUP(I827,[1]AUTOS!$C:$G,2,0),"")</f>
        <v>BEAT</v>
      </c>
      <c r="K827">
        <f>IFERROR(VLOOKUP(I827,[1]AUTOS!$C:$G,3,0),"")</f>
        <v>2019</v>
      </c>
      <c r="L827" t="str">
        <f>IFERROR(VLOOKUP(I827,[1]AUTOS!$C:$G,4,0),"")</f>
        <v>OCRE</v>
      </c>
      <c r="M827" t="s">
        <v>43</v>
      </c>
      <c r="P827" s="3">
        <v>-200</v>
      </c>
    </row>
    <row r="828" spans="1:16" hidden="1" x14ac:dyDescent="0.3">
      <c r="A828">
        <v>39</v>
      </c>
      <c r="B828" t="str">
        <f>VLOOKUP($A828,[1]LISTA!$B:$C,2,0)</f>
        <v>SEPTIEMBRE</v>
      </c>
      <c r="C828" s="1">
        <v>2025</v>
      </c>
      <c r="D828" s="1" t="str">
        <f>IF($A828&lt;=[1]RESULTADOS!$D$6,"YTD","YTG")</f>
        <v>YTD</v>
      </c>
      <c r="E828" t="s">
        <v>17</v>
      </c>
      <c r="F828" t="s">
        <v>18</v>
      </c>
      <c r="G828" t="s">
        <v>29</v>
      </c>
      <c r="H828" t="s">
        <v>555</v>
      </c>
      <c r="I828" t="s">
        <v>333</v>
      </c>
      <c r="J828" t="str">
        <f>IFERROR(VLOOKUP(I828,[1]AUTOS!$C:$G,2,0),"")</f>
        <v>BEAT</v>
      </c>
      <c r="K828">
        <f>IFERROR(VLOOKUP(I828,[1]AUTOS!$C:$G,3,0),"")</f>
        <v>2019</v>
      </c>
      <c r="L828" t="str">
        <f>IFERROR(VLOOKUP(I828,[1]AUTOS!$C:$G,4,0),"")</f>
        <v>OCRE</v>
      </c>
      <c r="M828" t="s">
        <v>43</v>
      </c>
      <c r="P828" s="3">
        <v>-245</v>
      </c>
    </row>
    <row r="829" spans="1:16" hidden="1" x14ac:dyDescent="0.3">
      <c r="A829">
        <v>39</v>
      </c>
      <c r="B829" t="str">
        <f>VLOOKUP($A829,[1]LISTA!$B:$C,2,0)</f>
        <v>SEPTIEMBRE</v>
      </c>
      <c r="C829" s="1">
        <v>2025</v>
      </c>
      <c r="D829" s="1" t="str">
        <f>IF($A829&lt;=[1]RESULTADOS!$D$6,"YTD","YTG")</f>
        <v>YTD</v>
      </c>
      <c r="E829" t="s">
        <v>17</v>
      </c>
      <c r="F829" t="s">
        <v>18</v>
      </c>
      <c r="G829" t="s">
        <v>27</v>
      </c>
      <c r="H829" t="s">
        <v>551</v>
      </c>
      <c r="I829" t="s">
        <v>21</v>
      </c>
      <c r="J829" t="str">
        <f>IFERROR(VLOOKUP(I829,[1]AUTOS!$C:$G,2,0),"")</f>
        <v/>
      </c>
      <c r="K829" t="str">
        <f>IFERROR(VLOOKUP(I829,[1]AUTOS!$C:$G,3,0),"")</f>
        <v/>
      </c>
      <c r="L829" t="str">
        <f>IFERROR(VLOOKUP(I829,[1]AUTOS!$C:$G,4,0),"")</f>
        <v/>
      </c>
      <c r="M829" t="s">
        <v>22</v>
      </c>
      <c r="P829" s="3">
        <v>-150</v>
      </c>
    </row>
    <row r="830" spans="1:16" hidden="1" x14ac:dyDescent="0.3">
      <c r="A830">
        <v>39</v>
      </c>
      <c r="B830" t="str">
        <f>VLOOKUP($A830,[1]LISTA!$B:$C,2,0)</f>
        <v>SEPTIEMBRE</v>
      </c>
      <c r="C830" s="1">
        <v>2025</v>
      </c>
      <c r="D830" s="1" t="str">
        <f>IF($A830&lt;=[1]RESULTADOS!$D$6,"YTD","YTG")</f>
        <v>YTD</v>
      </c>
      <c r="E830" t="s">
        <v>534</v>
      </c>
      <c r="F830" t="s">
        <v>18</v>
      </c>
      <c r="G830" t="s">
        <v>327</v>
      </c>
      <c r="H830" t="s">
        <v>556</v>
      </c>
      <c r="I830" t="s">
        <v>313</v>
      </c>
      <c r="J830" t="str">
        <f>IFERROR(VLOOKUP(I830,[1]AUTOS!$C:$G,2,0),"")</f>
        <v>MARCH</v>
      </c>
      <c r="K830">
        <f>IFERROR(VLOOKUP(I830,[1]AUTOS!$C:$G,3,0),"")</f>
        <v>2019</v>
      </c>
      <c r="L830" t="str">
        <f>IFERROR(VLOOKUP(I830,[1]AUTOS!$C:$G,4,0),"")</f>
        <v>TURQ</v>
      </c>
      <c r="M830" t="s">
        <v>140</v>
      </c>
      <c r="P830" s="3">
        <v>-29</v>
      </c>
    </row>
    <row r="831" spans="1:16" hidden="1" x14ac:dyDescent="0.3">
      <c r="A831">
        <v>39</v>
      </c>
      <c r="B831" t="str">
        <f>VLOOKUP($A831,[1]LISTA!$B:$C,2,0)</f>
        <v>SEPTIEMBRE</v>
      </c>
      <c r="C831" s="1">
        <v>2025</v>
      </c>
      <c r="D831" s="1" t="str">
        <f>IF($A831&lt;=[1]RESULTADOS!$D$6,"YTD","YTG")</f>
        <v>YTD</v>
      </c>
      <c r="E831" t="s">
        <v>17</v>
      </c>
      <c r="F831" t="s">
        <v>18</v>
      </c>
      <c r="G831" t="s">
        <v>57</v>
      </c>
      <c r="H831" t="s">
        <v>557</v>
      </c>
      <c r="I831" t="s">
        <v>21</v>
      </c>
      <c r="J831" t="str">
        <f>IFERROR(VLOOKUP(I831,[1]AUTOS!$C:$G,2,0),"")</f>
        <v/>
      </c>
      <c r="K831" t="str">
        <f>IFERROR(VLOOKUP(I831,[1]AUTOS!$C:$G,3,0),"")</f>
        <v/>
      </c>
      <c r="L831" t="str">
        <f>IFERROR(VLOOKUP(I831,[1]AUTOS!$C:$G,4,0),"")</f>
        <v/>
      </c>
      <c r="M831" t="s">
        <v>22</v>
      </c>
      <c r="P831" s="3">
        <v>-289</v>
      </c>
    </row>
    <row r="832" spans="1:16" hidden="1" x14ac:dyDescent="0.3">
      <c r="A832">
        <v>40</v>
      </c>
      <c r="B832" t="str">
        <f>VLOOKUP($A832,[1]LISTA!$B:$C,2,0)</f>
        <v>OCTUBRE</v>
      </c>
      <c r="C832" s="1">
        <v>2025</v>
      </c>
      <c r="D832" s="1" t="str">
        <f>IF($A832&lt;=[1]RESULTADOS!$D$6,"YTD","YTG")</f>
        <v>YTG</v>
      </c>
      <c r="E832" t="s">
        <v>474</v>
      </c>
      <c r="F832" t="s">
        <v>18</v>
      </c>
      <c r="G832" t="s">
        <v>29</v>
      </c>
      <c r="H832" t="s">
        <v>113</v>
      </c>
      <c r="I832" t="s">
        <v>333</v>
      </c>
      <c r="J832" t="str">
        <f>IFERROR(VLOOKUP(I832,[1]AUTOS!$C:$G,2,0),"")</f>
        <v>BEAT</v>
      </c>
      <c r="K832">
        <f>IFERROR(VLOOKUP(I832,[1]AUTOS!$C:$G,3,0),"")</f>
        <v>2019</v>
      </c>
      <c r="L832" t="str">
        <f>IFERROR(VLOOKUP(I832,[1]AUTOS!$C:$G,4,0),"")</f>
        <v>OCRE</v>
      </c>
      <c r="M832" t="s">
        <v>43</v>
      </c>
      <c r="P832" s="3">
        <v>-500</v>
      </c>
    </row>
    <row r="833" spans="1:16" hidden="1" x14ac:dyDescent="0.3">
      <c r="A833">
        <v>40</v>
      </c>
      <c r="B833" t="str">
        <f>VLOOKUP($A833,[1]LISTA!$B:$C,2,0)</f>
        <v>OCTUBRE</v>
      </c>
      <c r="C833" s="1">
        <v>2025</v>
      </c>
      <c r="D833" s="1" t="str">
        <f>IF($A833&lt;=[1]RESULTADOS!$D$6,"YTD","YTG")</f>
        <v>YTG</v>
      </c>
      <c r="E833" t="s">
        <v>534</v>
      </c>
      <c r="F833" t="s">
        <v>18</v>
      </c>
      <c r="G833" t="s">
        <v>57</v>
      </c>
      <c r="H833" t="s">
        <v>558</v>
      </c>
      <c r="I833" t="s">
        <v>51</v>
      </c>
      <c r="J833" t="str">
        <f>IFERROR(VLOOKUP(I833,[1]AUTOS!$C:$G,2,0),"")</f>
        <v>VENTO</v>
      </c>
      <c r="K833">
        <f>IFERROR(VLOOKUP(I833,[1]AUTOS!$C:$G,3,0),"")</f>
        <v>2017</v>
      </c>
      <c r="L833" t="str">
        <f>IFERROR(VLOOKUP(I833,[1]AUTOS!$C:$G,4,0),"")</f>
        <v>GRIS</v>
      </c>
      <c r="M833" t="s">
        <v>43</v>
      </c>
      <c r="P833" s="3">
        <v>-1170</v>
      </c>
    </row>
    <row r="834" spans="1:16" hidden="1" x14ac:dyDescent="0.3">
      <c r="A834">
        <v>40</v>
      </c>
      <c r="B834" t="str">
        <f>VLOOKUP($A834,[1]LISTA!$B:$C,2,0)</f>
        <v>OCTUBRE</v>
      </c>
      <c r="C834" s="1">
        <v>2025</v>
      </c>
      <c r="D834" s="1" t="str">
        <f>IF($A834&lt;=[1]RESULTADOS!$D$6,"YTD","YTG")</f>
        <v>YTG</v>
      </c>
      <c r="E834" t="s">
        <v>496</v>
      </c>
      <c r="F834" t="s">
        <v>18</v>
      </c>
      <c r="G834" t="s">
        <v>57</v>
      </c>
      <c r="H834" t="s">
        <v>559</v>
      </c>
      <c r="I834" t="s">
        <v>560</v>
      </c>
      <c r="J834" t="str">
        <f>IFERROR(VLOOKUP(I834,[1]AUTOS!$C:$G,2,0),"")</f>
        <v>AVEO</v>
      </c>
      <c r="K834">
        <f>IFERROR(VLOOKUP(I834,[1]AUTOS!$C:$G,3,0),"")</f>
        <v>2023</v>
      </c>
      <c r="L834" t="str">
        <f>IFERROR(VLOOKUP(I834,[1]AUTOS!$C:$G,4,0),"")</f>
        <v>VINO</v>
      </c>
      <c r="M834" t="s">
        <v>43</v>
      </c>
      <c r="P834" s="3">
        <v>-150</v>
      </c>
    </row>
    <row r="835" spans="1:16" hidden="1" x14ac:dyDescent="0.3">
      <c r="A835">
        <v>40</v>
      </c>
      <c r="B835" t="str">
        <f>VLOOKUP($A835,[1]LISTA!$B:$C,2,0)</f>
        <v>OCTUBRE</v>
      </c>
      <c r="C835" s="1">
        <v>2025</v>
      </c>
      <c r="D835" s="1" t="str">
        <f>IF($A835&lt;=[1]RESULTADOS!$D$6,"YTD","YTG")</f>
        <v>YTG</v>
      </c>
      <c r="E835" t="s">
        <v>496</v>
      </c>
      <c r="F835" t="s">
        <v>18</v>
      </c>
      <c r="G835" t="s">
        <v>38</v>
      </c>
      <c r="H835" t="s">
        <v>561</v>
      </c>
      <c r="I835" t="s">
        <v>560</v>
      </c>
      <c r="J835" t="str">
        <f>IFERROR(VLOOKUP(I835,[1]AUTOS!$C:$G,2,0),"")</f>
        <v>AVEO</v>
      </c>
      <c r="K835">
        <f>IFERROR(VLOOKUP(I835,[1]AUTOS!$C:$G,3,0),"")</f>
        <v>2023</v>
      </c>
      <c r="L835" t="str">
        <f>IFERROR(VLOOKUP(I835,[1]AUTOS!$C:$G,4,0),"")</f>
        <v>VINO</v>
      </c>
      <c r="M835" t="s">
        <v>43</v>
      </c>
      <c r="P835" s="3">
        <v>-95</v>
      </c>
    </row>
    <row r="836" spans="1:16" hidden="1" x14ac:dyDescent="0.3">
      <c r="A836">
        <v>40</v>
      </c>
      <c r="B836" t="str">
        <f>VLOOKUP($A836,[1]LISTA!$B:$C,2,0)</f>
        <v>OCTUBRE</v>
      </c>
      <c r="C836" s="1">
        <v>2025</v>
      </c>
      <c r="D836" s="1" t="str">
        <f>IF($A836&lt;=[1]RESULTADOS!$D$6,"YTD","YTG")</f>
        <v>YTG</v>
      </c>
      <c r="E836" t="s">
        <v>474</v>
      </c>
      <c r="F836" t="s">
        <v>18</v>
      </c>
      <c r="G836" t="s">
        <v>57</v>
      </c>
      <c r="H836" t="s">
        <v>562</v>
      </c>
      <c r="I836" t="s">
        <v>333</v>
      </c>
      <c r="J836" t="str">
        <f>IFERROR(VLOOKUP(I836,[1]AUTOS!$C:$G,2,0),"")</f>
        <v>BEAT</v>
      </c>
      <c r="K836">
        <f>IFERROR(VLOOKUP(I836,[1]AUTOS!$C:$G,3,0),"")</f>
        <v>2019</v>
      </c>
      <c r="L836" t="str">
        <f>IFERROR(VLOOKUP(I836,[1]AUTOS!$C:$G,4,0),"")</f>
        <v>OCRE</v>
      </c>
      <c r="M836" t="s">
        <v>43</v>
      </c>
      <c r="P836" s="3">
        <v>-180</v>
      </c>
    </row>
    <row r="837" spans="1:16" hidden="1" x14ac:dyDescent="0.3">
      <c r="A837">
        <v>40</v>
      </c>
      <c r="B837" t="str">
        <f>VLOOKUP($A837,[1]LISTA!$B:$C,2,0)</f>
        <v>OCTUBRE</v>
      </c>
      <c r="C837" s="1">
        <v>2025</v>
      </c>
      <c r="D837" s="1" t="str">
        <f>IF($A837&lt;=[1]RESULTADOS!$D$6,"YTD","YTG")</f>
        <v>YTG</v>
      </c>
      <c r="E837" t="s">
        <v>563</v>
      </c>
      <c r="F837" t="s">
        <v>18</v>
      </c>
      <c r="G837" t="s">
        <v>137</v>
      </c>
      <c r="H837" t="s">
        <v>138</v>
      </c>
      <c r="I837" t="s">
        <v>61</v>
      </c>
      <c r="J837" t="str">
        <f>IFERROR(VLOOKUP(I837,[1]AUTOS!$C:$G,2,0),"")</f>
        <v>KIA RIO</v>
      </c>
      <c r="K837">
        <f>IFERROR(VLOOKUP(I837,[1]AUTOS!$C:$G,3,0),"")</f>
        <v>2017</v>
      </c>
      <c r="L837" t="str">
        <f>IFERROR(VLOOKUP(I837,[1]AUTOS!$C:$G,4,0),"")</f>
        <v>ROJO</v>
      </c>
      <c r="M837" t="s">
        <v>35</v>
      </c>
      <c r="P837" s="3">
        <v>-2010</v>
      </c>
    </row>
    <row r="838" spans="1:16" hidden="1" x14ac:dyDescent="0.3">
      <c r="A838">
        <v>40</v>
      </c>
      <c r="B838" t="str">
        <f>VLOOKUP($A838,[1]LISTA!$B:$C,2,0)</f>
        <v>OCTUBRE</v>
      </c>
      <c r="C838" s="1">
        <v>2025</v>
      </c>
      <c r="D838" s="1" t="str">
        <f>IF($A838&lt;=[1]RESULTADOS!$D$6,"YTD","YTG")</f>
        <v>YTG</v>
      </c>
      <c r="E838" t="s">
        <v>17</v>
      </c>
      <c r="F838" t="s">
        <v>18</v>
      </c>
      <c r="G838" t="s">
        <v>27</v>
      </c>
      <c r="H838" t="s">
        <v>564</v>
      </c>
      <c r="I838" t="s">
        <v>21</v>
      </c>
      <c r="J838" t="str">
        <f>IFERROR(VLOOKUP(I838,[1]AUTOS!$C:$G,2,0),"")</f>
        <v/>
      </c>
      <c r="K838" t="str">
        <f>IFERROR(VLOOKUP(I838,[1]AUTOS!$C:$G,3,0),"")</f>
        <v/>
      </c>
      <c r="L838" t="str">
        <f>IFERROR(VLOOKUP(I838,[1]AUTOS!$C:$G,4,0),"")</f>
        <v/>
      </c>
      <c r="M838" t="s">
        <v>22</v>
      </c>
      <c r="P838" s="3">
        <v>-30</v>
      </c>
    </row>
    <row r="839" spans="1:16" hidden="1" x14ac:dyDescent="0.3">
      <c r="A839">
        <v>40</v>
      </c>
      <c r="B839" t="str">
        <f>VLOOKUP($A839,[1]LISTA!$B:$C,2,0)</f>
        <v>OCTUBRE</v>
      </c>
      <c r="C839" s="1">
        <v>2025</v>
      </c>
      <c r="D839" s="1" t="str">
        <f>IF($A839&lt;=[1]RESULTADOS!$D$6,"YTD","YTG")</f>
        <v>YTG</v>
      </c>
      <c r="E839" t="s">
        <v>17</v>
      </c>
      <c r="F839" t="s">
        <v>18</v>
      </c>
      <c r="G839" t="s">
        <v>62</v>
      </c>
      <c r="H839" t="s">
        <v>565</v>
      </c>
      <c r="I839" t="s">
        <v>21</v>
      </c>
      <c r="J839" t="str">
        <f>IFERROR(VLOOKUP(I839,[1]AUTOS!$C:$G,2,0),"")</f>
        <v/>
      </c>
      <c r="K839" t="str">
        <f>IFERROR(VLOOKUP(I839,[1]AUTOS!$C:$G,3,0),"")</f>
        <v/>
      </c>
      <c r="L839" t="str">
        <f>IFERROR(VLOOKUP(I839,[1]AUTOS!$C:$G,4,0),"")</f>
        <v/>
      </c>
      <c r="M839" t="s">
        <v>22</v>
      </c>
      <c r="P839" s="3">
        <v>-10</v>
      </c>
    </row>
    <row r="840" spans="1:16" hidden="1" x14ac:dyDescent="0.3">
      <c r="A840">
        <v>40</v>
      </c>
      <c r="B840" t="str">
        <f>VLOOKUP($A840,[1]LISTA!$B:$C,2,0)</f>
        <v>OCTUBRE</v>
      </c>
      <c r="C840" s="1">
        <v>2025</v>
      </c>
      <c r="D840" s="1" t="str">
        <f>IF($A840&lt;=[1]RESULTADOS!$D$6,"YTD","YTG")</f>
        <v>YTG</v>
      </c>
      <c r="E840" t="s">
        <v>540</v>
      </c>
      <c r="F840" t="s">
        <v>18</v>
      </c>
      <c r="G840" t="s">
        <v>176</v>
      </c>
      <c r="H840" t="s">
        <v>566</v>
      </c>
      <c r="I840" t="s">
        <v>366</v>
      </c>
      <c r="J840" t="str">
        <f>IFERROR(VLOOKUP(I840,[1]AUTOS!$C:$G,2,0),"")</f>
        <v>VENTO</v>
      </c>
      <c r="K840">
        <f>IFERROR(VLOOKUP(I840,[1]AUTOS!$C:$G,3,0),"")</f>
        <v>2019</v>
      </c>
      <c r="L840" t="str">
        <f>IFERROR(VLOOKUP(I840,[1]AUTOS!$C:$G,4,0),"")</f>
        <v>BLANCO</v>
      </c>
      <c r="M840" t="s">
        <v>215</v>
      </c>
      <c r="P840" s="3">
        <v>-90</v>
      </c>
    </row>
    <row r="841" spans="1:16" hidden="1" x14ac:dyDescent="0.3">
      <c r="A841">
        <v>40</v>
      </c>
      <c r="B841" t="str">
        <f>VLOOKUP($A841,[1]LISTA!$B:$C,2,0)</f>
        <v>OCTUBRE</v>
      </c>
      <c r="C841" s="1">
        <v>2025</v>
      </c>
      <c r="D841" s="1" t="str">
        <f>IF($A841&lt;=[1]RESULTADOS!$D$6,"YTD","YTG")</f>
        <v>YTG</v>
      </c>
      <c r="E841" t="s">
        <v>492</v>
      </c>
      <c r="F841" t="s">
        <v>18</v>
      </c>
      <c r="G841" t="s">
        <v>137</v>
      </c>
      <c r="H841" t="s">
        <v>138</v>
      </c>
      <c r="I841" t="s">
        <v>144</v>
      </c>
      <c r="J841" t="str">
        <f>IFERROR(VLOOKUP(I841,[1]AUTOS!$C:$G,2,0),"")</f>
        <v>VERSA</v>
      </c>
      <c r="K841">
        <f>IFERROR(VLOOKUP(I841,[1]AUTOS!$C:$G,3,0),"")</f>
        <v>2020</v>
      </c>
      <c r="L841" t="str">
        <f>IFERROR(VLOOKUP(I841,[1]AUTOS!$C:$G,4,0),"")</f>
        <v>ROJO</v>
      </c>
      <c r="M841" t="s">
        <v>43</v>
      </c>
      <c r="P841" s="3">
        <v>-1710</v>
      </c>
    </row>
    <row r="842" spans="1:16" hidden="1" x14ac:dyDescent="0.3">
      <c r="A842">
        <v>40</v>
      </c>
      <c r="B842" t="str">
        <f>VLOOKUP($A842,[1]LISTA!$B:$C,2,0)</f>
        <v>OCTUBRE</v>
      </c>
      <c r="C842" s="1">
        <v>2025</v>
      </c>
      <c r="D842" s="1" t="str">
        <f>IF($A842&lt;=[1]RESULTADOS!$D$6,"YTD","YTG")</f>
        <v>YTG</v>
      </c>
      <c r="E842" t="s">
        <v>486</v>
      </c>
      <c r="F842" t="s">
        <v>18</v>
      </c>
      <c r="G842" t="s">
        <v>87</v>
      </c>
      <c r="H842" t="s">
        <v>521</v>
      </c>
      <c r="I842" t="s">
        <v>46</v>
      </c>
      <c r="J842" t="str">
        <f>IFERROR(VLOOKUP(I842,[1]AUTOS!$C:$G,2,0),"")</f>
        <v>MARCH</v>
      </c>
      <c r="K842">
        <f>IFERROR(VLOOKUP(I842,[1]AUTOS!$C:$G,3,0),"")</f>
        <v>2020</v>
      </c>
      <c r="L842" t="str">
        <f>IFERROR(VLOOKUP(I842,[1]AUTOS!$C:$G,4,0),"")</f>
        <v>TURQ</v>
      </c>
      <c r="M842" t="s">
        <v>43</v>
      </c>
      <c r="P842" s="3">
        <v>-1750</v>
      </c>
    </row>
    <row r="843" spans="1:16" hidden="1" x14ac:dyDescent="0.3">
      <c r="A843">
        <v>40</v>
      </c>
      <c r="B843" t="str">
        <f>VLOOKUP($A843,[1]LISTA!$B:$C,2,0)</f>
        <v>OCTUBRE</v>
      </c>
      <c r="C843" s="1">
        <v>2025</v>
      </c>
      <c r="D843" s="1" t="str">
        <f>IF($A843&lt;=[1]RESULTADOS!$D$6,"YTD","YTG")</f>
        <v>YTG</v>
      </c>
      <c r="E843" t="s">
        <v>537</v>
      </c>
      <c r="F843" t="s">
        <v>18</v>
      </c>
      <c r="G843" t="s">
        <v>57</v>
      </c>
      <c r="H843" t="s">
        <v>567</v>
      </c>
      <c r="I843" t="s">
        <v>214</v>
      </c>
      <c r="J843" t="str">
        <f>IFERROR(VLOOKUP(I843,[1]AUTOS!$C:$G,2,0),"")</f>
        <v>VENTO</v>
      </c>
      <c r="K843">
        <f>IFERROR(VLOOKUP(I843,[1]AUTOS!$C:$G,3,0),"")</f>
        <v>2019</v>
      </c>
      <c r="L843" t="str">
        <f>IFERROR(VLOOKUP(I843,[1]AUTOS!$C:$G,4,0),"")</f>
        <v>BLANCO</v>
      </c>
      <c r="M843" t="s">
        <v>215</v>
      </c>
      <c r="P843" s="3">
        <v>-720</v>
      </c>
    </row>
    <row r="844" spans="1:16" hidden="1" x14ac:dyDescent="0.3">
      <c r="A844">
        <v>40</v>
      </c>
      <c r="B844" t="str">
        <f>VLOOKUP($A844,[1]LISTA!$B:$C,2,0)</f>
        <v>OCTUBRE</v>
      </c>
      <c r="C844" s="1">
        <v>2025</v>
      </c>
      <c r="D844" s="1" t="str">
        <f>IF($A844&lt;=[1]RESULTADOS!$D$6,"YTD","YTG")</f>
        <v>YTG</v>
      </c>
      <c r="E844" t="s">
        <v>496</v>
      </c>
      <c r="F844" t="s">
        <v>18</v>
      </c>
      <c r="G844" t="s">
        <v>53</v>
      </c>
      <c r="H844" t="s">
        <v>233</v>
      </c>
      <c r="I844" t="s">
        <v>547</v>
      </c>
      <c r="J844" t="str">
        <f>IFERROR(VLOOKUP(I844,[1]AUTOS!$C:$G,2,0),"")</f>
        <v>AVEO</v>
      </c>
      <c r="K844">
        <f>IFERROR(VLOOKUP(I844,[1]AUTOS!$C:$G,3,0),"")</f>
        <v>2022</v>
      </c>
      <c r="L844" t="str">
        <f>IFERROR(VLOOKUP(I844,[1]AUTOS!$C:$G,4,0),"")</f>
        <v>VINO</v>
      </c>
      <c r="M844" t="s">
        <v>43</v>
      </c>
      <c r="P844" s="3">
        <v>-110</v>
      </c>
    </row>
    <row r="845" spans="1:16" hidden="1" x14ac:dyDescent="0.3">
      <c r="A845">
        <v>40</v>
      </c>
      <c r="B845" t="str">
        <f>VLOOKUP($A845,[1]LISTA!$B:$C,2,0)</f>
        <v>OCTUBRE</v>
      </c>
      <c r="C845" s="1">
        <v>2025</v>
      </c>
      <c r="D845" s="1" t="str">
        <f>IF($A845&lt;=[1]RESULTADOS!$D$6,"YTD","YTG")</f>
        <v>YTG</v>
      </c>
      <c r="E845" t="s">
        <v>534</v>
      </c>
      <c r="F845" t="s">
        <v>18</v>
      </c>
      <c r="G845" t="s">
        <v>53</v>
      </c>
      <c r="H845" t="s">
        <v>233</v>
      </c>
      <c r="I845" t="s">
        <v>313</v>
      </c>
      <c r="J845" t="str">
        <f>IFERROR(VLOOKUP(I845,[1]AUTOS!$C:$G,2,0),"")</f>
        <v>MARCH</v>
      </c>
      <c r="K845">
        <f>IFERROR(VLOOKUP(I845,[1]AUTOS!$C:$G,3,0),"")</f>
        <v>2019</v>
      </c>
      <c r="L845" t="str">
        <f>IFERROR(VLOOKUP(I845,[1]AUTOS!$C:$G,4,0),"")</f>
        <v>TURQ</v>
      </c>
      <c r="M845" t="s">
        <v>140</v>
      </c>
      <c r="P845" s="3">
        <v>-110</v>
      </c>
    </row>
    <row r="846" spans="1:16" hidden="1" x14ac:dyDescent="0.3">
      <c r="A846">
        <v>40</v>
      </c>
      <c r="B846" t="str">
        <f>VLOOKUP($A846,[1]LISTA!$B:$C,2,0)</f>
        <v>OCTUBRE</v>
      </c>
      <c r="C846" s="1">
        <v>2025</v>
      </c>
      <c r="D846" s="1" t="str">
        <f>IF($A846&lt;=[1]RESULTADOS!$D$6,"YTD","YTG")</f>
        <v>YTG</v>
      </c>
      <c r="E846" t="s">
        <v>17</v>
      </c>
      <c r="F846" t="s">
        <v>18</v>
      </c>
      <c r="G846" t="s">
        <v>29</v>
      </c>
      <c r="H846" t="s">
        <v>568</v>
      </c>
      <c r="I846" t="s">
        <v>21</v>
      </c>
      <c r="J846" t="str">
        <f>IFERROR(VLOOKUP(I846,[1]AUTOS!$C:$G,2,0),"")</f>
        <v/>
      </c>
      <c r="K846" t="str">
        <f>IFERROR(VLOOKUP(I846,[1]AUTOS!$C:$G,3,0),"")</f>
        <v/>
      </c>
      <c r="L846" t="str">
        <f>IFERROR(VLOOKUP(I846,[1]AUTOS!$C:$G,4,0),"")</f>
        <v/>
      </c>
      <c r="M846" t="s">
        <v>22</v>
      </c>
      <c r="P846" s="3">
        <v>-2442</v>
      </c>
    </row>
    <row r="847" spans="1:16" hidden="1" x14ac:dyDescent="0.3">
      <c r="A847">
        <v>40</v>
      </c>
      <c r="B847" t="str">
        <f>VLOOKUP($A847,[1]LISTA!$B:$C,2,0)</f>
        <v>OCTUBRE</v>
      </c>
      <c r="C847" s="1">
        <v>2025</v>
      </c>
      <c r="D847" s="1" t="str">
        <f>IF($A847&lt;=[1]RESULTADOS!$D$6,"YTD","YTG")</f>
        <v>YTG</v>
      </c>
      <c r="E847" t="s">
        <v>17</v>
      </c>
      <c r="F847" t="s">
        <v>18</v>
      </c>
      <c r="G847" t="s">
        <v>29</v>
      </c>
      <c r="H847" t="s">
        <v>569</v>
      </c>
      <c r="I847" t="s">
        <v>21</v>
      </c>
      <c r="J847" t="str">
        <f>IFERROR(VLOOKUP(I847,[1]AUTOS!$C:$G,2,0),"")</f>
        <v/>
      </c>
      <c r="K847" t="str">
        <f>IFERROR(VLOOKUP(I847,[1]AUTOS!$C:$G,3,0),"")</f>
        <v/>
      </c>
      <c r="L847" t="str">
        <f>IFERROR(VLOOKUP(I847,[1]AUTOS!$C:$G,4,0),"")</f>
        <v/>
      </c>
      <c r="M847" t="s">
        <v>22</v>
      </c>
      <c r="P847" s="3">
        <v>-1500</v>
      </c>
    </row>
    <row r="848" spans="1:16" hidden="1" x14ac:dyDescent="0.3">
      <c r="A848">
        <v>40</v>
      </c>
      <c r="B848" t="str">
        <f>VLOOKUP($A848,[1]LISTA!$B:$C,2,0)</f>
        <v>OCTUBRE</v>
      </c>
      <c r="C848" s="1">
        <v>2025</v>
      </c>
      <c r="D848" s="1" t="str">
        <f>IF($A848&lt;=[1]RESULTADOS!$D$6,"YTD","YTG")</f>
        <v>YTG</v>
      </c>
      <c r="E848" t="s">
        <v>540</v>
      </c>
      <c r="F848" t="s">
        <v>18</v>
      </c>
      <c r="G848" t="s">
        <v>87</v>
      </c>
      <c r="H848" t="s">
        <v>570</v>
      </c>
      <c r="I848" t="s">
        <v>366</v>
      </c>
      <c r="J848" t="str">
        <f>IFERROR(VLOOKUP(I848,[1]AUTOS!$C:$G,2,0),"")</f>
        <v>VENTO</v>
      </c>
      <c r="K848">
        <f>IFERROR(VLOOKUP(I848,[1]AUTOS!$C:$G,3,0),"")</f>
        <v>2019</v>
      </c>
      <c r="L848" t="str">
        <f>IFERROR(VLOOKUP(I848,[1]AUTOS!$C:$G,4,0),"")</f>
        <v>BLANCO</v>
      </c>
      <c r="M848" t="s">
        <v>215</v>
      </c>
      <c r="P848" s="3">
        <v>-1492</v>
      </c>
    </row>
    <row r="849" spans="1:16" hidden="1" x14ac:dyDescent="0.3">
      <c r="A849">
        <v>40</v>
      </c>
      <c r="B849" t="str">
        <f>VLOOKUP($A849,[1]LISTA!$B:$C,2,0)</f>
        <v>OCTUBRE</v>
      </c>
      <c r="C849" s="1">
        <v>2025</v>
      </c>
      <c r="D849" s="1" t="str">
        <f>IF($A849&lt;=[1]RESULTADOS!$D$6,"YTD","YTG")</f>
        <v>YTG</v>
      </c>
      <c r="E849" t="s">
        <v>17</v>
      </c>
      <c r="F849" t="s">
        <v>18</v>
      </c>
      <c r="G849" t="s">
        <v>339</v>
      </c>
      <c r="H849" t="s">
        <v>571</v>
      </c>
      <c r="I849" t="s">
        <v>21</v>
      </c>
      <c r="J849" t="str">
        <f>IFERROR(VLOOKUP(I849,[1]AUTOS!$C:$G,2,0),"")</f>
        <v/>
      </c>
      <c r="K849" t="str">
        <f>IFERROR(VLOOKUP(I849,[1]AUTOS!$C:$G,3,0),"")</f>
        <v/>
      </c>
      <c r="L849" t="str">
        <f>IFERROR(VLOOKUP(I849,[1]AUTOS!$C:$G,4,0),"")</f>
        <v/>
      </c>
      <c r="M849" t="s">
        <v>22</v>
      </c>
      <c r="P849" s="3">
        <v>-100</v>
      </c>
    </row>
    <row r="850" spans="1:16" x14ac:dyDescent="0.3">
      <c r="A850">
        <v>40</v>
      </c>
      <c r="B850" t="str">
        <f>VLOOKUP($A850,[1]LISTA!$B:$C,2,0)</f>
        <v>OCTUBRE</v>
      </c>
      <c r="C850" s="1">
        <v>2025</v>
      </c>
      <c r="D850" s="1" t="str">
        <f>IF($A850&lt;=[1]RESULTADOS!$D$6,"YTD","YTG")</f>
        <v>YTG</v>
      </c>
      <c r="E850" t="s">
        <v>403</v>
      </c>
      <c r="F850" t="s">
        <v>18</v>
      </c>
      <c r="G850" t="s">
        <v>339</v>
      </c>
      <c r="H850" t="s">
        <v>572</v>
      </c>
      <c r="I850" t="s">
        <v>72</v>
      </c>
      <c r="J850" t="str">
        <f>IFERROR(VLOOKUP(I850,[1]AUTOS!$C:$G,2,0),"")</f>
        <v>VENTO</v>
      </c>
      <c r="K850">
        <f>IFERROR(VLOOKUP(I850,[1]AUTOS!$C:$G,3,0),"")</f>
        <v>2020</v>
      </c>
      <c r="L850" t="str">
        <f>IFERROR(VLOOKUP(I850,[1]AUTOS!$C:$G,4,0),"")</f>
        <v>GRIS</v>
      </c>
      <c r="M850" t="s">
        <v>43</v>
      </c>
      <c r="P850" s="3">
        <v>-417</v>
      </c>
    </row>
    <row r="851" spans="1:16" hidden="1" x14ac:dyDescent="0.3">
      <c r="A851">
        <v>40</v>
      </c>
      <c r="B851" t="str">
        <f>VLOOKUP($A851,[1]LISTA!$B:$C,2,0)</f>
        <v>OCTUBRE</v>
      </c>
      <c r="C851" s="1">
        <v>2025</v>
      </c>
      <c r="D851" s="1" t="str">
        <f>IF($A851&lt;=[1]RESULTADOS!$D$6,"YTD","YTG")</f>
        <v>YTG</v>
      </c>
      <c r="E851" t="s">
        <v>17</v>
      </c>
      <c r="F851" t="s">
        <v>18</v>
      </c>
      <c r="G851" t="s">
        <v>69</v>
      </c>
      <c r="H851" t="s">
        <v>573</v>
      </c>
      <c r="I851" t="s">
        <v>21</v>
      </c>
      <c r="J851" t="str">
        <f>IFERROR(VLOOKUP(I851,[1]AUTOS!$C:$G,2,0),"")</f>
        <v/>
      </c>
      <c r="K851" t="str">
        <f>IFERROR(VLOOKUP(I851,[1]AUTOS!$C:$G,3,0),"")</f>
        <v/>
      </c>
      <c r="L851" t="str">
        <f>IFERROR(VLOOKUP(I851,[1]AUTOS!$C:$G,4,0),"")</f>
        <v/>
      </c>
      <c r="M851" t="s">
        <v>22</v>
      </c>
      <c r="P851" s="3">
        <v>-100</v>
      </c>
    </row>
    <row r="852" spans="1:16" hidden="1" x14ac:dyDescent="0.3">
      <c r="A852">
        <v>40</v>
      </c>
      <c r="B852" t="str">
        <f>VLOOKUP($A852,[1]LISTA!$B:$C,2,0)</f>
        <v>OCTUBRE</v>
      </c>
      <c r="C852" s="1">
        <v>2025</v>
      </c>
      <c r="D852" s="1" t="str">
        <f>IF($A852&lt;=[1]RESULTADOS!$D$6,"YTD","YTG")</f>
        <v>YTG</v>
      </c>
      <c r="E852" t="s">
        <v>574</v>
      </c>
      <c r="F852" t="s">
        <v>18</v>
      </c>
      <c r="G852" t="s">
        <v>29</v>
      </c>
      <c r="H852" t="s">
        <v>575</v>
      </c>
      <c r="I852" t="s">
        <v>333</v>
      </c>
      <c r="J852" t="str">
        <f>IFERROR(VLOOKUP(I852,[1]AUTOS!$C:$G,2,0),"")</f>
        <v>BEAT</v>
      </c>
      <c r="K852">
        <f>IFERROR(VLOOKUP(I852,[1]AUTOS!$C:$G,3,0),"")</f>
        <v>2019</v>
      </c>
      <c r="L852" t="str">
        <f>IFERROR(VLOOKUP(I852,[1]AUTOS!$C:$G,4,0),"")</f>
        <v>OCRE</v>
      </c>
      <c r="M852" t="s">
        <v>43</v>
      </c>
      <c r="P852" s="3">
        <v>-200</v>
      </c>
    </row>
    <row r="853" spans="1:16" hidden="1" x14ac:dyDescent="0.3">
      <c r="A853">
        <v>40</v>
      </c>
      <c r="B853" t="str">
        <f>VLOOKUP($A853,[1]LISTA!$B:$C,2,0)</f>
        <v>OCTUBRE</v>
      </c>
      <c r="C853" s="1">
        <v>2025</v>
      </c>
      <c r="D853" s="1" t="str">
        <f>IF($A853&lt;=[1]RESULTADOS!$D$6,"YTD","YTG")</f>
        <v>YTG</v>
      </c>
      <c r="E853" t="s">
        <v>17</v>
      </c>
      <c r="F853" t="s">
        <v>18</v>
      </c>
      <c r="G853" t="s">
        <v>23</v>
      </c>
      <c r="H853" t="s">
        <v>576</v>
      </c>
      <c r="I853" t="s">
        <v>21</v>
      </c>
      <c r="J853" t="str">
        <f>IFERROR(VLOOKUP(I853,[1]AUTOS!$C:$G,2,0),"")</f>
        <v/>
      </c>
      <c r="K853" t="str">
        <f>IFERROR(VLOOKUP(I853,[1]AUTOS!$C:$G,3,0),"")</f>
        <v/>
      </c>
      <c r="L853" t="str">
        <f>IFERROR(VLOOKUP(I853,[1]AUTOS!$C:$G,4,0),"")</f>
        <v/>
      </c>
      <c r="M853" t="s">
        <v>22</v>
      </c>
      <c r="P853" s="3">
        <v>-30</v>
      </c>
    </row>
    <row r="854" spans="1:16" hidden="1" x14ac:dyDescent="0.3">
      <c r="A854">
        <v>40</v>
      </c>
      <c r="B854" t="str">
        <f>VLOOKUP($A854,[1]LISTA!$B:$C,2,0)</f>
        <v>OCTUBRE</v>
      </c>
      <c r="C854" s="1">
        <v>2025</v>
      </c>
      <c r="D854" s="1" t="str">
        <f>IF($A854&lt;=[1]RESULTADOS!$D$6,"YTD","YTG")</f>
        <v>YTG</v>
      </c>
      <c r="E854" t="s">
        <v>17</v>
      </c>
      <c r="F854" t="s">
        <v>18</v>
      </c>
      <c r="G854" t="s">
        <v>38</v>
      </c>
      <c r="H854" t="s">
        <v>577</v>
      </c>
      <c r="I854" t="s">
        <v>578</v>
      </c>
      <c r="J854" t="str">
        <f>IFERROR(VLOOKUP(I854,[1]AUTOS!$C:$G,2,0),"")</f>
        <v/>
      </c>
      <c r="K854" t="str">
        <f>IFERROR(VLOOKUP(I854,[1]AUTOS!$C:$G,3,0),"")</f>
        <v/>
      </c>
      <c r="L854" t="str">
        <f>IFERROR(VLOOKUP(I854,[1]AUTOS!$C:$G,4,0),"")</f>
        <v/>
      </c>
      <c r="M854" t="s">
        <v>22</v>
      </c>
      <c r="P854" s="3">
        <v>-720</v>
      </c>
    </row>
    <row r="855" spans="1:16" hidden="1" x14ac:dyDescent="0.3">
      <c r="A855">
        <v>40</v>
      </c>
      <c r="B855" t="str">
        <f>VLOOKUP($A855,[1]LISTA!$B:$C,2,0)</f>
        <v>OCTUBRE</v>
      </c>
      <c r="C855" s="1">
        <v>2025</v>
      </c>
      <c r="D855" s="1" t="str">
        <f>IF($A855&lt;=[1]RESULTADOS!$D$6,"YTD","YTG")</f>
        <v>YTG</v>
      </c>
      <c r="E855" t="s">
        <v>17</v>
      </c>
      <c r="F855" t="s">
        <v>18</v>
      </c>
      <c r="G855" t="s">
        <v>57</v>
      </c>
      <c r="H855" t="s">
        <v>579</v>
      </c>
      <c r="I855" t="s">
        <v>578</v>
      </c>
      <c r="J855" t="str">
        <f>IFERROR(VLOOKUP(I855,[1]AUTOS!$C:$G,2,0),"")</f>
        <v/>
      </c>
      <c r="K855" t="str">
        <f>IFERROR(VLOOKUP(I855,[1]AUTOS!$C:$G,3,0),"")</f>
        <v/>
      </c>
      <c r="L855" t="str">
        <f>IFERROR(VLOOKUP(I855,[1]AUTOS!$C:$G,4,0),"")</f>
        <v/>
      </c>
      <c r="M855" t="s">
        <v>22</v>
      </c>
      <c r="P855" s="3">
        <v>-1263</v>
      </c>
    </row>
    <row r="856" spans="1:16" hidden="1" x14ac:dyDescent="0.3">
      <c r="A856">
        <v>40</v>
      </c>
      <c r="B856" t="str">
        <f>VLOOKUP($A856,[1]LISTA!$B:$C,2,0)</f>
        <v>OCTUBRE</v>
      </c>
      <c r="C856" s="1">
        <v>2025</v>
      </c>
      <c r="D856" s="1" t="str">
        <f>IF($A856&lt;=[1]RESULTADOS!$D$6,"YTD","YTG")</f>
        <v>YTG</v>
      </c>
      <c r="E856" t="s">
        <v>17</v>
      </c>
      <c r="F856" t="s">
        <v>18</v>
      </c>
      <c r="G856" t="s">
        <v>38</v>
      </c>
      <c r="H856" t="s">
        <v>580</v>
      </c>
      <c r="I856" t="s">
        <v>578</v>
      </c>
      <c r="J856" t="str">
        <f>IFERROR(VLOOKUP(I856,[1]AUTOS!$C:$G,2,0),"")</f>
        <v/>
      </c>
      <c r="K856" t="str">
        <f>IFERROR(VLOOKUP(I856,[1]AUTOS!$C:$G,3,0),"")</f>
        <v/>
      </c>
      <c r="L856" t="str">
        <f>IFERROR(VLOOKUP(I856,[1]AUTOS!$C:$G,4,0),"")</f>
        <v/>
      </c>
      <c r="M856" t="s">
        <v>22</v>
      </c>
      <c r="P856" s="3">
        <v>-2338</v>
      </c>
    </row>
    <row r="857" spans="1:16" hidden="1" x14ac:dyDescent="0.3">
      <c r="A857">
        <v>40</v>
      </c>
      <c r="B857" t="str">
        <f>VLOOKUP($A857,[1]LISTA!$B:$C,2,0)</f>
        <v>OCTUBRE</v>
      </c>
      <c r="C857" s="1">
        <v>2025</v>
      </c>
      <c r="D857" s="1" t="str">
        <f>IF($A857&lt;=[1]RESULTADOS!$D$6,"YTD","YTG")</f>
        <v>YTG</v>
      </c>
      <c r="E857" t="s">
        <v>17</v>
      </c>
      <c r="F857" t="s">
        <v>18</v>
      </c>
      <c r="G857" t="s">
        <v>38</v>
      </c>
      <c r="H857" t="s">
        <v>581</v>
      </c>
      <c r="I857" t="s">
        <v>578</v>
      </c>
      <c r="J857" t="str">
        <f>IFERROR(VLOOKUP(I857,[1]AUTOS!$C:$G,2,0),"")</f>
        <v/>
      </c>
      <c r="K857" t="str">
        <f>IFERROR(VLOOKUP(I857,[1]AUTOS!$C:$G,3,0),"")</f>
        <v/>
      </c>
      <c r="L857" t="str">
        <f>IFERROR(VLOOKUP(I857,[1]AUTOS!$C:$G,4,0),"")</f>
        <v/>
      </c>
      <c r="M857" t="s">
        <v>22</v>
      </c>
      <c r="P857" s="3">
        <v>-3931</v>
      </c>
    </row>
    <row r="858" spans="1:16" hidden="1" x14ac:dyDescent="0.3">
      <c r="A858">
        <v>40</v>
      </c>
      <c r="B858" t="str">
        <f>VLOOKUP($A858,[1]LISTA!$B:$C,2,0)</f>
        <v>OCTUBRE</v>
      </c>
      <c r="C858" s="1">
        <v>2025</v>
      </c>
      <c r="D858" s="1" t="str">
        <f>IF($A858&lt;=[1]RESULTADOS!$D$6,"YTD","YTG")</f>
        <v>YTG</v>
      </c>
      <c r="E858" t="s">
        <v>496</v>
      </c>
      <c r="F858" t="s">
        <v>18</v>
      </c>
      <c r="G858" t="s">
        <v>142</v>
      </c>
      <c r="H858" t="s">
        <v>143</v>
      </c>
      <c r="I858" t="s">
        <v>547</v>
      </c>
      <c r="J858" t="str">
        <f>IFERROR(VLOOKUP(I858,[1]AUTOS!$C:$G,2,0),"")</f>
        <v>AVEO</v>
      </c>
      <c r="K858">
        <f>IFERROR(VLOOKUP(I858,[1]AUTOS!$C:$G,3,0),"")</f>
        <v>2022</v>
      </c>
      <c r="L858" t="str">
        <f>IFERROR(VLOOKUP(I858,[1]AUTOS!$C:$G,4,0),"")</f>
        <v>VINO</v>
      </c>
      <c r="M858" t="s">
        <v>43</v>
      </c>
      <c r="P858" s="3">
        <v>-5500</v>
      </c>
    </row>
    <row r="859" spans="1:16" hidden="1" x14ac:dyDescent="0.3">
      <c r="A859">
        <v>40</v>
      </c>
      <c r="B859" t="str">
        <f>VLOOKUP($A859,[1]LISTA!$B:$C,2,0)</f>
        <v>OCTUBRE</v>
      </c>
      <c r="C859" s="1">
        <v>2025</v>
      </c>
      <c r="D859" s="1" t="str">
        <f>IF($A859&lt;=[1]RESULTADOS!$D$6,"YTD","YTG")</f>
        <v>YTG</v>
      </c>
      <c r="E859" t="s">
        <v>17</v>
      </c>
      <c r="F859" t="s">
        <v>18</v>
      </c>
      <c r="G859" t="s">
        <v>141</v>
      </c>
      <c r="H859" t="s">
        <v>544</v>
      </c>
      <c r="I859" t="s">
        <v>37</v>
      </c>
      <c r="J859" t="str">
        <f>IFERROR(VLOOKUP(I859,[1]AUTOS!$C:$G,2,0),"")</f>
        <v>BEAT</v>
      </c>
      <c r="K859">
        <f>IFERROR(VLOOKUP(I859,[1]AUTOS!$C:$G,3,0),"")</f>
        <v>2020</v>
      </c>
      <c r="L859" t="str">
        <f>IFERROR(VLOOKUP(I859,[1]AUTOS!$C:$G,4,0),"")</f>
        <v>GRIS</v>
      </c>
      <c r="M859" t="s">
        <v>35</v>
      </c>
      <c r="P859" s="3">
        <v>-1478</v>
      </c>
    </row>
    <row r="860" spans="1:16" hidden="1" x14ac:dyDescent="0.3">
      <c r="A860">
        <v>40</v>
      </c>
      <c r="B860" t="str">
        <f>VLOOKUP($A860,[1]LISTA!$B:$C,2,0)</f>
        <v>OCTUBRE</v>
      </c>
      <c r="C860" s="1">
        <v>2025</v>
      </c>
      <c r="D860" s="1" t="str">
        <f>IF($A860&lt;=[1]RESULTADOS!$D$6,"YTD","YTG")</f>
        <v>YTG</v>
      </c>
      <c r="E860" t="s">
        <v>17</v>
      </c>
      <c r="F860" t="s">
        <v>18</v>
      </c>
      <c r="G860" t="s">
        <v>29</v>
      </c>
      <c r="H860" t="s">
        <v>582</v>
      </c>
      <c r="I860" t="s">
        <v>21</v>
      </c>
      <c r="J860" t="str">
        <f>IFERROR(VLOOKUP(I860,[1]AUTOS!$C:$G,2,0),"")</f>
        <v/>
      </c>
      <c r="K860" t="str">
        <f>IFERROR(VLOOKUP(I860,[1]AUTOS!$C:$G,3,0),"")</f>
        <v/>
      </c>
      <c r="L860" t="str">
        <f>IFERROR(VLOOKUP(I860,[1]AUTOS!$C:$G,4,0),"")</f>
        <v/>
      </c>
      <c r="M860" t="s">
        <v>22</v>
      </c>
      <c r="P860" s="3">
        <v>-200</v>
      </c>
    </row>
    <row r="861" spans="1:16" hidden="1" x14ac:dyDescent="0.3">
      <c r="A861">
        <v>40</v>
      </c>
      <c r="B861" t="str">
        <f>VLOOKUP($A861,[1]LISTA!$B:$C,2,0)</f>
        <v>OCTUBRE</v>
      </c>
      <c r="C861" s="1">
        <v>2025</v>
      </c>
      <c r="D861" s="1" t="str">
        <f>IF($A861&lt;=[1]RESULTADOS!$D$6,"YTD","YTG")</f>
        <v>YTG</v>
      </c>
      <c r="E861" t="s">
        <v>17</v>
      </c>
      <c r="F861" t="s">
        <v>18</v>
      </c>
      <c r="G861" t="s">
        <v>57</v>
      </c>
      <c r="H861" t="s">
        <v>583</v>
      </c>
      <c r="I861" t="s">
        <v>578</v>
      </c>
      <c r="J861" t="str">
        <f>IFERROR(VLOOKUP(I861,[1]AUTOS!$C:$G,2,0),"")</f>
        <v/>
      </c>
      <c r="K861" t="str">
        <f>IFERROR(VLOOKUP(I861,[1]AUTOS!$C:$G,3,0),"")</f>
        <v/>
      </c>
      <c r="L861" t="str">
        <f>IFERROR(VLOOKUP(I861,[1]AUTOS!$C:$G,4,0),"")</f>
        <v/>
      </c>
      <c r="M861" t="s">
        <v>22</v>
      </c>
      <c r="P861" s="3">
        <v>-3931</v>
      </c>
    </row>
    <row r="862" spans="1:16" hidden="1" x14ac:dyDescent="0.3">
      <c r="A862">
        <v>41</v>
      </c>
      <c r="B862" t="str">
        <f>VLOOKUP($A862,[1]LISTA!$B:$C,2,0)</f>
        <v>OCTUBRE</v>
      </c>
      <c r="C862" s="1">
        <v>2025</v>
      </c>
      <c r="D862" s="1" t="str">
        <f>IF($A862&lt;=[1]RESULTADOS!$D$6,"YTD","YTG")</f>
        <v>YTG</v>
      </c>
      <c r="E862" t="s">
        <v>17</v>
      </c>
      <c r="F862" t="s">
        <v>18</v>
      </c>
      <c r="G862" t="s">
        <v>38</v>
      </c>
      <c r="H862" t="s">
        <v>584</v>
      </c>
      <c r="I862" t="s">
        <v>578</v>
      </c>
      <c r="J862" t="str">
        <f>IFERROR(VLOOKUP(I862,[1]AUTOS!$C:$G,2,0),"")</f>
        <v/>
      </c>
      <c r="K862" t="str">
        <f>IFERROR(VLOOKUP(I862,[1]AUTOS!$C:$G,3,0),"")</f>
        <v/>
      </c>
      <c r="L862" t="str">
        <f>IFERROR(VLOOKUP(I862,[1]AUTOS!$C:$G,4,0),"")</f>
        <v/>
      </c>
      <c r="M862" t="s">
        <v>22</v>
      </c>
      <c r="P862" s="3">
        <v>-760</v>
      </c>
    </row>
    <row r="863" spans="1:16" hidden="1" x14ac:dyDescent="0.3">
      <c r="A863">
        <v>41</v>
      </c>
      <c r="B863" t="str">
        <f>VLOOKUP($A863,[1]LISTA!$B:$C,2,0)</f>
        <v>OCTUBRE</v>
      </c>
      <c r="C863" s="1">
        <v>2025</v>
      </c>
      <c r="D863" s="1" t="str">
        <f>IF($A863&lt;=[1]RESULTADOS!$D$6,"YTD","YTG")</f>
        <v>YTG</v>
      </c>
      <c r="E863" t="s">
        <v>17</v>
      </c>
      <c r="F863" t="s">
        <v>18</v>
      </c>
      <c r="G863" t="s">
        <v>57</v>
      </c>
      <c r="H863" t="s">
        <v>585</v>
      </c>
      <c r="I863" t="s">
        <v>37</v>
      </c>
      <c r="J863" t="str">
        <f>IFERROR(VLOOKUP(I863,[1]AUTOS!$C:$G,2,0),"")</f>
        <v>BEAT</v>
      </c>
      <c r="K863">
        <f>IFERROR(VLOOKUP(I863,[1]AUTOS!$C:$G,3,0),"")</f>
        <v>2020</v>
      </c>
      <c r="L863" t="str">
        <f>IFERROR(VLOOKUP(I863,[1]AUTOS!$C:$G,4,0),"")</f>
        <v>GRIS</v>
      </c>
      <c r="M863" t="s">
        <v>35</v>
      </c>
      <c r="P863" s="3">
        <v>-250</v>
      </c>
    </row>
    <row r="864" spans="1:16" hidden="1" x14ac:dyDescent="0.3">
      <c r="A864">
        <v>41</v>
      </c>
      <c r="B864" t="str">
        <f>VLOOKUP($A864,[1]LISTA!$B:$C,2,0)</f>
        <v>OCTUBRE</v>
      </c>
      <c r="C864" s="1">
        <v>2025</v>
      </c>
      <c r="D864" s="1" t="str">
        <f>IF($A864&lt;=[1]RESULTADOS!$D$6,"YTD","YTG")</f>
        <v>YTG</v>
      </c>
      <c r="E864" t="s">
        <v>17</v>
      </c>
      <c r="F864" t="s">
        <v>18</v>
      </c>
      <c r="G864" t="s">
        <v>57</v>
      </c>
      <c r="H864" t="s">
        <v>586</v>
      </c>
      <c r="I864" t="s">
        <v>37</v>
      </c>
      <c r="J864" t="str">
        <f>IFERROR(VLOOKUP(I864,[1]AUTOS!$C:$G,2,0),"")</f>
        <v>BEAT</v>
      </c>
      <c r="K864">
        <f>IFERROR(VLOOKUP(I864,[1]AUTOS!$C:$G,3,0),"")</f>
        <v>2020</v>
      </c>
      <c r="L864" t="str">
        <f>IFERROR(VLOOKUP(I864,[1]AUTOS!$C:$G,4,0),"")</f>
        <v>GRIS</v>
      </c>
      <c r="M864" t="s">
        <v>35</v>
      </c>
      <c r="P864" s="3">
        <v>-100</v>
      </c>
    </row>
    <row r="865" spans="1:16" hidden="1" x14ac:dyDescent="0.3">
      <c r="A865">
        <v>41</v>
      </c>
      <c r="B865" t="str">
        <f>VLOOKUP($A865,[1]LISTA!$B:$C,2,0)</f>
        <v>OCTUBRE</v>
      </c>
      <c r="C865" s="1">
        <v>2025</v>
      </c>
      <c r="D865" s="1" t="str">
        <f>IF($A865&lt;=[1]RESULTADOS!$D$6,"YTD","YTG")</f>
        <v>YTG</v>
      </c>
      <c r="E865" t="s">
        <v>497</v>
      </c>
      <c r="F865" t="s">
        <v>18</v>
      </c>
      <c r="G865" t="s">
        <v>29</v>
      </c>
      <c r="H865" t="s">
        <v>587</v>
      </c>
      <c r="I865" t="s">
        <v>313</v>
      </c>
      <c r="J865" t="str">
        <f>IFERROR(VLOOKUP(I865,[1]AUTOS!$C:$G,2,0),"")</f>
        <v>MARCH</v>
      </c>
      <c r="K865">
        <f>IFERROR(VLOOKUP(I865,[1]AUTOS!$C:$G,3,0),"")</f>
        <v>2019</v>
      </c>
      <c r="L865" t="str">
        <f>IFERROR(VLOOKUP(I865,[1]AUTOS!$C:$G,4,0),"")</f>
        <v>TURQ</v>
      </c>
      <c r="M865" t="s">
        <v>140</v>
      </c>
      <c r="P865" s="3">
        <v>-729</v>
      </c>
    </row>
    <row r="866" spans="1:16" hidden="1" x14ac:dyDescent="0.3">
      <c r="A866">
        <v>41</v>
      </c>
      <c r="B866" t="str">
        <f>VLOOKUP($A866,[1]LISTA!$B:$C,2,0)</f>
        <v>OCTUBRE</v>
      </c>
      <c r="C866" s="1">
        <v>2025</v>
      </c>
      <c r="D866" s="1" t="str">
        <f>IF($A866&lt;=[1]RESULTADOS!$D$6,"YTD","YTG")</f>
        <v>YTG</v>
      </c>
      <c r="E866" t="s">
        <v>497</v>
      </c>
      <c r="F866" t="s">
        <v>18</v>
      </c>
      <c r="G866" t="s">
        <v>147</v>
      </c>
      <c r="H866" t="s">
        <v>588</v>
      </c>
      <c r="I866" t="s">
        <v>313</v>
      </c>
      <c r="J866" t="str">
        <f>IFERROR(VLOOKUP(I866,[1]AUTOS!$C:$G,2,0),"")</f>
        <v>MARCH</v>
      </c>
      <c r="K866">
        <f>IFERROR(VLOOKUP(I866,[1]AUTOS!$C:$G,3,0),"")</f>
        <v>2019</v>
      </c>
      <c r="L866" t="str">
        <f>IFERROR(VLOOKUP(I866,[1]AUTOS!$C:$G,4,0),"")</f>
        <v>TURQ</v>
      </c>
      <c r="M866" t="s">
        <v>140</v>
      </c>
      <c r="P866" s="3">
        <v>-10</v>
      </c>
    </row>
    <row r="867" spans="1:16" hidden="1" x14ac:dyDescent="0.3">
      <c r="A867">
        <v>41</v>
      </c>
      <c r="B867" t="str">
        <f>VLOOKUP($A867,[1]LISTA!$B:$C,2,0)</f>
        <v>OCTUBRE</v>
      </c>
      <c r="C867" s="1">
        <v>2025</v>
      </c>
      <c r="D867" s="1" t="str">
        <f>IF($A867&lt;=[1]RESULTADOS!$D$6,"YTD","YTG")</f>
        <v>YTG</v>
      </c>
      <c r="E867" t="s">
        <v>486</v>
      </c>
      <c r="F867" t="s">
        <v>18</v>
      </c>
      <c r="G867" t="s">
        <v>57</v>
      </c>
      <c r="H867" t="s">
        <v>503</v>
      </c>
      <c r="I867" t="s">
        <v>34</v>
      </c>
      <c r="J867" t="str">
        <f>IFERROR(VLOOKUP(I867,[1]AUTOS!$C:$G,2,0),"")</f>
        <v>AVEO</v>
      </c>
      <c r="K867">
        <f>IFERROR(VLOOKUP(I867,[1]AUTOS!$C:$G,3,0),"")</f>
        <v>2018</v>
      </c>
      <c r="L867" t="str">
        <f>IFERROR(VLOOKUP(I867,[1]AUTOS!$C:$G,4,0),"")</f>
        <v>ROJO</v>
      </c>
      <c r="M867" t="s">
        <v>35</v>
      </c>
      <c r="P867" s="3">
        <v>-550</v>
      </c>
    </row>
    <row r="868" spans="1:16" hidden="1" x14ac:dyDescent="0.3">
      <c r="A868">
        <v>41</v>
      </c>
      <c r="B868" t="str">
        <f>VLOOKUP($A868,[1]LISTA!$B:$C,2,0)</f>
        <v>OCTUBRE</v>
      </c>
      <c r="C868" s="1">
        <v>2025</v>
      </c>
      <c r="D868" s="1" t="str">
        <f>IF($A868&lt;=[1]RESULTADOS!$D$6,"YTD","YTG")</f>
        <v>YTG</v>
      </c>
      <c r="E868" t="s">
        <v>486</v>
      </c>
      <c r="F868" t="s">
        <v>18</v>
      </c>
      <c r="G868" t="s">
        <v>38</v>
      </c>
      <c r="H868" t="s">
        <v>538</v>
      </c>
      <c r="I868" t="s">
        <v>34</v>
      </c>
      <c r="J868" t="str">
        <f>IFERROR(VLOOKUP(I868,[1]AUTOS!$C:$G,2,0),"")</f>
        <v>AVEO</v>
      </c>
      <c r="K868">
        <f>IFERROR(VLOOKUP(I868,[1]AUTOS!$C:$G,3,0),"")</f>
        <v>2018</v>
      </c>
      <c r="L868" t="str">
        <f>IFERROR(VLOOKUP(I868,[1]AUTOS!$C:$G,4,0),"")</f>
        <v>ROJO</v>
      </c>
      <c r="M868" t="s">
        <v>35</v>
      </c>
      <c r="P868" s="3">
        <v>-40</v>
      </c>
    </row>
    <row r="869" spans="1:16" hidden="1" x14ac:dyDescent="0.3">
      <c r="A869">
        <v>41</v>
      </c>
      <c r="B869" t="str">
        <f>VLOOKUP($A869,[1]LISTA!$B:$C,2,0)</f>
        <v>OCTUBRE</v>
      </c>
      <c r="C869" s="1">
        <v>2025</v>
      </c>
      <c r="D869" s="1" t="str">
        <f>IF($A869&lt;=[1]RESULTADOS!$D$6,"YTD","YTG")</f>
        <v>YTG</v>
      </c>
      <c r="E869" t="s">
        <v>17</v>
      </c>
      <c r="F869" t="s">
        <v>18</v>
      </c>
      <c r="G869" t="s">
        <v>57</v>
      </c>
      <c r="H869" t="s">
        <v>589</v>
      </c>
      <c r="I869" t="s">
        <v>37</v>
      </c>
      <c r="J869" t="str">
        <f>IFERROR(VLOOKUP(I869,[1]AUTOS!$C:$G,2,0),"")</f>
        <v>BEAT</v>
      </c>
      <c r="K869">
        <f>IFERROR(VLOOKUP(I869,[1]AUTOS!$C:$G,3,0),"")</f>
        <v>2020</v>
      </c>
      <c r="L869" t="str">
        <f>IFERROR(VLOOKUP(I869,[1]AUTOS!$C:$G,4,0),"")</f>
        <v>GRIS</v>
      </c>
      <c r="M869" t="s">
        <v>35</v>
      </c>
      <c r="P869" s="3">
        <v>-586</v>
      </c>
    </row>
    <row r="870" spans="1:16" hidden="1" x14ac:dyDescent="0.3">
      <c r="A870">
        <v>41</v>
      </c>
      <c r="B870" t="str">
        <f>VLOOKUP($A870,[1]LISTA!$B:$C,2,0)</f>
        <v>OCTUBRE</v>
      </c>
      <c r="C870" s="1">
        <v>2025</v>
      </c>
      <c r="D870" s="1" t="str">
        <f>IF($A870&lt;=[1]RESULTADOS!$D$6,"YTD","YTG")</f>
        <v>YTG</v>
      </c>
      <c r="E870" t="s">
        <v>486</v>
      </c>
      <c r="F870" t="s">
        <v>18</v>
      </c>
      <c r="G870" t="s">
        <v>38</v>
      </c>
      <c r="H870" t="s">
        <v>193</v>
      </c>
      <c r="I870" t="s">
        <v>34</v>
      </c>
      <c r="J870" t="str">
        <f>IFERROR(VLOOKUP(I870,[1]AUTOS!$C:$G,2,0),"")</f>
        <v>AVEO</v>
      </c>
      <c r="K870">
        <f>IFERROR(VLOOKUP(I870,[1]AUTOS!$C:$G,3,0),"")</f>
        <v>2018</v>
      </c>
      <c r="L870" t="str">
        <f>IFERROR(VLOOKUP(I870,[1]AUTOS!$C:$G,4,0),"")</f>
        <v>ROJO</v>
      </c>
      <c r="M870" t="s">
        <v>35</v>
      </c>
      <c r="P870" s="3">
        <v>-49</v>
      </c>
    </row>
    <row r="871" spans="1:16" hidden="1" x14ac:dyDescent="0.3">
      <c r="A871">
        <v>41</v>
      </c>
      <c r="B871" t="str">
        <f>VLOOKUP($A871,[1]LISTA!$B:$C,2,0)</f>
        <v>OCTUBRE</v>
      </c>
      <c r="C871" s="1">
        <v>2025</v>
      </c>
      <c r="D871" s="1" t="str">
        <f>IF($A871&lt;=[1]RESULTADOS!$D$6,"YTD","YTG")</f>
        <v>YTG</v>
      </c>
      <c r="E871" t="s">
        <v>486</v>
      </c>
      <c r="F871" t="s">
        <v>18</v>
      </c>
      <c r="G871" t="s">
        <v>38</v>
      </c>
      <c r="H871" t="s">
        <v>310</v>
      </c>
      <c r="I871" t="s">
        <v>34</v>
      </c>
      <c r="J871" t="str">
        <f>IFERROR(VLOOKUP(I871,[1]AUTOS!$C:$G,2,0),"")</f>
        <v>AVEO</v>
      </c>
      <c r="K871">
        <f>IFERROR(VLOOKUP(I871,[1]AUTOS!$C:$G,3,0),"")</f>
        <v>2018</v>
      </c>
      <c r="L871" t="str">
        <f>IFERROR(VLOOKUP(I871,[1]AUTOS!$C:$G,4,0),"")</f>
        <v>ROJO</v>
      </c>
      <c r="M871" t="s">
        <v>35</v>
      </c>
      <c r="P871" s="3">
        <v>-314</v>
      </c>
    </row>
    <row r="872" spans="1:16" hidden="1" x14ac:dyDescent="0.3">
      <c r="A872">
        <v>41</v>
      </c>
      <c r="B872" t="str">
        <f>VLOOKUP($A872,[1]LISTA!$B:$C,2,0)</f>
        <v>OCTUBRE</v>
      </c>
      <c r="C872" s="1">
        <v>2025</v>
      </c>
      <c r="D872" s="1" t="str">
        <f>IF($A872&lt;=[1]RESULTADOS!$D$6,"YTD","YTG")</f>
        <v>YTG</v>
      </c>
      <c r="E872" t="s">
        <v>17</v>
      </c>
      <c r="F872" t="s">
        <v>18</v>
      </c>
      <c r="G872" t="s">
        <v>176</v>
      </c>
      <c r="H872" t="s">
        <v>590</v>
      </c>
      <c r="I872" t="s">
        <v>21</v>
      </c>
      <c r="J872" t="str">
        <f>IFERROR(VLOOKUP(I872,[1]AUTOS!$C:$G,2,0),"")</f>
        <v/>
      </c>
      <c r="K872" t="str">
        <f>IFERROR(VLOOKUP(I872,[1]AUTOS!$C:$G,3,0),"")</f>
        <v/>
      </c>
      <c r="L872" t="str">
        <f>IFERROR(VLOOKUP(I872,[1]AUTOS!$C:$G,4,0),"")</f>
        <v/>
      </c>
      <c r="M872" t="s">
        <v>22</v>
      </c>
      <c r="P872" s="3">
        <v>-40</v>
      </c>
    </row>
    <row r="873" spans="1:16" hidden="1" x14ac:dyDescent="0.3">
      <c r="A873">
        <v>41</v>
      </c>
      <c r="B873" t="str">
        <f>VLOOKUP($A873,[1]LISTA!$B:$C,2,0)</f>
        <v>OCTUBRE</v>
      </c>
      <c r="C873" s="1">
        <v>2025</v>
      </c>
      <c r="D873" s="1" t="str">
        <f>IF($A873&lt;=[1]RESULTADOS!$D$6,"YTD","YTG")</f>
        <v>YTG</v>
      </c>
      <c r="E873" t="s">
        <v>17</v>
      </c>
      <c r="F873" t="s">
        <v>18</v>
      </c>
      <c r="G873" t="s">
        <v>176</v>
      </c>
      <c r="H873" t="s">
        <v>591</v>
      </c>
      <c r="I873" t="s">
        <v>21</v>
      </c>
      <c r="J873" t="str">
        <f>IFERROR(VLOOKUP(I873,[1]AUTOS!$C:$G,2,0),"")</f>
        <v/>
      </c>
      <c r="K873" t="str">
        <f>IFERROR(VLOOKUP(I873,[1]AUTOS!$C:$G,3,0),"")</f>
        <v/>
      </c>
      <c r="L873" t="str">
        <f>IFERROR(VLOOKUP(I873,[1]AUTOS!$C:$G,4,0),"")</f>
        <v/>
      </c>
      <c r="M873" t="s">
        <v>22</v>
      </c>
      <c r="P873" s="3">
        <v>-60</v>
      </c>
    </row>
    <row r="874" spans="1:16" hidden="1" x14ac:dyDescent="0.3">
      <c r="A874">
        <v>41</v>
      </c>
      <c r="B874" t="str">
        <f>VLOOKUP($A874,[1]LISTA!$B:$C,2,0)</f>
        <v>OCTUBRE</v>
      </c>
      <c r="C874" s="1">
        <v>2025</v>
      </c>
      <c r="D874" s="1" t="str">
        <f>IF($A874&lt;=[1]RESULTADOS!$D$6,"YTD","YTG")</f>
        <v>YTG</v>
      </c>
      <c r="E874" t="s">
        <v>17</v>
      </c>
      <c r="F874" t="s">
        <v>18</v>
      </c>
      <c r="G874" t="s">
        <v>38</v>
      </c>
      <c r="H874" t="s">
        <v>592</v>
      </c>
      <c r="I874" t="s">
        <v>37</v>
      </c>
      <c r="J874" t="str">
        <f>IFERROR(VLOOKUP(I874,[1]AUTOS!$C:$G,2,0),"")</f>
        <v>BEAT</v>
      </c>
      <c r="K874">
        <f>IFERROR(VLOOKUP(I874,[1]AUTOS!$C:$G,3,0),"")</f>
        <v>2020</v>
      </c>
      <c r="L874" t="str">
        <f>IFERROR(VLOOKUP(I874,[1]AUTOS!$C:$G,4,0),"")</f>
        <v>GRIS</v>
      </c>
      <c r="M874" t="s">
        <v>35</v>
      </c>
      <c r="P874" s="3">
        <v>-380</v>
      </c>
    </row>
    <row r="875" spans="1:16" hidden="1" x14ac:dyDescent="0.3">
      <c r="A875">
        <v>41</v>
      </c>
      <c r="B875" t="str">
        <f>VLOOKUP($A875,[1]LISTA!$B:$C,2,0)</f>
        <v>OCTUBRE</v>
      </c>
      <c r="C875" s="1">
        <v>2025</v>
      </c>
      <c r="D875" s="1" t="str">
        <f>IF($A875&lt;=[1]RESULTADOS!$D$6,"YTD","YTG")</f>
        <v>YTG</v>
      </c>
      <c r="E875" t="s">
        <v>478</v>
      </c>
      <c r="F875" t="s">
        <v>18</v>
      </c>
      <c r="G875" t="s">
        <v>48</v>
      </c>
      <c r="H875" t="s">
        <v>593</v>
      </c>
      <c r="I875" t="s">
        <v>67</v>
      </c>
      <c r="J875" t="str">
        <f>IFERROR(VLOOKUP(I875,[1]AUTOS!$C:$G,2,0),"")</f>
        <v>KIA RIO</v>
      </c>
      <c r="K875">
        <f>IFERROR(VLOOKUP(I875,[1]AUTOS!$C:$G,3,0),"")</f>
        <v>2020</v>
      </c>
      <c r="L875" t="str">
        <f>IFERROR(VLOOKUP(I875,[1]AUTOS!$C:$G,4,0),"")</f>
        <v>GRIS</v>
      </c>
      <c r="M875" t="s">
        <v>43</v>
      </c>
      <c r="P875" s="3">
        <v>-1100</v>
      </c>
    </row>
    <row r="876" spans="1:16" hidden="1" x14ac:dyDescent="0.3">
      <c r="A876">
        <v>41</v>
      </c>
      <c r="B876" t="str">
        <f>VLOOKUP($A876,[1]LISTA!$B:$C,2,0)</f>
        <v>OCTUBRE</v>
      </c>
      <c r="C876" s="1">
        <v>2025</v>
      </c>
      <c r="D876" s="1" t="str">
        <f>IF($A876&lt;=[1]RESULTADOS!$D$6,"YTD","YTG")</f>
        <v>YTG</v>
      </c>
      <c r="E876" t="s">
        <v>17</v>
      </c>
      <c r="F876" t="s">
        <v>18</v>
      </c>
      <c r="G876" t="s">
        <v>48</v>
      </c>
      <c r="H876" t="s">
        <v>593</v>
      </c>
      <c r="I876" t="s">
        <v>37</v>
      </c>
      <c r="J876" t="str">
        <f>IFERROR(VLOOKUP(I876,[1]AUTOS!$C:$G,2,0),"")</f>
        <v>BEAT</v>
      </c>
      <c r="K876">
        <f>IFERROR(VLOOKUP(I876,[1]AUTOS!$C:$G,3,0),"")</f>
        <v>2020</v>
      </c>
      <c r="L876" t="str">
        <f>IFERROR(VLOOKUP(I876,[1]AUTOS!$C:$G,4,0),"")</f>
        <v>GRIS</v>
      </c>
      <c r="M876" t="s">
        <v>35</v>
      </c>
      <c r="P876" s="3">
        <v>-1100</v>
      </c>
    </row>
    <row r="877" spans="1:16" hidden="1" x14ac:dyDescent="0.3">
      <c r="A877">
        <v>41</v>
      </c>
      <c r="B877" t="str">
        <f>VLOOKUP($A877,[1]LISTA!$B:$C,2,0)</f>
        <v>OCTUBRE</v>
      </c>
      <c r="C877" s="1">
        <v>2025</v>
      </c>
      <c r="D877" s="1" t="str">
        <f>IF($A877&lt;=[1]RESULTADOS!$D$6,"YTD","YTG")</f>
        <v>YTG</v>
      </c>
      <c r="E877" t="s">
        <v>594</v>
      </c>
      <c r="F877" t="s">
        <v>18</v>
      </c>
      <c r="G877" t="s">
        <v>48</v>
      </c>
      <c r="H877" t="s">
        <v>595</v>
      </c>
      <c r="I877" t="s">
        <v>313</v>
      </c>
      <c r="J877" t="str">
        <f>IFERROR(VLOOKUP(I877,[1]AUTOS!$C:$G,2,0),"")</f>
        <v>MARCH</v>
      </c>
      <c r="K877">
        <f>IFERROR(VLOOKUP(I877,[1]AUTOS!$C:$G,3,0),"")</f>
        <v>2019</v>
      </c>
      <c r="L877" t="str">
        <f>IFERROR(VLOOKUP(I877,[1]AUTOS!$C:$G,4,0),"")</f>
        <v>TURQ</v>
      </c>
      <c r="M877" t="s">
        <v>22</v>
      </c>
      <c r="P877" s="3">
        <v>-1000</v>
      </c>
    </row>
    <row r="878" spans="1:16" hidden="1" x14ac:dyDescent="0.3">
      <c r="A878">
        <v>41</v>
      </c>
      <c r="B878" t="str">
        <f>VLOOKUP($A878,[1]LISTA!$B:$C,2,0)</f>
        <v>OCTUBRE</v>
      </c>
      <c r="C878" s="1">
        <v>2025</v>
      </c>
      <c r="D878" s="1" t="str">
        <f>IF($A878&lt;=[1]RESULTADOS!$D$6,"YTD","YTG")</f>
        <v>YTG</v>
      </c>
      <c r="E878" t="s">
        <v>399</v>
      </c>
      <c r="F878" t="s">
        <v>18</v>
      </c>
      <c r="G878" t="s">
        <v>137</v>
      </c>
      <c r="H878" t="s">
        <v>596</v>
      </c>
      <c r="I878" t="s">
        <v>162</v>
      </c>
      <c r="J878" t="str">
        <f>IFERROR(VLOOKUP(I878,[1]AUTOS!$C:$G,2,0),"")</f>
        <v>HYUNDAI</v>
      </c>
      <c r="K878">
        <f>IFERROR(VLOOKUP(I878,[1]AUTOS!$C:$G,3,0),"")</f>
        <v>2022</v>
      </c>
      <c r="L878" t="str">
        <f>IFERROR(VLOOKUP(I878,[1]AUTOS!$C:$G,4,0),"")</f>
        <v>PLATA</v>
      </c>
      <c r="M878" t="s">
        <v>43</v>
      </c>
      <c r="P878" s="3">
        <v>-130</v>
      </c>
    </row>
    <row r="879" spans="1:16" hidden="1" x14ac:dyDescent="0.3">
      <c r="A879">
        <v>41</v>
      </c>
      <c r="B879" t="str">
        <f>VLOOKUP($A879,[1]LISTA!$B:$C,2,0)</f>
        <v>OCTUBRE</v>
      </c>
      <c r="C879" s="1">
        <v>2025</v>
      </c>
      <c r="D879" s="1" t="str">
        <f>IF($A879&lt;=[1]RESULTADOS!$D$6,"YTD","YTG")</f>
        <v>YTG</v>
      </c>
      <c r="E879" t="s">
        <v>518</v>
      </c>
      <c r="F879" t="s">
        <v>18</v>
      </c>
      <c r="G879" t="s">
        <v>57</v>
      </c>
      <c r="H879" t="s">
        <v>541</v>
      </c>
      <c r="I879" t="s">
        <v>384</v>
      </c>
      <c r="J879" t="str">
        <f>IFERROR(VLOOKUP(I879,[1]AUTOS!$C:$G,2,0),"")</f>
        <v>MARCH</v>
      </c>
      <c r="K879">
        <f>IFERROR(VLOOKUP(I879,[1]AUTOS!$C:$G,3,0),"")</f>
        <v>2022</v>
      </c>
      <c r="L879" t="str">
        <f>IFERROR(VLOOKUP(I879,[1]AUTOS!$C:$G,4,0),"")</f>
        <v>BLANCO</v>
      </c>
      <c r="M879" t="s">
        <v>215</v>
      </c>
      <c r="P879" s="3">
        <v>-240</v>
      </c>
    </row>
    <row r="880" spans="1:16" hidden="1" x14ac:dyDescent="0.3">
      <c r="A880">
        <v>41</v>
      </c>
      <c r="B880" t="str">
        <f>VLOOKUP($A880,[1]LISTA!$B:$C,2,0)</f>
        <v>OCTUBRE</v>
      </c>
      <c r="C880" s="1">
        <v>2025</v>
      </c>
      <c r="D880" s="1" t="str">
        <f>IF($A880&lt;=[1]RESULTADOS!$D$6,"YTD","YTG")</f>
        <v>YTG</v>
      </c>
      <c r="E880" t="s">
        <v>17</v>
      </c>
      <c r="F880" t="s">
        <v>18</v>
      </c>
      <c r="G880" t="s">
        <v>38</v>
      </c>
      <c r="H880" t="s">
        <v>597</v>
      </c>
      <c r="I880" t="s">
        <v>578</v>
      </c>
      <c r="J880" t="str">
        <f>IFERROR(VLOOKUP(I880,[1]AUTOS!$C:$G,2,0),"")</f>
        <v/>
      </c>
      <c r="K880" t="str">
        <f>IFERROR(VLOOKUP(I880,[1]AUTOS!$C:$G,3,0),"")</f>
        <v/>
      </c>
      <c r="L880" t="str">
        <f>IFERROR(VLOOKUP(I880,[1]AUTOS!$C:$G,4,0),"")</f>
        <v/>
      </c>
      <c r="M880" t="s">
        <v>22</v>
      </c>
      <c r="P880" s="3">
        <v>-210</v>
      </c>
    </row>
    <row r="881" spans="1:16" hidden="1" x14ac:dyDescent="0.3">
      <c r="A881">
        <v>41</v>
      </c>
      <c r="B881" t="str">
        <f>VLOOKUP($A881,[1]LISTA!$B:$C,2,0)</f>
        <v>OCTUBRE</v>
      </c>
      <c r="C881" s="1">
        <v>2025</v>
      </c>
      <c r="D881" s="1" t="str">
        <f>IF($A881&lt;=[1]RESULTADOS!$D$6,"YTD","YTG")</f>
        <v>YTG</v>
      </c>
      <c r="E881" t="s">
        <v>17</v>
      </c>
      <c r="F881" t="s">
        <v>18</v>
      </c>
      <c r="G881" t="s">
        <v>29</v>
      </c>
      <c r="H881" t="s">
        <v>598</v>
      </c>
      <c r="I881" t="s">
        <v>578</v>
      </c>
      <c r="J881" t="str">
        <f>IFERROR(VLOOKUP(I881,[1]AUTOS!$C:$G,2,0),"")</f>
        <v/>
      </c>
      <c r="K881" t="str">
        <f>IFERROR(VLOOKUP(I881,[1]AUTOS!$C:$G,3,0),"")</f>
        <v/>
      </c>
      <c r="L881" t="str">
        <f>IFERROR(VLOOKUP(I881,[1]AUTOS!$C:$G,4,0),"")</f>
        <v/>
      </c>
      <c r="M881" t="s">
        <v>22</v>
      </c>
      <c r="P881" s="3">
        <v>-200</v>
      </c>
    </row>
    <row r="882" spans="1:16" hidden="1" x14ac:dyDescent="0.3">
      <c r="A882">
        <v>41</v>
      </c>
      <c r="B882" t="str">
        <f>VLOOKUP($A882,[1]LISTA!$B:$C,2,0)</f>
        <v>OCTUBRE</v>
      </c>
      <c r="C882" s="1">
        <v>2025</v>
      </c>
      <c r="D882" s="1" t="str">
        <f>IF($A882&lt;=[1]RESULTADOS!$D$6,"YTD","YTG")</f>
        <v>YTG</v>
      </c>
      <c r="E882" t="s">
        <v>17</v>
      </c>
      <c r="F882" t="s">
        <v>18</v>
      </c>
      <c r="G882" t="s">
        <v>29</v>
      </c>
      <c r="H882" t="s">
        <v>599</v>
      </c>
      <c r="I882" t="s">
        <v>21</v>
      </c>
      <c r="J882" t="str">
        <f>IFERROR(VLOOKUP(I882,[1]AUTOS!$C:$G,2,0),"")</f>
        <v/>
      </c>
      <c r="K882" t="str">
        <f>IFERROR(VLOOKUP(I882,[1]AUTOS!$C:$G,3,0),"")</f>
        <v/>
      </c>
      <c r="L882" t="str">
        <f>IFERROR(VLOOKUP(I882,[1]AUTOS!$C:$G,4,0),"")</f>
        <v/>
      </c>
      <c r="M882" t="s">
        <v>22</v>
      </c>
      <c r="P882" s="3">
        <v>-50</v>
      </c>
    </row>
    <row r="883" spans="1:16" hidden="1" x14ac:dyDescent="0.3">
      <c r="A883">
        <v>41</v>
      </c>
      <c r="B883" t="str">
        <f>VLOOKUP($A883,[1]LISTA!$B:$C,2,0)</f>
        <v>OCTUBRE</v>
      </c>
      <c r="C883" s="1">
        <v>2025</v>
      </c>
      <c r="D883" s="1" t="str">
        <f>IF($A883&lt;=[1]RESULTADOS!$D$6,"YTD","YTG")</f>
        <v>YTG</v>
      </c>
      <c r="E883" t="s">
        <v>486</v>
      </c>
      <c r="F883" t="s">
        <v>18</v>
      </c>
      <c r="G883" t="s">
        <v>38</v>
      </c>
      <c r="H883" t="s">
        <v>600</v>
      </c>
      <c r="I883" t="s">
        <v>34</v>
      </c>
      <c r="J883" t="str">
        <f>IFERROR(VLOOKUP(I883,[1]AUTOS!$C:$G,2,0),"")</f>
        <v>AVEO</v>
      </c>
      <c r="K883">
        <f>IFERROR(VLOOKUP(I883,[1]AUTOS!$C:$G,3,0),"")</f>
        <v>2018</v>
      </c>
      <c r="L883" t="str">
        <f>IFERROR(VLOOKUP(I883,[1]AUTOS!$C:$G,4,0),"")</f>
        <v>ROJO</v>
      </c>
      <c r="M883" t="s">
        <v>35</v>
      </c>
      <c r="P883" s="3">
        <v>-360</v>
      </c>
    </row>
    <row r="884" spans="1:16" hidden="1" x14ac:dyDescent="0.3">
      <c r="A884">
        <v>41</v>
      </c>
      <c r="B884" t="str">
        <f>VLOOKUP($A884,[1]LISTA!$B:$C,2,0)</f>
        <v>OCTUBRE</v>
      </c>
      <c r="C884" s="1">
        <v>2025</v>
      </c>
      <c r="D884" s="1" t="str">
        <f>IF($A884&lt;=[1]RESULTADOS!$D$6,"YTD","YTG")</f>
        <v>YTG</v>
      </c>
      <c r="E884" t="s">
        <v>17</v>
      </c>
      <c r="F884" t="s">
        <v>18</v>
      </c>
      <c r="G884" t="s">
        <v>29</v>
      </c>
      <c r="H884" t="s">
        <v>331</v>
      </c>
      <c r="I884" t="s">
        <v>21</v>
      </c>
      <c r="J884" t="str">
        <f>IFERROR(VLOOKUP(I884,[1]AUTOS!$C:$G,2,0),"")</f>
        <v/>
      </c>
      <c r="K884" t="str">
        <f>IFERROR(VLOOKUP(I884,[1]AUTOS!$C:$G,3,0),"")</f>
        <v/>
      </c>
      <c r="L884" t="str">
        <f>IFERROR(VLOOKUP(I884,[1]AUTOS!$C:$G,4,0),"")</f>
        <v/>
      </c>
      <c r="M884" t="s">
        <v>22</v>
      </c>
      <c r="P884" s="3">
        <v>-1500</v>
      </c>
    </row>
    <row r="885" spans="1:16" hidden="1" x14ac:dyDescent="0.3">
      <c r="A885">
        <v>41</v>
      </c>
      <c r="B885" t="str">
        <f>VLOOKUP($A885,[1]LISTA!$B:$C,2,0)</f>
        <v>OCTUBRE</v>
      </c>
      <c r="C885" s="1">
        <v>2025</v>
      </c>
      <c r="D885" s="1" t="str">
        <f>IF($A885&lt;=[1]RESULTADOS!$D$6,"YTD","YTG")</f>
        <v>YTG</v>
      </c>
      <c r="E885" t="s">
        <v>17</v>
      </c>
      <c r="F885" t="s">
        <v>18</v>
      </c>
      <c r="G885" t="s">
        <v>29</v>
      </c>
      <c r="H885" t="s">
        <v>532</v>
      </c>
      <c r="I885" t="s">
        <v>51</v>
      </c>
      <c r="J885" t="str">
        <f>IFERROR(VLOOKUP(I885,[1]AUTOS!$C:$G,2,0),"")</f>
        <v>VENTO</v>
      </c>
      <c r="K885">
        <f>IFERROR(VLOOKUP(I885,[1]AUTOS!$C:$G,3,0),"")</f>
        <v>2017</v>
      </c>
      <c r="L885" t="str">
        <f>IFERROR(VLOOKUP(I885,[1]AUTOS!$C:$G,4,0),"")</f>
        <v>GRIS</v>
      </c>
      <c r="M885" t="s">
        <v>43</v>
      </c>
      <c r="P885" s="3">
        <v>-100</v>
      </c>
    </row>
    <row r="886" spans="1:16" hidden="1" x14ac:dyDescent="0.3">
      <c r="A886">
        <v>41</v>
      </c>
      <c r="B886" t="str">
        <f>VLOOKUP($A886,[1]LISTA!$B:$C,2,0)</f>
        <v>OCTUBRE</v>
      </c>
      <c r="C886" s="1">
        <v>2025</v>
      </c>
      <c r="D886" s="1" t="str">
        <f>IF($A886&lt;=[1]RESULTADOS!$D$6,"YTD","YTG")</f>
        <v>YTG</v>
      </c>
      <c r="E886" t="s">
        <v>17</v>
      </c>
      <c r="F886" t="s">
        <v>18</v>
      </c>
      <c r="G886" t="s">
        <v>32</v>
      </c>
      <c r="H886" t="s">
        <v>601</v>
      </c>
      <c r="I886" t="s">
        <v>51</v>
      </c>
      <c r="J886" t="str">
        <f>IFERROR(VLOOKUP(I886,[1]AUTOS!$C:$G,2,0),"")</f>
        <v>VENTO</v>
      </c>
      <c r="K886">
        <f>IFERROR(VLOOKUP(I886,[1]AUTOS!$C:$G,3,0),"")</f>
        <v>2017</v>
      </c>
      <c r="L886" t="str">
        <f>IFERROR(VLOOKUP(I886,[1]AUTOS!$C:$G,4,0),"")</f>
        <v>GRIS</v>
      </c>
      <c r="M886" t="s">
        <v>43</v>
      </c>
      <c r="P886" s="3">
        <v>-817</v>
      </c>
    </row>
    <row r="887" spans="1:16" hidden="1" x14ac:dyDescent="0.3">
      <c r="A887">
        <v>41</v>
      </c>
      <c r="B887" t="str">
        <f>VLOOKUP($A887,[1]LISTA!$B:$C,2,0)</f>
        <v>OCTUBRE</v>
      </c>
      <c r="C887" s="1">
        <v>2025</v>
      </c>
      <c r="D887" s="1" t="str">
        <f>IF($A887&lt;=[1]RESULTADOS!$D$6,"YTD","YTG")</f>
        <v>YTG</v>
      </c>
      <c r="E887" t="s">
        <v>17</v>
      </c>
      <c r="F887" t="s">
        <v>18</v>
      </c>
      <c r="G887" t="s">
        <v>32</v>
      </c>
      <c r="H887" t="s">
        <v>602</v>
      </c>
      <c r="I887" t="s">
        <v>51</v>
      </c>
      <c r="J887" t="str">
        <f>IFERROR(VLOOKUP(I887,[1]AUTOS!$C:$G,2,0),"")</f>
        <v>VENTO</v>
      </c>
      <c r="K887">
        <f>IFERROR(VLOOKUP(I887,[1]AUTOS!$C:$G,3,0),"")</f>
        <v>2017</v>
      </c>
      <c r="L887" t="str">
        <f>IFERROR(VLOOKUP(I887,[1]AUTOS!$C:$G,4,0),"")</f>
        <v>GRIS</v>
      </c>
      <c r="M887" t="s">
        <v>43</v>
      </c>
      <c r="P887" s="3">
        <v>-394</v>
      </c>
    </row>
    <row r="888" spans="1:16" hidden="1" x14ac:dyDescent="0.3">
      <c r="A888">
        <v>41</v>
      </c>
      <c r="B888" t="str">
        <f>VLOOKUP($A888,[1]LISTA!$B:$C,2,0)</f>
        <v>OCTUBRE</v>
      </c>
      <c r="C888" s="1">
        <v>2025</v>
      </c>
      <c r="D888" s="1" t="str">
        <f>IF($A888&lt;=[1]RESULTADOS!$D$6,"YTD","YTG")</f>
        <v>YTG</v>
      </c>
      <c r="E888" t="s">
        <v>17</v>
      </c>
      <c r="F888" t="s">
        <v>18</v>
      </c>
      <c r="G888" t="s">
        <v>142</v>
      </c>
      <c r="H888" t="s">
        <v>143</v>
      </c>
      <c r="I888" t="s">
        <v>51</v>
      </c>
      <c r="J888" t="str">
        <f>IFERROR(VLOOKUP(I888,[1]AUTOS!$C:$G,2,0),"")</f>
        <v>VENTO</v>
      </c>
      <c r="K888">
        <f>IFERROR(VLOOKUP(I888,[1]AUTOS!$C:$G,3,0),"")</f>
        <v>2017</v>
      </c>
      <c r="L888" t="str">
        <f>IFERROR(VLOOKUP(I888,[1]AUTOS!$C:$G,4,0),"")</f>
        <v>GRIS</v>
      </c>
      <c r="M888" t="s">
        <v>43</v>
      </c>
      <c r="P888" s="3">
        <v>-17300</v>
      </c>
    </row>
    <row r="889" spans="1:16" hidden="1" x14ac:dyDescent="0.3">
      <c r="A889">
        <v>41</v>
      </c>
      <c r="B889" t="str">
        <f>VLOOKUP($A889,[1]LISTA!$B:$C,2,0)</f>
        <v>OCTUBRE</v>
      </c>
      <c r="C889" s="1">
        <v>2025</v>
      </c>
      <c r="D889" s="1" t="str">
        <f>IF($A889&lt;=[1]RESULTADOS!$D$6,"YTD","YTG")</f>
        <v>YTG</v>
      </c>
      <c r="E889" t="s">
        <v>17</v>
      </c>
      <c r="F889" t="s">
        <v>18</v>
      </c>
      <c r="G889" t="s">
        <v>57</v>
      </c>
      <c r="H889" t="s">
        <v>603</v>
      </c>
      <c r="I889" t="s">
        <v>51</v>
      </c>
      <c r="J889" t="str">
        <f>IFERROR(VLOOKUP(I889,[1]AUTOS!$C:$G,2,0),"")</f>
        <v>VENTO</v>
      </c>
      <c r="K889">
        <f>IFERROR(VLOOKUP(I889,[1]AUTOS!$C:$G,3,0),"")</f>
        <v>2017</v>
      </c>
      <c r="L889" t="str">
        <f>IFERROR(VLOOKUP(I889,[1]AUTOS!$C:$G,4,0),"")</f>
        <v>GRIS</v>
      </c>
      <c r="M889" t="s">
        <v>43</v>
      </c>
      <c r="P889" s="3">
        <v>-30</v>
      </c>
    </row>
    <row r="890" spans="1:16" hidden="1" x14ac:dyDescent="0.3">
      <c r="A890">
        <v>42</v>
      </c>
      <c r="B890" t="str">
        <f>VLOOKUP($A890,[1]LISTA!$B:$C,2,0)</f>
        <v>OCTUBRE</v>
      </c>
      <c r="C890" s="1">
        <v>2025</v>
      </c>
      <c r="D890" s="1" t="str">
        <f>IF($A890&lt;=[1]RESULTADOS!$D$6,"YTD","YTG")</f>
        <v>YTG</v>
      </c>
      <c r="E890" t="s">
        <v>17</v>
      </c>
      <c r="F890" t="s">
        <v>18</v>
      </c>
      <c r="G890" t="s">
        <v>141</v>
      </c>
      <c r="H890" t="s">
        <v>604</v>
      </c>
      <c r="I890" t="s">
        <v>51</v>
      </c>
      <c r="J890" t="str">
        <f>IFERROR(VLOOKUP(I890,[1]AUTOS!$C:$G,2,0),"")</f>
        <v>VENTO</v>
      </c>
      <c r="K890">
        <f>IFERROR(VLOOKUP(I890,[1]AUTOS!$C:$G,3,0),"")</f>
        <v>2017</v>
      </c>
      <c r="L890" t="str">
        <f>IFERROR(VLOOKUP(I890,[1]AUTOS!$C:$G,4,0),"")</f>
        <v>GRIS</v>
      </c>
      <c r="M890" t="s">
        <v>43</v>
      </c>
      <c r="P890" s="3">
        <v>-464</v>
      </c>
    </row>
    <row r="891" spans="1:16" hidden="1" x14ac:dyDescent="0.3">
      <c r="A891">
        <v>42</v>
      </c>
      <c r="B891" t="str">
        <f>VLOOKUP($A891,[1]LISTA!$B:$C,2,0)</f>
        <v>OCTUBRE</v>
      </c>
      <c r="C891" s="1">
        <v>2025</v>
      </c>
      <c r="D891" s="1" t="str">
        <f>IF($A891&lt;=[1]RESULTADOS!$D$6,"YTD","YTG")</f>
        <v>YTG</v>
      </c>
      <c r="E891" t="s">
        <v>17</v>
      </c>
      <c r="F891" t="s">
        <v>18</v>
      </c>
      <c r="G891" t="s">
        <v>57</v>
      </c>
      <c r="H891" t="s">
        <v>605</v>
      </c>
      <c r="I891" t="s">
        <v>51</v>
      </c>
      <c r="J891" t="str">
        <f>IFERROR(VLOOKUP(I891,[1]AUTOS!$C:$G,2,0),"")</f>
        <v>VENTO</v>
      </c>
      <c r="K891">
        <f>IFERROR(VLOOKUP(I891,[1]AUTOS!$C:$G,3,0),"")</f>
        <v>2017</v>
      </c>
      <c r="L891" t="str">
        <f>IFERROR(VLOOKUP(I891,[1]AUTOS!$C:$G,4,0),"")</f>
        <v>GRIS</v>
      </c>
      <c r="M891" t="s">
        <v>43</v>
      </c>
      <c r="P891" s="3">
        <v>-335</v>
      </c>
    </row>
    <row r="892" spans="1:16" hidden="1" x14ac:dyDescent="0.3">
      <c r="A892">
        <v>42</v>
      </c>
      <c r="B892" t="str">
        <f>VLOOKUP($A892,[1]LISTA!$B:$C,2,0)</f>
        <v>OCTUBRE</v>
      </c>
      <c r="C892" s="1">
        <v>2025</v>
      </c>
      <c r="D892" s="1" t="str">
        <f>IF($A892&lt;=[1]RESULTADOS!$D$6,"YTD","YTG")</f>
        <v>YTG</v>
      </c>
      <c r="E892" t="s">
        <v>17</v>
      </c>
      <c r="F892" t="s">
        <v>18</v>
      </c>
      <c r="G892" t="s">
        <v>29</v>
      </c>
      <c r="H892" t="s">
        <v>582</v>
      </c>
      <c r="I892" t="s">
        <v>21</v>
      </c>
      <c r="J892" t="str">
        <f>IFERROR(VLOOKUP(I892,[1]AUTOS!$C:$G,2,0),"")</f>
        <v/>
      </c>
      <c r="K892" t="str">
        <f>IFERROR(VLOOKUP(I892,[1]AUTOS!$C:$G,3,0),"")</f>
        <v/>
      </c>
      <c r="L892" t="str">
        <f>IFERROR(VLOOKUP(I892,[1]AUTOS!$C:$G,4,0),"")</f>
        <v/>
      </c>
      <c r="M892" t="s">
        <v>22</v>
      </c>
      <c r="P892" s="3">
        <v>-150</v>
      </c>
    </row>
    <row r="893" spans="1:16" hidden="1" x14ac:dyDescent="0.3">
      <c r="A893">
        <v>42</v>
      </c>
      <c r="B893" t="str">
        <f>VLOOKUP($A893,[1]LISTA!$B:$C,2,0)</f>
        <v>OCTUBRE</v>
      </c>
      <c r="C893" s="1">
        <v>2025</v>
      </c>
      <c r="D893" s="1" t="str">
        <f>IF($A893&lt;=[1]RESULTADOS!$D$6,"YTD","YTG")</f>
        <v>YTG</v>
      </c>
      <c r="E893" t="s">
        <v>17</v>
      </c>
      <c r="F893" t="s">
        <v>18</v>
      </c>
      <c r="G893" t="s">
        <v>57</v>
      </c>
      <c r="H893" t="s">
        <v>606</v>
      </c>
      <c r="I893" t="s">
        <v>61</v>
      </c>
      <c r="J893" t="str">
        <f>IFERROR(VLOOKUP(I893,[1]AUTOS!$C:$G,2,0),"")</f>
        <v>KIA RIO</v>
      </c>
      <c r="K893">
        <f>IFERROR(VLOOKUP(I893,[1]AUTOS!$C:$G,3,0),"")</f>
        <v>2017</v>
      </c>
      <c r="L893" t="str">
        <f>IFERROR(VLOOKUP(I893,[1]AUTOS!$C:$G,4,0),"")</f>
        <v>ROJO</v>
      </c>
      <c r="M893" t="s">
        <v>22</v>
      </c>
      <c r="P893" s="3">
        <v>-150</v>
      </c>
    </row>
    <row r="894" spans="1:16" hidden="1" x14ac:dyDescent="0.3">
      <c r="A894">
        <v>42</v>
      </c>
      <c r="B894" t="str">
        <f>VLOOKUP($A894,[1]LISTA!$B:$C,2,0)</f>
        <v>OCTUBRE</v>
      </c>
      <c r="C894" s="1">
        <v>2025</v>
      </c>
      <c r="D894" s="1" t="str">
        <f>IF($A894&lt;=[1]RESULTADOS!$D$6,"YTD","YTG")</f>
        <v>YTG</v>
      </c>
      <c r="E894" t="s">
        <v>436</v>
      </c>
      <c r="F894" t="s">
        <v>18</v>
      </c>
      <c r="G894" t="s">
        <v>57</v>
      </c>
      <c r="H894" t="s">
        <v>606</v>
      </c>
      <c r="I894" t="s">
        <v>112</v>
      </c>
      <c r="J894" t="str">
        <f>IFERROR(VLOOKUP(I894,[1]AUTOS!$C:$G,2,0),"")</f>
        <v>KIA RIO</v>
      </c>
      <c r="K894">
        <f>IFERROR(VLOOKUP(I894,[1]AUTOS!$C:$G,3,0),"")</f>
        <v>2020</v>
      </c>
      <c r="L894" t="str">
        <f>IFERROR(VLOOKUP(I894,[1]AUTOS!$C:$G,4,0),"")</f>
        <v>ROJO</v>
      </c>
      <c r="M894" t="s">
        <v>43</v>
      </c>
      <c r="P894" s="3">
        <v>-150</v>
      </c>
    </row>
    <row r="895" spans="1:16" hidden="1" x14ac:dyDescent="0.3">
      <c r="A895">
        <v>42</v>
      </c>
      <c r="B895" t="str">
        <f>VLOOKUP($A895,[1]LISTA!$B:$C,2,0)</f>
        <v>OCTUBRE</v>
      </c>
      <c r="C895" s="1">
        <v>2025</v>
      </c>
      <c r="D895" s="1" t="str">
        <f>IF($A895&lt;=[1]RESULTADOS!$D$6,"YTD","YTG")</f>
        <v>YTG</v>
      </c>
      <c r="E895" t="s">
        <v>486</v>
      </c>
      <c r="F895" t="s">
        <v>18</v>
      </c>
      <c r="G895" t="s">
        <v>38</v>
      </c>
      <c r="H895" t="s">
        <v>597</v>
      </c>
      <c r="I895" t="s">
        <v>34</v>
      </c>
      <c r="J895" t="str">
        <f>IFERROR(VLOOKUP(I895,[1]AUTOS!$C:$G,2,0),"")</f>
        <v>AVEO</v>
      </c>
      <c r="K895">
        <f>IFERROR(VLOOKUP(I895,[1]AUTOS!$C:$G,3,0),"")</f>
        <v>2018</v>
      </c>
      <c r="L895" t="str">
        <f>IFERROR(VLOOKUP(I895,[1]AUTOS!$C:$G,4,0),"")</f>
        <v>ROJO</v>
      </c>
      <c r="M895" t="s">
        <v>35</v>
      </c>
      <c r="P895" s="3">
        <v>-100</v>
      </c>
    </row>
    <row r="896" spans="1:16" hidden="1" x14ac:dyDescent="0.3">
      <c r="A896">
        <v>42</v>
      </c>
      <c r="B896" t="str">
        <f>VLOOKUP($A896,[1]LISTA!$B:$C,2,0)</f>
        <v>OCTUBRE</v>
      </c>
      <c r="C896" s="1">
        <v>2025</v>
      </c>
      <c r="D896" s="1" t="str">
        <f>IF($A896&lt;=[1]RESULTADOS!$D$6,"YTD","YTG")</f>
        <v>YTG</v>
      </c>
      <c r="E896" t="s">
        <v>607</v>
      </c>
      <c r="F896" t="s">
        <v>18</v>
      </c>
      <c r="G896" t="s">
        <v>29</v>
      </c>
      <c r="H896" t="s">
        <v>608</v>
      </c>
      <c r="I896" t="s">
        <v>560</v>
      </c>
      <c r="J896" t="str">
        <f>IFERROR(VLOOKUP(I896,[1]AUTOS!$C:$G,2,0),"")</f>
        <v>AVEO</v>
      </c>
      <c r="K896">
        <f>IFERROR(VLOOKUP(I896,[1]AUTOS!$C:$G,3,0),"")</f>
        <v>2023</v>
      </c>
      <c r="L896" t="str">
        <f>IFERROR(VLOOKUP(I896,[1]AUTOS!$C:$G,4,0),"")</f>
        <v>VINO</v>
      </c>
      <c r="M896" t="s">
        <v>43</v>
      </c>
      <c r="P896" s="3">
        <v>-500</v>
      </c>
    </row>
    <row r="897" spans="1:16" hidden="1" x14ac:dyDescent="0.3">
      <c r="A897">
        <v>42</v>
      </c>
      <c r="B897" t="str">
        <f>VLOOKUP($A897,[1]LISTA!$B:$C,2,0)</f>
        <v>OCTUBRE</v>
      </c>
      <c r="C897" s="1">
        <v>2025</v>
      </c>
      <c r="D897" s="1" t="str">
        <f>IF($A897&lt;=[1]RESULTADOS!$D$6,"YTD","YTG")</f>
        <v>YTG</v>
      </c>
      <c r="E897" t="s">
        <v>607</v>
      </c>
      <c r="F897" t="s">
        <v>18</v>
      </c>
      <c r="G897" t="s">
        <v>29</v>
      </c>
      <c r="H897" t="s">
        <v>529</v>
      </c>
      <c r="I897" t="s">
        <v>560</v>
      </c>
      <c r="J897" t="str">
        <f>IFERROR(VLOOKUP(I897,[1]AUTOS!$C:$G,2,0),"")</f>
        <v>AVEO</v>
      </c>
      <c r="K897">
        <f>IFERROR(VLOOKUP(I897,[1]AUTOS!$C:$G,3,0),"")</f>
        <v>2023</v>
      </c>
      <c r="L897" t="str">
        <f>IFERROR(VLOOKUP(I897,[1]AUTOS!$C:$G,4,0),"")</f>
        <v>VINO</v>
      </c>
      <c r="M897" t="s">
        <v>43</v>
      </c>
      <c r="P897" s="3">
        <v>-282</v>
      </c>
    </row>
    <row r="898" spans="1:16" hidden="1" x14ac:dyDescent="0.3">
      <c r="A898">
        <v>42</v>
      </c>
      <c r="B898" t="str">
        <f>VLOOKUP($A898,[1]LISTA!$B:$C,2,0)</f>
        <v>OCTUBRE</v>
      </c>
      <c r="C898" s="1">
        <v>2025</v>
      </c>
      <c r="D898" s="1" t="str">
        <f>IF($A898&lt;=[1]RESULTADOS!$D$6,"YTD","YTG")</f>
        <v>YTG</v>
      </c>
      <c r="E898" t="s">
        <v>436</v>
      </c>
      <c r="F898" t="s">
        <v>18</v>
      </c>
      <c r="G898" t="s">
        <v>57</v>
      </c>
      <c r="H898" t="s">
        <v>609</v>
      </c>
      <c r="I898" t="s">
        <v>112</v>
      </c>
      <c r="J898" t="str">
        <f>IFERROR(VLOOKUP(I898,[1]AUTOS!$C:$G,2,0),"")</f>
        <v>KIA RIO</v>
      </c>
      <c r="K898">
        <f>IFERROR(VLOOKUP(I898,[1]AUTOS!$C:$G,3,0),"")</f>
        <v>2020</v>
      </c>
      <c r="L898" t="str">
        <f>IFERROR(VLOOKUP(I898,[1]AUTOS!$C:$G,4,0),"")</f>
        <v>ROJO</v>
      </c>
      <c r="M898" t="s">
        <v>43</v>
      </c>
      <c r="P898" s="3">
        <v>-500</v>
      </c>
    </row>
    <row r="899" spans="1:16" hidden="1" x14ac:dyDescent="0.3">
      <c r="A899">
        <v>42</v>
      </c>
      <c r="B899" t="str">
        <f>VLOOKUP($A899,[1]LISTA!$B:$C,2,0)</f>
        <v>OCTUBRE</v>
      </c>
      <c r="C899" s="1">
        <v>2025</v>
      </c>
      <c r="D899" s="1" t="str">
        <f>IF($A899&lt;=[1]RESULTADOS!$D$6,"YTD","YTG")</f>
        <v>YTG</v>
      </c>
      <c r="E899" t="s">
        <v>17</v>
      </c>
      <c r="F899" t="s">
        <v>18</v>
      </c>
      <c r="G899" t="s">
        <v>57</v>
      </c>
      <c r="H899" t="s">
        <v>610</v>
      </c>
      <c r="I899" t="s">
        <v>51</v>
      </c>
      <c r="J899" t="str">
        <f>IFERROR(VLOOKUP(I899,[1]AUTOS!$C:$G,2,0),"")</f>
        <v>VENTO</v>
      </c>
      <c r="K899">
        <f>IFERROR(VLOOKUP(I899,[1]AUTOS!$C:$G,3,0),"")</f>
        <v>2017</v>
      </c>
      <c r="L899" t="str">
        <f>IFERROR(VLOOKUP(I899,[1]AUTOS!$C:$G,4,0),"")</f>
        <v>GRIS</v>
      </c>
      <c r="M899" t="s">
        <v>43</v>
      </c>
      <c r="P899" s="3">
        <v>-240</v>
      </c>
    </row>
    <row r="900" spans="1:16" hidden="1" x14ac:dyDescent="0.3">
      <c r="A900">
        <v>42</v>
      </c>
      <c r="B900" t="str">
        <f>VLOOKUP($A900,[1]LISTA!$B:$C,2,0)</f>
        <v>OCTUBRE</v>
      </c>
      <c r="C900" s="1">
        <v>2025</v>
      </c>
      <c r="D900" s="1" t="str">
        <f>IF($A900&lt;=[1]RESULTADOS!$D$6,"YTD","YTG")</f>
        <v>YTG</v>
      </c>
      <c r="E900" t="s">
        <v>17</v>
      </c>
      <c r="F900" t="s">
        <v>18</v>
      </c>
      <c r="G900" t="s">
        <v>57</v>
      </c>
      <c r="H900" t="s">
        <v>611</v>
      </c>
      <c r="I900" t="s">
        <v>51</v>
      </c>
      <c r="J900" t="str">
        <f>IFERROR(VLOOKUP(I900,[1]AUTOS!$C:$G,2,0),"")</f>
        <v>VENTO</v>
      </c>
      <c r="K900">
        <f>IFERROR(VLOOKUP(I900,[1]AUTOS!$C:$G,3,0),"")</f>
        <v>2017</v>
      </c>
      <c r="L900" t="str">
        <f>IFERROR(VLOOKUP(I900,[1]AUTOS!$C:$G,4,0),"")</f>
        <v>GRIS</v>
      </c>
      <c r="M900" t="s">
        <v>43</v>
      </c>
      <c r="P900" s="3">
        <v>-240</v>
      </c>
    </row>
    <row r="901" spans="1:16" hidden="1" x14ac:dyDescent="0.3">
      <c r="A901">
        <v>42</v>
      </c>
      <c r="B901" t="str">
        <f>VLOOKUP($A901,[1]LISTA!$B:$C,2,0)</f>
        <v>OCTUBRE</v>
      </c>
      <c r="C901" s="1">
        <v>2025</v>
      </c>
      <c r="D901" s="1" t="str">
        <f>IF($A901&lt;=[1]RESULTADOS!$D$6,"YTD","YTG")</f>
        <v>YTG</v>
      </c>
      <c r="E901" t="s">
        <v>17</v>
      </c>
      <c r="F901" t="s">
        <v>18</v>
      </c>
      <c r="G901" t="s">
        <v>29</v>
      </c>
      <c r="H901" t="s">
        <v>608</v>
      </c>
      <c r="I901" t="s">
        <v>51</v>
      </c>
      <c r="J901" t="str">
        <f>IFERROR(VLOOKUP(I901,[1]AUTOS!$C:$G,2,0),"")</f>
        <v>VENTO</v>
      </c>
      <c r="K901">
        <f>IFERROR(VLOOKUP(I901,[1]AUTOS!$C:$G,3,0),"")</f>
        <v>2017</v>
      </c>
      <c r="L901" t="str">
        <f>IFERROR(VLOOKUP(I901,[1]AUTOS!$C:$G,4,0),"")</f>
        <v>GRIS</v>
      </c>
      <c r="M901" t="s">
        <v>43</v>
      </c>
      <c r="P901" s="3">
        <v>-200</v>
      </c>
    </row>
    <row r="902" spans="1:16" hidden="1" x14ac:dyDescent="0.3">
      <c r="A902">
        <v>42</v>
      </c>
      <c r="B902" t="str">
        <f>VLOOKUP($A902,[1]LISTA!$B:$C,2,0)</f>
        <v>OCTUBRE</v>
      </c>
      <c r="C902" s="1">
        <v>2025</v>
      </c>
      <c r="D902" s="1" t="str">
        <f>IF($A902&lt;=[1]RESULTADOS!$D$6,"YTD","YTG")</f>
        <v>YTG</v>
      </c>
      <c r="E902" t="s">
        <v>17</v>
      </c>
      <c r="F902" t="s">
        <v>18</v>
      </c>
      <c r="G902" t="s">
        <v>87</v>
      </c>
      <c r="H902" t="s">
        <v>335</v>
      </c>
      <c r="I902" t="s">
        <v>51</v>
      </c>
      <c r="J902" t="str">
        <f>IFERROR(VLOOKUP(I902,[1]AUTOS!$C:$G,2,0),"")</f>
        <v>VENTO</v>
      </c>
      <c r="K902">
        <f>IFERROR(VLOOKUP(I902,[1]AUTOS!$C:$G,3,0),"")</f>
        <v>2017</v>
      </c>
      <c r="L902" t="str">
        <f>IFERROR(VLOOKUP(I902,[1]AUTOS!$C:$G,4,0),"")</f>
        <v>GRIS</v>
      </c>
      <c r="M902" t="s">
        <v>43</v>
      </c>
      <c r="P902" s="3">
        <v>-200</v>
      </c>
    </row>
    <row r="903" spans="1:16" hidden="1" x14ac:dyDescent="0.3">
      <c r="A903">
        <v>42</v>
      </c>
      <c r="B903" t="str">
        <f>VLOOKUP($A903,[1]LISTA!$B:$C,2,0)</f>
        <v>OCTUBRE</v>
      </c>
      <c r="C903" s="1">
        <v>2025</v>
      </c>
      <c r="D903" s="1" t="str">
        <f>IF($A903&lt;=[1]RESULTADOS!$D$6,"YTD","YTG")</f>
        <v>YTG</v>
      </c>
      <c r="E903" t="s">
        <v>17</v>
      </c>
      <c r="F903" t="s">
        <v>18</v>
      </c>
      <c r="G903" t="s">
        <v>57</v>
      </c>
      <c r="H903" t="s">
        <v>612</v>
      </c>
      <c r="I903" t="s">
        <v>51</v>
      </c>
      <c r="J903" t="str">
        <f>IFERROR(VLOOKUP(I903,[1]AUTOS!$C:$G,2,0),"")</f>
        <v>VENTO</v>
      </c>
      <c r="K903">
        <f>IFERROR(VLOOKUP(I903,[1]AUTOS!$C:$G,3,0),"")</f>
        <v>2017</v>
      </c>
      <c r="L903" t="str">
        <f>IFERROR(VLOOKUP(I903,[1]AUTOS!$C:$G,4,0),"")</f>
        <v>GRIS</v>
      </c>
      <c r="M903" t="s">
        <v>43</v>
      </c>
      <c r="P903" s="3">
        <v>-450</v>
      </c>
    </row>
    <row r="904" spans="1:16" hidden="1" x14ac:dyDescent="0.3">
      <c r="A904">
        <v>42</v>
      </c>
      <c r="B904" t="str">
        <f>VLOOKUP($A904,[1]LISTA!$B:$C,2,0)</f>
        <v>OCTUBRE</v>
      </c>
      <c r="C904" s="1">
        <v>2025</v>
      </c>
      <c r="D904" s="1" t="str">
        <f>IF($A904&lt;=[1]RESULTADOS!$D$6,"YTD","YTG")</f>
        <v>YTG</v>
      </c>
      <c r="E904" t="s">
        <v>17</v>
      </c>
      <c r="F904" t="s">
        <v>18</v>
      </c>
      <c r="G904" t="s">
        <v>57</v>
      </c>
      <c r="H904" t="s">
        <v>613</v>
      </c>
      <c r="I904" t="s">
        <v>578</v>
      </c>
      <c r="J904" t="str">
        <f>IFERROR(VLOOKUP(I904,[1]AUTOS!$C:$G,2,0),"")</f>
        <v/>
      </c>
      <c r="K904" t="str">
        <f>IFERROR(VLOOKUP(I904,[1]AUTOS!$C:$G,3,0),"")</f>
        <v/>
      </c>
      <c r="L904" t="str">
        <f>IFERROR(VLOOKUP(I904,[1]AUTOS!$C:$G,4,0),"")</f>
        <v/>
      </c>
      <c r="M904" t="s">
        <v>22</v>
      </c>
      <c r="P904" s="3">
        <v>-1050</v>
      </c>
    </row>
    <row r="905" spans="1:16" hidden="1" x14ac:dyDescent="0.3">
      <c r="A905">
        <v>42</v>
      </c>
      <c r="B905" t="str">
        <f>VLOOKUP($A905,[1]LISTA!$B:$C,2,0)</f>
        <v>OCTUBRE</v>
      </c>
      <c r="C905" s="1">
        <v>2025</v>
      </c>
      <c r="D905" s="1" t="str">
        <f>IF($A905&lt;=[1]RESULTADOS!$D$6,"YTD","YTG")</f>
        <v>YTG</v>
      </c>
      <c r="E905" t="s">
        <v>17</v>
      </c>
      <c r="F905" t="s">
        <v>18</v>
      </c>
      <c r="G905" t="s">
        <v>57</v>
      </c>
      <c r="H905" t="s">
        <v>614</v>
      </c>
      <c r="I905" t="s">
        <v>578</v>
      </c>
      <c r="J905" t="str">
        <f>IFERROR(VLOOKUP(I905,[1]AUTOS!$C:$G,2,0),"")</f>
        <v/>
      </c>
      <c r="K905" t="str">
        <f>IFERROR(VLOOKUP(I905,[1]AUTOS!$C:$G,3,0),"")</f>
        <v/>
      </c>
      <c r="L905" t="str">
        <f>IFERROR(VLOOKUP(I905,[1]AUTOS!$C:$G,4,0),"")</f>
        <v/>
      </c>
      <c r="M905" t="s">
        <v>22</v>
      </c>
      <c r="P905" s="3">
        <v>-159</v>
      </c>
    </row>
    <row r="906" spans="1:16" hidden="1" x14ac:dyDescent="0.3">
      <c r="A906">
        <v>42</v>
      </c>
      <c r="B906" t="str">
        <f>VLOOKUP($A906,[1]LISTA!$B:$C,2,0)</f>
        <v>OCTUBRE</v>
      </c>
      <c r="C906" s="1">
        <v>2025</v>
      </c>
      <c r="D906" s="1" t="str">
        <f>IF($A906&lt;=[1]RESULTADOS!$D$6,"YTD","YTG")</f>
        <v>YTG</v>
      </c>
      <c r="E906" t="s">
        <v>17</v>
      </c>
      <c r="F906" t="s">
        <v>18</v>
      </c>
      <c r="G906" t="s">
        <v>57</v>
      </c>
      <c r="H906" t="s">
        <v>615</v>
      </c>
      <c r="I906" t="s">
        <v>578</v>
      </c>
      <c r="J906" t="str">
        <f>IFERROR(VLOOKUP(I906,[1]AUTOS!$C:$G,2,0),"")</f>
        <v/>
      </c>
      <c r="K906" t="str">
        <f>IFERROR(VLOOKUP(I906,[1]AUTOS!$C:$G,3,0),"")</f>
        <v/>
      </c>
      <c r="L906" t="str">
        <f>IFERROR(VLOOKUP(I906,[1]AUTOS!$C:$G,4,0),"")</f>
        <v/>
      </c>
      <c r="M906" t="s">
        <v>22</v>
      </c>
      <c r="P906" s="3">
        <v>-800</v>
      </c>
    </row>
    <row r="907" spans="1:16" hidden="1" x14ac:dyDescent="0.3">
      <c r="A907">
        <v>42</v>
      </c>
      <c r="B907" t="str">
        <f>VLOOKUP($A907,[1]LISTA!$B:$C,2,0)</f>
        <v>OCTUBRE</v>
      </c>
      <c r="C907" s="1">
        <v>2025</v>
      </c>
      <c r="D907" s="1" t="str">
        <f>IF($A907&lt;=[1]RESULTADOS!$D$6,"YTD","YTG")</f>
        <v>YTG</v>
      </c>
      <c r="E907" t="s">
        <v>17</v>
      </c>
      <c r="F907" t="s">
        <v>18</v>
      </c>
      <c r="G907" t="s">
        <v>137</v>
      </c>
      <c r="H907" t="s">
        <v>616</v>
      </c>
      <c r="I907" t="s">
        <v>578</v>
      </c>
      <c r="J907" t="str">
        <f>IFERROR(VLOOKUP(I907,[1]AUTOS!$C:$G,2,0),"")</f>
        <v/>
      </c>
      <c r="K907" t="str">
        <f>IFERROR(VLOOKUP(I907,[1]AUTOS!$C:$G,3,0),"")</f>
        <v/>
      </c>
      <c r="L907" t="str">
        <f>IFERROR(VLOOKUP(I907,[1]AUTOS!$C:$G,4,0),"")</f>
        <v/>
      </c>
      <c r="M907" t="s">
        <v>22</v>
      </c>
      <c r="P907" s="3">
        <v>-4000</v>
      </c>
    </row>
    <row r="908" spans="1:16" hidden="1" x14ac:dyDescent="0.3">
      <c r="A908">
        <v>42</v>
      </c>
      <c r="B908" t="str">
        <f>VLOOKUP($A908,[1]LISTA!$B:$C,2,0)</f>
        <v>OCTUBRE</v>
      </c>
      <c r="C908" s="1">
        <v>2025</v>
      </c>
      <c r="D908" s="1" t="str">
        <f>IF($A908&lt;=[1]RESULTADOS!$D$6,"YTD","YTG")</f>
        <v>YTG</v>
      </c>
      <c r="E908" t="s">
        <v>17</v>
      </c>
      <c r="F908" t="s">
        <v>18</v>
      </c>
      <c r="G908" t="s">
        <v>327</v>
      </c>
      <c r="H908" t="s">
        <v>617</v>
      </c>
      <c r="I908" t="s">
        <v>51</v>
      </c>
      <c r="J908" t="str">
        <f>IFERROR(VLOOKUP(I908,[1]AUTOS!$C:$G,2,0),"")</f>
        <v>VENTO</v>
      </c>
      <c r="K908">
        <f>IFERROR(VLOOKUP(I908,[1]AUTOS!$C:$G,3,0),"")</f>
        <v>2017</v>
      </c>
      <c r="L908" t="str">
        <f>IFERROR(VLOOKUP(I908,[1]AUTOS!$C:$G,4,0),"")</f>
        <v>GRIS</v>
      </c>
      <c r="M908" t="s">
        <v>43</v>
      </c>
      <c r="P908" s="3">
        <v>-60</v>
      </c>
    </row>
    <row r="909" spans="1:16" hidden="1" x14ac:dyDescent="0.3">
      <c r="A909">
        <v>42</v>
      </c>
      <c r="B909" t="str">
        <f>VLOOKUP($A909,[1]LISTA!$B:$C,2,0)</f>
        <v>OCTUBRE</v>
      </c>
      <c r="C909" s="1">
        <v>2025</v>
      </c>
      <c r="D909" s="1" t="str">
        <f>IF($A909&lt;=[1]RESULTADOS!$D$6,"YTD","YTG")</f>
        <v>YTG</v>
      </c>
      <c r="E909" t="s">
        <v>17</v>
      </c>
      <c r="F909" t="s">
        <v>18</v>
      </c>
      <c r="G909" t="s">
        <v>29</v>
      </c>
      <c r="H909" t="s">
        <v>582</v>
      </c>
      <c r="I909" t="s">
        <v>21</v>
      </c>
      <c r="J909" t="str">
        <f>IFERROR(VLOOKUP(I909,[1]AUTOS!$C:$G,2,0),"")</f>
        <v/>
      </c>
      <c r="K909" t="str">
        <f>IFERROR(VLOOKUP(I909,[1]AUTOS!$C:$G,3,0),"")</f>
        <v/>
      </c>
      <c r="L909" t="str">
        <f>IFERROR(VLOOKUP(I909,[1]AUTOS!$C:$G,4,0),"")</f>
        <v/>
      </c>
      <c r="M909" t="s">
        <v>22</v>
      </c>
      <c r="P909" s="3">
        <v>-200</v>
      </c>
    </row>
    <row r="910" spans="1:16" hidden="1" x14ac:dyDescent="0.3">
      <c r="A910">
        <v>42</v>
      </c>
      <c r="B910" t="str">
        <f>VLOOKUP($A910,[1]LISTA!$B:$C,2,0)</f>
        <v>OCTUBRE</v>
      </c>
      <c r="C910" s="1">
        <v>2025</v>
      </c>
      <c r="D910" s="1" t="str">
        <f>IF($A910&lt;=[1]RESULTADOS!$D$6,"YTD","YTG")</f>
        <v>YTG</v>
      </c>
      <c r="E910" t="s">
        <v>436</v>
      </c>
      <c r="F910" t="s">
        <v>18</v>
      </c>
      <c r="G910" t="s">
        <v>38</v>
      </c>
      <c r="H910" t="s">
        <v>194</v>
      </c>
      <c r="I910" t="s">
        <v>112</v>
      </c>
      <c r="J910" t="str">
        <f>IFERROR(VLOOKUP(I910,[1]AUTOS!$C:$G,2,0),"")</f>
        <v>KIA RIO</v>
      </c>
      <c r="K910">
        <f>IFERROR(VLOOKUP(I910,[1]AUTOS!$C:$G,3,0),"")</f>
        <v>2020</v>
      </c>
      <c r="L910" t="str">
        <f>IFERROR(VLOOKUP(I910,[1]AUTOS!$C:$G,4,0),"")</f>
        <v>ROJO</v>
      </c>
      <c r="M910" t="s">
        <v>43</v>
      </c>
      <c r="P910" s="3">
        <v>-120</v>
      </c>
    </row>
    <row r="911" spans="1:16" hidden="1" x14ac:dyDescent="0.3">
      <c r="A911">
        <v>42</v>
      </c>
      <c r="B911" t="str">
        <f>VLOOKUP($A911,[1]LISTA!$B:$C,2,0)</f>
        <v>OCTUBRE</v>
      </c>
      <c r="C911" s="1">
        <v>2025</v>
      </c>
      <c r="D911" s="1" t="str">
        <f>IF($A911&lt;=[1]RESULTADOS!$D$6,"YTD","YTG")</f>
        <v>YTG</v>
      </c>
      <c r="E911" t="s">
        <v>17</v>
      </c>
      <c r="F911" t="s">
        <v>18</v>
      </c>
      <c r="G911" t="s">
        <v>19</v>
      </c>
      <c r="H911" t="s">
        <v>618</v>
      </c>
      <c r="I911" t="s">
        <v>21</v>
      </c>
      <c r="J911" t="str">
        <f>IFERROR(VLOOKUP(I911,[1]AUTOS!$C:$G,2,0),"")</f>
        <v/>
      </c>
      <c r="K911" t="str">
        <f>IFERROR(VLOOKUP(I911,[1]AUTOS!$C:$G,3,0),"")</f>
        <v/>
      </c>
      <c r="L911" t="str">
        <f>IFERROR(VLOOKUP(I911,[1]AUTOS!$C:$G,4,0),"")</f>
        <v/>
      </c>
      <c r="M911" t="s">
        <v>22</v>
      </c>
      <c r="P911" s="3">
        <v>-4515</v>
      </c>
    </row>
    <row r="912" spans="1:16" hidden="1" x14ac:dyDescent="0.3">
      <c r="A912">
        <v>42</v>
      </c>
      <c r="B912" t="str">
        <f>VLOOKUP($A912,[1]LISTA!$B:$C,2,0)</f>
        <v>OCTUBRE</v>
      </c>
      <c r="C912" s="1">
        <v>2025</v>
      </c>
      <c r="D912" s="1" t="str">
        <f>IF($A912&lt;=[1]RESULTADOS!$D$6,"YTD","YTG")</f>
        <v>YTG</v>
      </c>
      <c r="E912" t="s">
        <v>17</v>
      </c>
      <c r="F912" t="s">
        <v>18</v>
      </c>
      <c r="G912" t="s">
        <v>19</v>
      </c>
      <c r="H912" t="s">
        <v>618</v>
      </c>
      <c r="I912" t="s">
        <v>21</v>
      </c>
      <c r="J912" t="str">
        <f>IFERROR(VLOOKUP(I912,[1]AUTOS!$C:$G,2,0),"")</f>
        <v/>
      </c>
      <c r="K912" t="str">
        <f>IFERROR(VLOOKUP(I912,[1]AUTOS!$C:$G,3,0),"")</f>
        <v/>
      </c>
      <c r="L912" t="str">
        <f>IFERROR(VLOOKUP(I912,[1]AUTOS!$C:$G,4,0),"")</f>
        <v/>
      </c>
      <c r="M912" t="s">
        <v>22</v>
      </c>
      <c r="P912" s="3">
        <v>-1610</v>
      </c>
    </row>
    <row r="913" spans="1:16" hidden="1" x14ac:dyDescent="0.3">
      <c r="A913">
        <v>42</v>
      </c>
      <c r="B913" t="str">
        <f>VLOOKUP($A913,[1]LISTA!$B:$C,2,0)</f>
        <v>OCTUBRE</v>
      </c>
      <c r="C913" s="1">
        <v>2025</v>
      </c>
      <c r="D913" s="1" t="str">
        <f>IF($A913&lt;=[1]RESULTADOS!$D$6,"YTD","YTG")</f>
        <v>YTG</v>
      </c>
      <c r="E913" t="s">
        <v>17</v>
      </c>
      <c r="F913" t="s">
        <v>18</v>
      </c>
      <c r="G913" t="s">
        <v>19</v>
      </c>
      <c r="H913" t="s">
        <v>618</v>
      </c>
      <c r="I913" t="s">
        <v>21</v>
      </c>
      <c r="J913" t="str">
        <f>IFERROR(VLOOKUP(I913,[1]AUTOS!$C:$G,2,0),"")</f>
        <v/>
      </c>
      <c r="K913" t="str">
        <f>IFERROR(VLOOKUP(I913,[1]AUTOS!$C:$G,3,0),"")</f>
        <v/>
      </c>
      <c r="L913" t="str">
        <f>IFERROR(VLOOKUP(I913,[1]AUTOS!$C:$G,4,0),"")</f>
        <v/>
      </c>
      <c r="M913" t="s">
        <v>22</v>
      </c>
      <c r="P913" s="3">
        <v>-100</v>
      </c>
    </row>
    <row r="914" spans="1:16" hidden="1" x14ac:dyDescent="0.3">
      <c r="A914">
        <v>42</v>
      </c>
      <c r="B914" t="str">
        <f>VLOOKUP($A914,[1]LISTA!$B:$C,2,0)</f>
        <v>OCTUBRE</v>
      </c>
      <c r="C914" s="1">
        <v>2025</v>
      </c>
      <c r="D914" s="1" t="str">
        <f>IF($A914&lt;=[1]RESULTADOS!$D$6,"YTD","YTG")</f>
        <v>YTG</v>
      </c>
      <c r="E914" t="s">
        <v>17</v>
      </c>
      <c r="F914" t="s">
        <v>18</v>
      </c>
      <c r="G914" t="s">
        <v>19</v>
      </c>
      <c r="H914" t="s">
        <v>618</v>
      </c>
      <c r="I914" t="s">
        <v>21</v>
      </c>
      <c r="J914" t="str">
        <f>IFERROR(VLOOKUP(I914,[1]AUTOS!$C:$G,2,0),"")</f>
        <v/>
      </c>
      <c r="K914" t="str">
        <f>IFERROR(VLOOKUP(I914,[1]AUTOS!$C:$G,3,0),"")</f>
        <v/>
      </c>
      <c r="L914" t="str">
        <f>IFERROR(VLOOKUP(I914,[1]AUTOS!$C:$G,4,0),"")</f>
        <v/>
      </c>
      <c r="M914" t="s">
        <v>22</v>
      </c>
      <c r="P914" s="3">
        <v>-310</v>
      </c>
    </row>
    <row r="915" spans="1:16" hidden="1" x14ac:dyDescent="0.3">
      <c r="A915">
        <v>42</v>
      </c>
      <c r="B915" t="str">
        <f>VLOOKUP($A915,[1]LISTA!$B:$C,2,0)</f>
        <v>OCTUBRE</v>
      </c>
      <c r="C915" s="1">
        <v>2025</v>
      </c>
      <c r="D915" s="1" t="str">
        <f>IF($A915&lt;=[1]RESULTADOS!$D$6,"YTD","YTG")</f>
        <v>YTG</v>
      </c>
      <c r="E915" t="s">
        <v>17</v>
      </c>
      <c r="F915" t="s">
        <v>18</v>
      </c>
      <c r="G915" t="s">
        <v>19</v>
      </c>
      <c r="H915" t="s">
        <v>618</v>
      </c>
      <c r="I915" t="s">
        <v>21</v>
      </c>
      <c r="J915" t="str">
        <f>IFERROR(VLOOKUP(I915,[1]AUTOS!$C:$G,2,0),"")</f>
        <v/>
      </c>
      <c r="K915" t="str">
        <f>IFERROR(VLOOKUP(I915,[1]AUTOS!$C:$G,3,0),"")</f>
        <v/>
      </c>
      <c r="L915" t="str">
        <f>IFERROR(VLOOKUP(I915,[1]AUTOS!$C:$G,4,0),"")</f>
        <v/>
      </c>
      <c r="M915" t="s">
        <v>22</v>
      </c>
      <c r="P915" s="3">
        <v>-1300</v>
      </c>
    </row>
    <row r="916" spans="1:16" hidden="1" x14ac:dyDescent="0.3">
      <c r="A916">
        <v>42</v>
      </c>
      <c r="B916" t="str">
        <f>VLOOKUP($A916,[1]LISTA!$B:$C,2,0)</f>
        <v>OCTUBRE</v>
      </c>
      <c r="C916" s="1">
        <v>2025</v>
      </c>
      <c r="D916" s="1" t="str">
        <f>IF($A916&lt;=[1]RESULTADOS!$D$6,"YTD","YTG")</f>
        <v>YTG</v>
      </c>
      <c r="E916" t="s">
        <v>17</v>
      </c>
      <c r="F916" t="s">
        <v>18</v>
      </c>
      <c r="G916" t="s">
        <v>19</v>
      </c>
      <c r="H916" t="s">
        <v>618</v>
      </c>
      <c r="I916" t="s">
        <v>21</v>
      </c>
      <c r="J916" t="str">
        <f>IFERROR(VLOOKUP(I916,[1]AUTOS!$C:$G,2,0),"")</f>
        <v/>
      </c>
      <c r="K916" t="str">
        <f>IFERROR(VLOOKUP(I916,[1]AUTOS!$C:$G,3,0),"")</f>
        <v/>
      </c>
      <c r="L916" t="str">
        <f>IFERROR(VLOOKUP(I916,[1]AUTOS!$C:$G,4,0),"")</f>
        <v/>
      </c>
      <c r="M916" t="s">
        <v>22</v>
      </c>
      <c r="P916" s="3">
        <v>-4579</v>
      </c>
    </row>
    <row r="917" spans="1:16" hidden="1" x14ac:dyDescent="0.3">
      <c r="A917">
        <v>42</v>
      </c>
      <c r="B917" t="str">
        <f>VLOOKUP($A917,[1]LISTA!$B:$C,2,0)</f>
        <v>OCTUBRE</v>
      </c>
      <c r="C917" s="1">
        <v>2025</v>
      </c>
      <c r="D917" s="1" t="str">
        <f>IF($A917&lt;=[1]RESULTADOS!$D$6,"YTD","YTG")</f>
        <v>YTG</v>
      </c>
      <c r="E917" t="s">
        <v>17</v>
      </c>
      <c r="F917" t="s">
        <v>18</v>
      </c>
      <c r="G917" t="s">
        <v>69</v>
      </c>
      <c r="H917" t="s">
        <v>619</v>
      </c>
      <c r="I917" t="s">
        <v>21</v>
      </c>
      <c r="J917" t="str">
        <f>IFERROR(VLOOKUP(I917,[1]AUTOS!$C:$G,2,0),"")</f>
        <v/>
      </c>
      <c r="K917" t="str">
        <f>IFERROR(VLOOKUP(I917,[1]AUTOS!$C:$G,3,0),"")</f>
        <v/>
      </c>
      <c r="L917" t="str">
        <f>IFERROR(VLOOKUP(I917,[1]AUTOS!$C:$G,4,0),"")</f>
        <v/>
      </c>
      <c r="M917" t="s">
        <v>22</v>
      </c>
      <c r="P917" s="3">
        <v>-333</v>
      </c>
    </row>
    <row r="918" spans="1:16" hidden="1" x14ac:dyDescent="0.3">
      <c r="A918">
        <v>42</v>
      </c>
      <c r="B918" t="str">
        <f>VLOOKUP($A918,[1]LISTA!$B:$C,2,0)</f>
        <v>OCTUBRE</v>
      </c>
      <c r="C918" s="1">
        <v>2025</v>
      </c>
      <c r="D918" s="1" t="str">
        <f>IF($A918&lt;=[1]RESULTADOS!$D$6,"YTD","YTG")</f>
        <v>YTG</v>
      </c>
      <c r="E918" t="s">
        <v>17</v>
      </c>
      <c r="F918" t="s">
        <v>18</v>
      </c>
      <c r="G918" t="s">
        <v>87</v>
      </c>
      <c r="H918" t="s">
        <v>620</v>
      </c>
      <c r="I918" t="s">
        <v>21</v>
      </c>
      <c r="J918" t="str">
        <f>IFERROR(VLOOKUP(I918,[1]AUTOS!$C:$G,2,0),"")</f>
        <v/>
      </c>
      <c r="K918" t="str">
        <f>IFERROR(VLOOKUP(I918,[1]AUTOS!$C:$G,3,0),"")</f>
        <v/>
      </c>
      <c r="L918" t="str">
        <f>IFERROR(VLOOKUP(I918,[1]AUTOS!$C:$G,4,0),"")</f>
        <v/>
      </c>
      <c r="M918" t="s">
        <v>22</v>
      </c>
      <c r="P918" s="3">
        <v>-2443</v>
      </c>
    </row>
    <row r="919" spans="1:16" hidden="1" x14ac:dyDescent="0.3">
      <c r="A919">
        <v>42</v>
      </c>
      <c r="B919" t="str">
        <f>VLOOKUP($A919,[1]LISTA!$B:$C,2,0)</f>
        <v>OCTUBRE</v>
      </c>
      <c r="C919" s="1">
        <v>2025</v>
      </c>
      <c r="D919" s="1" t="str">
        <f>IF($A919&lt;=[1]RESULTADOS!$D$6,"YTD","YTG")</f>
        <v>YTG</v>
      </c>
      <c r="E919" t="s">
        <v>436</v>
      </c>
      <c r="F919" t="s">
        <v>18</v>
      </c>
      <c r="G919" t="s">
        <v>57</v>
      </c>
      <c r="H919" t="s">
        <v>621</v>
      </c>
      <c r="I919" t="s">
        <v>112</v>
      </c>
      <c r="J919" t="str">
        <f>IFERROR(VLOOKUP(I919,[1]AUTOS!$C:$G,2,0),"")</f>
        <v>KIA RIO</v>
      </c>
      <c r="K919">
        <f>IFERROR(VLOOKUP(I919,[1]AUTOS!$C:$G,3,0),"")</f>
        <v>2020</v>
      </c>
      <c r="L919" t="str">
        <f>IFERROR(VLOOKUP(I919,[1]AUTOS!$C:$G,4,0),"")</f>
        <v>ROJO</v>
      </c>
      <c r="M919" t="s">
        <v>43</v>
      </c>
      <c r="P919" s="3">
        <v>-216</v>
      </c>
    </row>
    <row r="920" spans="1:16" hidden="1" x14ac:dyDescent="0.3">
      <c r="A920">
        <v>42</v>
      </c>
      <c r="B920" t="str">
        <f>VLOOKUP($A920,[1]LISTA!$B:$C,2,0)</f>
        <v>OCTUBRE</v>
      </c>
      <c r="C920" s="1">
        <v>2025</v>
      </c>
      <c r="D920" s="1" t="str">
        <f>IF($A920&lt;=[1]RESULTADOS!$D$6,"YTD","YTG")</f>
        <v>YTG</v>
      </c>
      <c r="E920" t="s">
        <v>622</v>
      </c>
      <c r="F920" t="s">
        <v>18</v>
      </c>
      <c r="G920" t="s">
        <v>57</v>
      </c>
      <c r="H920" t="s">
        <v>621</v>
      </c>
      <c r="I920" t="s">
        <v>76</v>
      </c>
      <c r="J920" t="str">
        <f>IFERROR(VLOOKUP(I920,[1]AUTOS!$C:$G,2,0),"")</f>
        <v>AVEO</v>
      </c>
      <c r="K920">
        <f>IFERROR(VLOOKUP(I920,[1]AUTOS!$C:$G,3,0),"")</f>
        <v>2018</v>
      </c>
      <c r="L920" t="str">
        <f>IFERROR(VLOOKUP(I920,[1]AUTOS!$C:$G,4,0),"")</f>
        <v>GRIS</v>
      </c>
      <c r="M920" t="s">
        <v>43</v>
      </c>
      <c r="P920" s="3">
        <v>-216</v>
      </c>
    </row>
    <row r="921" spans="1:16" hidden="1" x14ac:dyDescent="0.3">
      <c r="A921">
        <v>42</v>
      </c>
      <c r="B921" t="str">
        <f>VLOOKUP($A921,[1]LISTA!$B:$C,2,0)</f>
        <v>OCTUBRE</v>
      </c>
      <c r="C921" s="1">
        <v>2025</v>
      </c>
      <c r="D921" s="1" t="str">
        <f>IF($A921&lt;=[1]RESULTADOS!$D$6,"YTD","YTG")</f>
        <v>YTG</v>
      </c>
      <c r="E921" t="s">
        <v>574</v>
      </c>
      <c r="F921" t="s">
        <v>18</v>
      </c>
      <c r="G921" t="s">
        <v>57</v>
      </c>
      <c r="H921" t="s">
        <v>621</v>
      </c>
      <c r="I921" t="s">
        <v>46</v>
      </c>
      <c r="J921" t="str">
        <f>IFERROR(VLOOKUP(I921,[1]AUTOS!$C:$G,2,0),"")</f>
        <v>MARCH</v>
      </c>
      <c r="K921">
        <f>IFERROR(VLOOKUP(I921,[1]AUTOS!$C:$G,3,0),"")</f>
        <v>2020</v>
      </c>
      <c r="L921" t="str">
        <f>IFERROR(VLOOKUP(I921,[1]AUTOS!$C:$G,4,0),"")</f>
        <v>TURQ</v>
      </c>
      <c r="M921" t="s">
        <v>43</v>
      </c>
      <c r="P921" s="3">
        <v>-216</v>
      </c>
    </row>
    <row r="922" spans="1:16" hidden="1" x14ac:dyDescent="0.3">
      <c r="A922">
        <v>42</v>
      </c>
      <c r="B922" t="str">
        <f>VLOOKUP($A922,[1]LISTA!$B:$C,2,0)</f>
        <v>OCTUBRE</v>
      </c>
      <c r="C922" s="1">
        <v>2025</v>
      </c>
      <c r="D922" s="1" t="str">
        <f>IF($A922&lt;=[1]RESULTADOS!$D$6,"YTD","YTG")</f>
        <v>YTG</v>
      </c>
      <c r="E922" t="s">
        <v>497</v>
      </c>
      <c r="F922" t="s">
        <v>18</v>
      </c>
      <c r="G922" t="s">
        <v>57</v>
      </c>
      <c r="H922" t="s">
        <v>621</v>
      </c>
      <c r="I922" t="s">
        <v>116</v>
      </c>
      <c r="J922" t="str">
        <f>IFERROR(VLOOKUP(I922,[1]AUTOS!$C:$G,2,0),"")</f>
        <v>AVEO</v>
      </c>
      <c r="K922">
        <f>IFERROR(VLOOKUP(I922,[1]AUTOS!$C:$G,3,0),"")</f>
        <v>2022</v>
      </c>
      <c r="L922" t="str">
        <f>IFERROR(VLOOKUP(I922,[1]AUTOS!$C:$G,4,0),"")</f>
        <v>AZUL</v>
      </c>
      <c r="M922" t="s">
        <v>43</v>
      </c>
      <c r="P922" s="3">
        <v>-216</v>
      </c>
    </row>
    <row r="923" spans="1:16" hidden="1" x14ac:dyDescent="0.3">
      <c r="A923">
        <v>42</v>
      </c>
      <c r="B923" t="str">
        <f>VLOOKUP($A923,[1]LISTA!$B:$C,2,0)</f>
        <v>OCTUBRE</v>
      </c>
      <c r="C923" s="1">
        <v>2025</v>
      </c>
      <c r="D923" s="1" t="str">
        <f>IF($A923&lt;=[1]RESULTADOS!$D$6,"YTD","YTG")</f>
        <v>YTG</v>
      </c>
      <c r="E923" t="s">
        <v>17</v>
      </c>
      <c r="F923" t="s">
        <v>18</v>
      </c>
      <c r="G923" t="s">
        <v>327</v>
      </c>
      <c r="H923" t="s">
        <v>623</v>
      </c>
      <c r="I923" t="s">
        <v>21</v>
      </c>
      <c r="J923" t="str">
        <f>IFERROR(VLOOKUP(I923,[1]AUTOS!$C:$G,2,0),"")</f>
        <v/>
      </c>
      <c r="K923" t="str">
        <f>IFERROR(VLOOKUP(I923,[1]AUTOS!$C:$G,3,0),"")</f>
        <v/>
      </c>
      <c r="L923" t="str">
        <f>IFERROR(VLOOKUP(I923,[1]AUTOS!$C:$G,4,0),"")</f>
        <v/>
      </c>
      <c r="M923" t="s">
        <v>22</v>
      </c>
      <c r="P923" s="3">
        <v>-298</v>
      </c>
    </row>
    <row r="924" spans="1:16" hidden="1" x14ac:dyDescent="0.3">
      <c r="A924">
        <v>42</v>
      </c>
      <c r="B924" t="str">
        <f>VLOOKUP($A924,[1]LISTA!$B:$C,2,0)</f>
        <v>OCTUBRE</v>
      </c>
      <c r="C924" s="1">
        <v>2025</v>
      </c>
      <c r="D924" s="1" t="str">
        <f>IF($A924&lt;=[1]RESULTADOS!$D$6,"YTD","YTG")</f>
        <v>YTG</v>
      </c>
      <c r="E924" t="s">
        <v>17</v>
      </c>
      <c r="F924" t="s">
        <v>18</v>
      </c>
      <c r="G924" t="s">
        <v>23</v>
      </c>
      <c r="H924" t="s">
        <v>624</v>
      </c>
      <c r="I924" t="s">
        <v>21</v>
      </c>
      <c r="J924" t="str">
        <f>IFERROR(VLOOKUP(I924,[1]AUTOS!$C:$G,2,0),"")</f>
        <v/>
      </c>
      <c r="K924" t="str">
        <f>IFERROR(VLOOKUP(I924,[1]AUTOS!$C:$G,3,0),"")</f>
        <v/>
      </c>
      <c r="L924" t="str">
        <f>IFERROR(VLOOKUP(I924,[1]AUTOS!$C:$G,4,0),"")</f>
        <v/>
      </c>
      <c r="M924" t="s">
        <v>22</v>
      </c>
      <c r="P924" s="3">
        <v>-34</v>
      </c>
    </row>
    <row r="925" spans="1:16" hidden="1" x14ac:dyDescent="0.3">
      <c r="A925">
        <v>42</v>
      </c>
      <c r="B925" t="str">
        <f>VLOOKUP($A925,[1]LISTA!$B:$C,2,0)</f>
        <v>OCTUBRE</v>
      </c>
      <c r="C925" s="1">
        <v>2025</v>
      </c>
      <c r="D925" s="1" t="str">
        <f>IF($A925&lt;=[1]RESULTADOS!$D$6,"YTD","YTG")</f>
        <v>YTG</v>
      </c>
      <c r="E925" t="s">
        <v>17</v>
      </c>
      <c r="F925" t="s">
        <v>18</v>
      </c>
      <c r="G925" t="s">
        <v>57</v>
      </c>
      <c r="H925" t="s">
        <v>249</v>
      </c>
      <c r="I925" t="s">
        <v>37</v>
      </c>
      <c r="J925" t="str">
        <f>IFERROR(VLOOKUP(I925,[1]AUTOS!$C:$G,2,0),"")</f>
        <v>BEAT</v>
      </c>
      <c r="K925">
        <f>IFERROR(VLOOKUP(I925,[1]AUTOS!$C:$G,3,0),"")</f>
        <v>2020</v>
      </c>
      <c r="L925" t="str">
        <f>IFERROR(VLOOKUP(I925,[1]AUTOS!$C:$G,4,0),"")</f>
        <v>GRIS</v>
      </c>
      <c r="M925" t="s">
        <v>35</v>
      </c>
      <c r="P925" s="3">
        <v>-50</v>
      </c>
    </row>
    <row r="926" spans="1:16" hidden="1" x14ac:dyDescent="0.3">
      <c r="A926">
        <v>42</v>
      </c>
      <c r="B926" t="str">
        <f>VLOOKUP($A926,[1]LISTA!$B:$C,2,0)</f>
        <v>OCTUBRE</v>
      </c>
      <c r="C926" s="1">
        <v>2025</v>
      </c>
      <c r="D926" s="1" t="str">
        <f>IF($A926&lt;=[1]RESULTADOS!$D$6,"YTD","YTG")</f>
        <v>YTG</v>
      </c>
      <c r="E926" t="s">
        <v>17</v>
      </c>
      <c r="F926" t="s">
        <v>18</v>
      </c>
      <c r="G926" t="s">
        <v>57</v>
      </c>
      <c r="H926" t="s">
        <v>249</v>
      </c>
      <c r="I926" t="s">
        <v>51</v>
      </c>
      <c r="J926" t="str">
        <f>IFERROR(VLOOKUP(I926,[1]AUTOS!$C:$G,2,0),"")</f>
        <v>VENTO</v>
      </c>
      <c r="K926">
        <f>IFERROR(VLOOKUP(I926,[1]AUTOS!$C:$G,3,0),"")</f>
        <v>2017</v>
      </c>
      <c r="L926" t="str">
        <f>IFERROR(VLOOKUP(I926,[1]AUTOS!$C:$G,4,0),"")</f>
        <v>GRIS</v>
      </c>
      <c r="M926" t="s">
        <v>43</v>
      </c>
      <c r="P926" s="3">
        <v>-50</v>
      </c>
    </row>
    <row r="927" spans="1:16" hidden="1" x14ac:dyDescent="0.3">
      <c r="A927">
        <v>42</v>
      </c>
      <c r="B927" t="str">
        <f>VLOOKUP($A927,[1]LISTA!$B:$C,2,0)</f>
        <v>OCTUBRE</v>
      </c>
      <c r="C927" s="1">
        <v>2025</v>
      </c>
      <c r="D927" s="1" t="str">
        <f>IF($A927&lt;=[1]RESULTADOS!$D$6,"YTD","YTG")</f>
        <v>YTG</v>
      </c>
      <c r="E927" t="s">
        <v>436</v>
      </c>
      <c r="F927" t="s">
        <v>18</v>
      </c>
      <c r="G927" t="s">
        <v>48</v>
      </c>
      <c r="H927" t="s">
        <v>625</v>
      </c>
      <c r="I927" t="s">
        <v>112</v>
      </c>
      <c r="J927" t="str">
        <f>IFERROR(VLOOKUP(I927,[1]AUTOS!$C:$G,2,0),"")</f>
        <v>KIA RIO</v>
      </c>
      <c r="K927">
        <f>IFERROR(VLOOKUP(I927,[1]AUTOS!$C:$G,3,0),"")</f>
        <v>2020</v>
      </c>
      <c r="L927" t="str">
        <f>IFERROR(VLOOKUP(I927,[1]AUTOS!$C:$G,4,0),"")</f>
        <v>ROJO</v>
      </c>
      <c r="M927" t="s">
        <v>43</v>
      </c>
      <c r="P927" s="3">
        <v>-250</v>
      </c>
    </row>
    <row r="928" spans="1:16" hidden="1" x14ac:dyDescent="0.3">
      <c r="A928">
        <v>42</v>
      </c>
      <c r="B928" t="str">
        <f>VLOOKUP($A928,[1]LISTA!$B:$C,2,0)</f>
        <v>OCTUBRE</v>
      </c>
      <c r="C928" s="1">
        <v>2025</v>
      </c>
      <c r="D928" s="1" t="str">
        <f>IF($A928&lt;=[1]RESULTADOS!$D$6,"YTD","YTG")</f>
        <v>YTG</v>
      </c>
      <c r="E928" t="s">
        <v>17</v>
      </c>
      <c r="F928" t="s">
        <v>18</v>
      </c>
      <c r="G928" t="s">
        <v>57</v>
      </c>
      <c r="H928" t="s">
        <v>626</v>
      </c>
      <c r="I928" t="s">
        <v>51</v>
      </c>
      <c r="J928" t="str">
        <f>IFERROR(VLOOKUP(I928,[1]AUTOS!$C:$G,2,0),"")</f>
        <v>VENTO</v>
      </c>
      <c r="K928">
        <f>IFERROR(VLOOKUP(I928,[1]AUTOS!$C:$G,3,0),"")</f>
        <v>2017</v>
      </c>
      <c r="L928" t="str">
        <f>IFERROR(VLOOKUP(I928,[1]AUTOS!$C:$G,4,0),"")</f>
        <v>GRIS</v>
      </c>
      <c r="M928" t="s">
        <v>43</v>
      </c>
      <c r="P928" s="3">
        <v>-250</v>
      </c>
    </row>
    <row r="929" spans="1:16" hidden="1" x14ac:dyDescent="0.3">
      <c r="A929">
        <v>42</v>
      </c>
      <c r="B929" t="str">
        <f>VLOOKUP($A929,[1]LISTA!$B:$C,2,0)</f>
        <v>OCTUBRE</v>
      </c>
      <c r="C929" s="1">
        <v>2025</v>
      </c>
      <c r="D929" s="1" t="str">
        <f>IF($A929&lt;=[1]RESULTADOS!$D$6,"YTD","YTG")</f>
        <v>YTG</v>
      </c>
      <c r="E929" t="s">
        <v>622</v>
      </c>
      <c r="F929" t="s">
        <v>18</v>
      </c>
      <c r="G929" t="s">
        <v>83</v>
      </c>
      <c r="H929" t="s">
        <v>627</v>
      </c>
      <c r="I929" t="s">
        <v>76</v>
      </c>
      <c r="J929" t="str">
        <f>IFERROR(VLOOKUP(I929,[1]AUTOS!$C:$G,2,0),"")</f>
        <v>AVEO</v>
      </c>
      <c r="K929">
        <f>IFERROR(VLOOKUP(I929,[1]AUTOS!$C:$G,3,0),"")</f>
        <v>2018</v>
      </c>
      <c r="L929" t="str">
        <f>IFERROR(VLOOKUP(I929,[1]AUTOS!$C:$G,4,0),"")</f>
        <v>GRIS</v>
      </c>
      <c r="M929" t="s">
        <v>43</v>
      </c>
      <c r="P929" s="3">
        <v>-566</v>
      </c>
    </row>
    <row r="930" spans="1:16" hidden="1" x14ac:dyDescent="0.3">
      <c r="A930">
        <v>42</v>
      </c>
      <c r="B930" t="str">
        <f>VLOOKUP($A930,[1]LISTA!$B:$C,2,0)</f>
        <v>OCTUBRE</v>
      </c>
      <c r="C930" s="1">
        <v>2025</v>
      </c>
      <c r="D930" s="1" t="str">
        <f>IF($A930&lt;=[1]RESULTADOS!$D$6,"YTD","YTG")</f>
        <v>YTG</v>
      </c>
      <c r="E930" t="s">
        <v>17</v>
      </c>
      <c r="F930" t="s">
        <v>18</v>
      </c>
      <c r="G930" t="s">
        <v>57</v>
      </c>
      <c r="H930" t="s">
        <v>628</v>
      </c>
      <c r="I930" t="s">
        <v>21</v>
      </c>
      <c r="J930" t="str">
        <f>IFERROR(VLOOKUP(I930,[1]AUTOS!$C:$G,2,0),"")</f>
        <v/>
      </c>
      <c r="K930" t="str">
        <f>IFERROR(VLOOKUP(I930,[1]AUTOS!$C:$G,3,0),"")</f>
        <v/>
      </c>
      <c r="L930" t="str">
        <f>IFERROR(VLOOKUP(I930,[1]AUTOS!$C:$G,4,0),"")</f>
        <v/>
      </c>
      <c r="M930" t="s">
        <v>22</v>
      </c>
      <c r="P930" s="3">
        <v>-45</v>
      </c>
    </row>
    <row r="931" spans="1:16" hidden="1" x14ac:dyDescent="0.3">
      <c r="A931">
        <v>42</v>
      </c>
      <c r="B931" t="str">
        <f>VLOOKUP($A931,[1]LISTA!$B:$C,2,0)</f>
        <v>OCTUBRE</v>
      </c>
      <c r="C931" s="1">
        <v>2025</v>
      </c>
      <c r="D931" s="1" t="str">
        <f>IF($A931&lt;=[1]RESULTADOS!$D$6,"YTD","YTG")</f>
        <v>YTG</v>
      </c>
      <c r="E931" t="s">
        <v>456</v>
      </c>
      <c r="F931" t="s">
        <v>18</v>
      </c>
      <c r="G931" t="s">
        <v>38</v>
      </c>
      <c r="H931" t="s">
        <v>194</v>
      </c>
      <c r="I931" t="s">
        <v>146</v>
      </c>
      <c r="J931" t="str">
        <f>IFERROR(VLOOKUP(I931,[1]AUTOS!$C:$G,2,0),"")</f>
        <v>KIA RIO</v>
      </c>
      <c r="K931">
        <f>IFERROR(VLOOKUP(I931,[1]AUTOS!$C:$G,3,0),"")</f>
        <v>2023</v>
      </c>
      <c r="L931" t="str">
        <f>IFERROR(VLOOKUP(I931,[1]AUTOS!$C:$G,4,0),"")</f>
        <v>ROJO</v>
      </c>
      <c r="M931" t="s">
        <v>35</v>
      </c>
      <c r="P931" s="3">
        <v>-111</v>
      </c>
    </row>
    <row r="932" spans="1:16" hidden="1" x14ac:dyDescent="0.3">
      <c r="A932">
        <v>42</v>
      </c>
      <c r="B932" t="str">
        <f>VLOOKUP($A932,[1]LISTA!$B:$C,2,0)</f>
        <v>OCTUBRE</v>
      </c>
      <c r="C932" s="1">
        <v>2025</v>
      </c>
      <c r="D932" s="1" t="str">
        <f>IF($A932&lt;=[1]RESULTADOS!$D$6,"YTD","YTG")</f>
        <v>YTG</v>
      </c>
      <c r="E932" t="s">
        <v>470</v>
      </c>
      <c r="F932" t="s">
        <v>18</v>
      </c>
      <c r="G932" t="s">
        <v>38</v>
      </c>
      <c r="H932" t="s">
        <v>194</v>
      </c>
      <c r="I932" t="s">
        <v>73</v>
      </c>
      <c r="J932" t="str">
        <f>IFERROR(VLOOKUP(I932,[1]AUTOS!$C:$G,2,0),"")</f>
        <v>VERSA</v>
      </c>
      <c r="K932">
        <f>IFERROR(VLOOKUP(I932,[1]AUTOS!$C:$G,3,0),"")</f>
        <v>2023</v>
      </c>
      <c r="L932" t="str">
        <f>IFERROR(VLOOKUP(I932,[1]AUTOS!$C:$G,4,0),"")</f>
        <v>PLATA</v>
      </c>
      <c r="M932" t="s">
        <v>43</v>
      </c>
      <c r="P932" s="3">
        <v>-43</v>
      </c>
    </row>
    <row r="933" spans="1:16" hidden="1" x14ac:dyDescent="0.3">
      <c r="A933">
        <v>42</v>
      </c>
      <c r="B933" t="str">
        <f>VLOOKUP($A933,[1]LISTA!$B:$C,2,0)</f>
        <v>OCTUBRE</v>
      </c>
      <c r="C933" s="1">
        <v>2025</v>
      </c>
      <c r="D933" s="1" t="str">
        <f>IF($A933&lt;=[1]RESULTADOS!$D$6,"YTD","YTG")</f>
        <v>YTG</v>
      </c>
      <c r="E933" t="s">
        <v>456</v>
      </c>
      <c r="F933" t="s">
        <v>18</v>
      </c>
      <c r="G933" t="s">
        <v>38</v>
      </c>
      <c r="H933" t="s">
        <v>193</v>
      </c>
      <c r="I933" t="s">
        <v>146</v>
      </c>
      <c r="J933" t="str">
        <f>IFERROR(VLOOKUP(I933,[1]AUTOS!$C:$G,2,0),"")</f>
        <v>KIA RIO</v>
      </c>
      <c r="K933">
        <f>IFERROR(VLOOKUP(I933,[1]AUTOS!$C:$G,3,0),"")</f>
        <v>2023</v>
      </c>
      <c r="L933" t="str">
        <f>IFERROR(VLOOKUP(I933,[1]AUTOS!$C:$G,4,0),"")</f>
        <v>ROJO</v>
      </c>
      <c r="M933" t="s">
        <v>35</v>
      </c>
      <c r="P933" s="3">
        <v>-98</v>
      </c>
    </row>
    <row r="934" spans="1:16" hidden="1" x14ac:dyDescent="0.3">
      <c r="A934">
        <v>42</v>
      </c>
      <c r="B934" t="str">
        <f>VLOOKUP($A934,[1]LISTA!$B:$C,2,0)</f>
        <v>OCTUBRE</v>
      </c>
      <c r="C934" s="1">
        <v>2025</v>
      </c>
      <c r="D934" s="1" t="str">
        <f>IF($A934&lt;=[1]RESULTADOS!$D$6,"YTD","YTG")</f>
        <v>YTG</v>
      </c>
      <c r="E934" t="s">
        <v>456</v>
      </c>
      <c r="F934" t="s">
        <v>18</v>
      </c>
      <c r="G934" t="s">
        <v>38</v>
      </c>
      <c r="H934" t="s">
        <v>310</v>
      </c>
      <c r="I934" t="s">
        <v>146</v>
      </c>
      <c r="J934" t="str">
        <f>IFERROR(VLOOKUP(I934,[1]AUTOS!$C:$G,2,0),"")</f>
        <v>KIA RIO</v>
      </c>
      <c r="K934">
        <f>IFERROR(VLOOKUP(I934,[1]AUTOS!$C:$G,3,0),"")</f>
        <v>2023</v>
      </c>
      <c r="L934" t="str">
        <f>IFERROR(VLOOKUP(I934,[1]AUTOS!$C:$G,4,0),"")</f>
        <v>ROJO</v>
      </c>
      <c r="M934" t="s">
        <v>35</v>
      </c>
      <c r="P934" s="3">
        <v>-550</v>
      </c>
    </row>
    <row r="935" spans="1:16" hidden="1" x14ac:dyDescent="0.3">
      <c r="A935">
        <v>42</v>
      </c>
      <c r="B935" t="str">
        <f>VLOOKUP($A935,[1]LISTA!$B:$C,2,0)</f>
        <v>OCTUBRE</v>
      </c>
      <c r="C935" s="1">
        <v>2025</v>
      </c>
      <c r="D935" s="1" t="str">
        <f>IF($A935&lt;=[1]RESULTADOS!$D$6,"YTD","YTG")</f>
        <v>YTG</v>
      </c>
      <c r="E935" t="s">
        <v>411</v>
      </c>
      <c r="F935" t="s">
        <v>18</v>
      </c>
      <c r="G935" t="s">
        <v>38</v>
      </c>
      <c r="H935" t="s">
        <v>310</v>
      </c>
      <c r="I935" t="s">
        <v>178</v>
      </c>
      <c r="J935" t="str">
        <f>IFERROR(VLOOKUP(I935,[1]AUTOS!$C:$G,2,0),"")</f>
        <v>VERSA</v>
      </c>
      <c r="K935">
        <f>IFERROR(VLOOKUP(I935,[1]AUTOS!$C:$G,3,0),"")</f>
        <v>2020</v>
      </c>
      <c r="L935" t="str">
        <f>IFERROR(VLOOKUP(I935,[1]AUTOS!$C:$G,4,0),"")</f>
        <v>BLANCO</v>
      </c>
      <c r="M935" t="s">
        <v>43</v>
      </c>
      <c r="P935" s="3">
        <v>-550</v>
      </c>
    </row>
    <row r="936" spans="1:16" hidden="1" x14ac:dyDescent="0.3">
      <c r="A936">
        <v>42</v>
      </c>
      <c r="B936" t="str">
        <f>VLOOKUP($A936,[1]LISTA!$B:$C,2,0)</f>
        <v>OCTUBRE</v>
      </c>
      <c r="C936" s="1">
        <v>2025</v>
      </c>
      <c r="D936" s="1" t="str">
        <f>IF($A936&lt;=[1]RESULTADOS!$D$6,"YTD","YTG")</f>
        <v>YTG</v>
      </c>
      <c r="E936" t="s">
        <v>470</v>
      </c>
      <c r="F936" t="s">
        <v>18</v>
      </c>
      <c r="G936" t="s">
        <v>38</v>
      </c>
      <c r="H936" t="s">
        <v>310</v>
      </c>
      <c r="I936" t="s">
        <v>73</v>
      </c>
      <c r="J936" t="str">
        <f>IFERROR(VLOOKUP(I936,[1]AUTOS!$C:$G,2,0),"")</f>
        <v>VERSA</v>
      </c>
      <c r="K936">
        <f>IFERROR(VLOOKUP(I936,[1]AUTOS!$C:$G,3,0),"")</f>
        <v>2023</v>
      </c>
      <c r="L936" t="str">
        <f>IFERROR(VLOOKUP(I936,[1]AUTOS!$C:$G,4,0),"")</f>
        <v>PLATA</v>
      </c>
      <c r="M936" t="s">
        <v>43</v>
      </c>
      <c r="P936" s="3">
        <v>-550</v>
      </c>
    </row>
    <row r="937" spans="1:16" hidden="1" x14ac:dyDescent="0.3">
      <c r="A937">
        <v>42</v>
      </c>
      <c r="B937" t="str">
        <f>VLOOKUP($A937,[1]LISTA!$B:$C,2,0)</f>
        <v>OCTUBRE</v>
      </c>
      <c r="C937" s="1">
        <v>2025</v>
      </c>
      <c r="D937" s="1" t="str">
        <f>IF($A937&lt;=[1]RESULTADOS!$D$6,"YTD","YTG")</f>
        <v>YTG</v>
      </c>
      <c r="E937" t="s">
        <v>17</v>
      </c>
      <c r="F937" t="s">
        <v>18</v>
      </c>
      <c r="G937" t="s">
        <v>38</v>
      </c>
      <c r="H937" t="s">
        <v>310</v>
      </c>
      <c r="I937" t="s">
        <v>37</v>
      </c>
      <c r="J937" t="str">
        <f>IFERROR(VLOOKUP(I937,[1]AUTOS!$C:$G,2,0),"")</f>
        <v>BEAT</v>
      </c>
      <c r="K937">
        <f>IFERROR(VLOOKUP(I937,[1]AUTOS!$C:$G,3,0),"")</f>
        <v>2020</v>
      </c>
      <c r="L937" t="str">
        <f>IFERROR(VLOOKUP(I937,[1]AUTOS!$C:$G,4,0),"")</f>
        <v>GRIS</v>
      </c>
      <c r="M937" t="s">
        <v>35</v>
      </c>
      <c r="P937" s="3">
        <v>-550</v>
      </c>
    </row>
    <row r="938" spans="1:16" hidden="1" x14ac:dyDescent="0.3">
      <c r="A938">
        <v>42</v>
      </c>
      <c r="B938" t="str">
        <f>VLOOKUP($A938,[1]LISTA!$B:$C,2,0)</f>
        <v>OCTUBRE</v>
      </c>
      <c r="C938" s="1">
        <v>2025</v>
      </c>
      <c r="D938" s="1" t="str">
        <f>IF($A938&lt;=[1]RESULTADOS!$D$6,"YTD","YTG")</f>
        <v>YTG</v>
      </c>
      <c r="E938" t="s">
        <v>456</v>
      </c>
      <c r="F938" t="s">
        <v>18</v>
      </c>
      <c r="G938" t="s">
        <v>153</v>
      </c>
      <c r="H938" t="s">
        <v>155</v>
      </c>
      <c r="I938" t="s">
        <v>146</v>
      </c>
      <c r="J938" t="str">
        <f>IFERROR(VLOOKUP(I938,[1]AUTOS!$C:$G,2,0),"")</f>
        <v>KIA RIO</v>
      </c>
      <c r="K938">
        <f>IFERROR(VLOOKUP(I938,[1]AUTOS!$C:$G,3,0),"")</f>
        <v>2023</v>
      </c>
      <c r="L938" t="str">
        <f>IFERROR(VLOOKUP(I938,[1]AUTOS!$C:$G,4,0),"")</f>
        <v>ROJO</v>
      </c>
      <c r="M938" t="s">
        <v>35</v>
      </c>
      <c r="P938" s="3">
        <v>-450</v>
      </c>
    </row>
    <row r="939" spans="1:16" hidden="1" x14ac:dyDescent="0.3">
      <c r="A939">
        <v>42</v>
      </c>
      <c r="B939" t="str">
        <f>VLOOKUP($A939,[1]LISTA!$B:$C,2,0)</f>
        <v>OCTUBRE</v>
      </c>
      <c r="C939" s="1">
        <v>2025</v>
      </c>
      <c r="D939" s="1" t="str">
        <f>IF($A939&lt;=[1]RESULTADOS!$D$6,"YTD","YTG")</f>
        <v>YTG</v>
      </c>
      <c r="E939" t="s">
        <v>456</v>
      </c>
      <c r="F939" t="s">
        <v>18</v>
      </c>
      <c r="G939" t="s">
        <v>153</v>
      </c>
      <c r="H939" t="s">
        <v>285</v>
      </c>
      <c r="I939" t="s">
        <v>146</v>
      </c>
      <c r="J939" t="str">
        <f>IFERROR(VLOOKUP(I939,[1]AUTOS!$C:$G,2,0),"")</f>
        <v>KIA RIO</v>
      </c>
      <c r="K939">
        <f>IFERROR(VLOOKUP(I939,[1]AUTOS!$C:$G,3,0),"")</f>
        <v>2023</v>
      </c>
      <c r="L939" t="str">
        <f>IFERROR(VLOOKUP(I939,[1]AUTOS!$C:$G,4,0),"")</f>
        <v>ROJO</v>
      </c>
      <c r="M939" t="s">
        <v>35</v>
      </c>
      <c r="P939" s="3">
        <v>-280</v>
      </c>
    </row>
    <row r="940" spans="1:16" hidden="1" x14ac:dyDescent="0.3">
      <c r="A940">
        <v>42</v>
      </c>
      <c r="B940" t="str">
        <f>VLOOKUP($A940,[1]LISTA!$B:$C,2,0)</f>
        <v>OCTUBRE</v>
      </c>
      <c r="C940" s="1">
        <v>2025</v>
      </c>
      <c r="D940" s="1" t="str">
        <f>IF($A940&lt;=[1]RESULTADOS!$D$6,"YTD","YTG")</f>
        <v>YTG</v>
      </c>
      <c r="E940" t="s">
        <v>470</v>
      </c>
      <c r="F940" t="s">
        <v>18</v>
      </c>
      <c r="G940" t="s">
        <v>153</v>
      </c>
      <c r="H940" t="s">
        <v>155</v>
      </c>
      <c r="I940" t="s">
        <v>73</v>
      </c>
      <c r="J940" t="str">
        <f>IFERROR(VLOOKUP(I940,[1]AUTOS!$C:$G,2,0),"")</f>
        <v>VERSA</v>
      </c>
      <c r="K940">
        <f>IFERROR(VLOOKUP(I940,[1]AUTOS!$C:$G,3,0),"")</f>
        <v>2023</v>
      </c>
      <c r="L940" t="str">
        <f>IFERROR(VLOOKUP(I940,[1]AUTOS!$C:$G,4,0),"")</f>
        <v>PLATA</v>
      </c>
      <c r="M940" t="s">
        <v>43</v>
      </c>
      <c r="P940" s="3">
        <v>-358</v>
      </c>
    </row>
    <row r="941" spans="1:16" hidden="1" x14ac:dyDescent="0.3">
      <c r="A941">
        <v>42</v>
      </c>
      <c r="B941" t="str">
        <f>VLOOKUP($A941,[1]LISTA!$B:$C,2,0)</f>
        <v>OCTUBRE</v>
      </c>
      <c r="C941" s="1">
        <v>2025</v>
      </c>
      <c r="D941" s="1" t="str">
        <f>IF($A941&lt;=[1]RESULTADOS!$D$6,"YTD","YTG")</f>
        <v>YTG</v>
      </c>
      <c r="E941" t="s">
        <v>574</v>
      </c>
      <c r="F941" t="s">
        <v>18</v>
      </c>
      <c r="G941" t="s">
        <v>176</v>
      </c>
      <c r="H941" t="s">
        <v>629</v>
      </c>
      <c r="I941" t="s">
        <v>46</v>
      </c>
      <c r="J941" t="str">
        <f>IFERROR(VLOOKUP(I941,[1]AUTOS!$C:$G,2,0),"")</f>
        <v>MARCH</v>
      </c>
      <c r="K941">
        <f>IFERROR(VLOOKUP(I941,[1]AUTOS!$C:$G,3,0),"")</f>
        <v>2020</v>
      </c>
      <c r="L941" t="str">
        <f>IFERROR(VLOOKUP(I941,[1]AUTOS!$C:$G,4,0),"")</f>
        <v>TURQ</v>
      </c>
      <c r="M941" t="s">
        <v>43</v>
      </c>
      <c r="P941" s="3">
        <v>-150</v>
      </c>
    </row>
    <row r="942" spans="1:16" hidden="1" x14ac:dyDescent="0.3">
      <c r="A942">
        <v>42</v>
      </c>
      <c r="B942" t="str">
        <f>VLOOKUP($A942,[1]LISTA!$B:$C,2,0)</f>
        <v>OCTUBRE</v>
      </c>
      <c r="C942" s="1">
        <v>2025</v>
      </c>
      <c r="D942" s="1" t="str">
        <f>IF($A942&lt;=[1]RESULTADOS!$D$6,"YTD","YTG")</f>
        <v>YTG</v>
      </c>
      <c r="E942" t="s">
        <v>630</v>
      </c>
      <c r="F942" t="s">
        <v>18</v>
      </c>
      <c r="G942" t="s">
        <v>176</v>
      </c>
      <c r="H942" t="s">
        <v>631</v>
      </c>
      <c r="I942" t="s">
        <v>51</v>
      </c>
      <c r="J942" t="str">
        <f>IFERROR(VLOOKUP(I942,[1]AUTOS!$C:$G,2,0),"")</f>
        <v>VENTO</v>
      </c>
      <c r="K942">
        <f>IFERROR(VLOOKUP(I942,[1]AUTOS!$C:$G,3,0),"")</f>
        <v>2017</v>
      </c>
      <c r="L942" t="str">
        <f>IFERROR(VLOOKUP(I942,[1]AUTOS!$C:$G,4,0),"")</f>
        <v>GRIS</v>
      </c>
      <c r="M942" t="s">
        <v>43</v>
      </c>
      <c r="P942" s="3">
        <v>-132</v>
      </c>
    </row>
    <row r="943" spans="1:16" hidden="1" x14ac:dyDescent="0.3">
      <c r="A943">
        <v>42</v>
      </c>
      <c r="B943" t="str">
        <f>VLOOKUP($A943,[1]LISTA!$B:$C,2,0)</f>
        <v>OCTUBRE</v>
      </c>
      <c r="C943" s="1">
        <v>2025</v>
      </c>
      <c r="D943" s="1" t="str">
        <f>IF($A943&lt;=[1]RESULTADOS!$D$6,"YTD","YTG")</f>
        <v>YTG</v>
      </c>
      <c r="E943" t="s">
        <v>630</v>
      </c>
      <c r="F943" t="s">
        <v>18</v>
      </c>
      <c r="G943" t="s">
        <v>176</v>
      </c>
      <c r="H943" t="s">
        <v>632</v>
      </c>
      <c r="I943" t="s">
        <v>51</v>
      </c>
      <c r="J943" t="str">
        <f>IFERROR(VLOOKUP(I943,[1]AUTOS!$C:$G,2,0),"")</f>
        <v>VENTO</v>
      </c>
      <c r="K943">
        <f>IFERROR(VLOOKUP(I943,[1]AUTOS!$C:$G,3,0),"")</f>
        <v>2017</v>
      </c>
      <c r="L943" t="str">
        <f>IFERROR(VLOOKUP(I943,[1]AUTOS!$C:$G,4,0),"")</f>
        <v>GRIS</v>
      </c>
      <c r="M943" t="s">
        <v>43</v>
      </c>
      <c r="P943" s="3">
        <v>-109</v>
      </c>
    </row>
    <row r="944" spans="1:16" hidden="1" x14ac:dyDescent="0.3">
      <c r="A944">
        <v>42</v>
      </c>
      <c r="B944" t="str">
        <f>VLOOKUP($A944,[1]LISTA!$B:$C,2,0)</f>
        <v>OCTUBRE</v>
      </c>
      <c r="C944" s="1">
        <v>2025</v>
      </c>
      <c r="D944" s="1" t="str">
        <f>IF($A944&lt;=[1]RESULTADOS!$D$6,"YTD","YTG")</f>
        <v>YTG</v>
      </c>
      <c r="E944" t="s">
        <v>633</v>
      </c>
      <c r="F944" t="s">
        <v>18</v>
      </c>
      <c r="G944" t="s">
        <v>176</v>
      </c>
      <c r="H944" t="s">
        <v>634</v>
      </c>
      <c r="I944" t="s">
        <v>46</v>
      </c>
      <c r="J944" t="str">
        <f>IFERROR(VLOOKUP(I944,[1]AUTOS!$C:$G,2,0),"")</f>
        <v>MARCH</v>
      </c>
      <c r="K944">
        <f>IFERROR(VLOOKUP(I944,[1]AUTOS!$C:$G,3,0),"")</f>
        <v>2020</v>
      </c>
      <c r="L944" t="str">
        <f>IFERROR(VLOOKUP(I944,[1]AUTOS!$C:$G,4,0),"")</f>
        <v>TURQ</v>
      </c>
      <c r="M944" t="s">
        <v>43</v>
      </c>
      <c r="P944" s="3">
        <v>-184</v>
      </c>
    </row>
    <row r="945" spans="1:16" hidden="1" x14ac:dyDescent="0.3">
      <c r="A945">
        <v>42</v>
      </c>
      <c r="B945" t="str">
        <f>VLOOKUP($A945,[1]LISTA!$B:$C,2,0)</f>
        <v>OCTUBRE</v>
      </c>
      <c r="C945" s="1">
        <v>2025</v>
      </c>
      <c r="D945" s="1" t="str">
        <f>IF($A945&lt;=[1]RESULTADOS!$D$6,"YTD","YTG")</f>
        <v>YTG</v>
      </c>
      <c r="E945" t="s">
        <v>470</v>
      </c>
      <c r="F945" t="s">
        <v>18</v>
      </c>
      <c r="G945" t="s">
        <v>57</v>
      </c>
      <c r="H945" t="s">
        <v>260</v>
      </c>
      <c r="I945" t="s">
        <v>73</v>
      </c>
      <c r="J945" t="str">
        <f>IFERROR(VLOOKUP(I945,[1]AUTOS!$C:$G,2,0),"")</f>
        <v>VERSA</v>
      </c>
      <c r="K945">
        <f>IFERROR(VLOOKUP(I945,[1]AUTOS!$C:$G,3,0),"")</f>
        <v>2023</v>
      </c>
      <c r="L945" t="str">
        <f>IFERROR(VLOOKUP(I945,[1]AUTOS!$C:$G,4,0),"")</f>
        <v>PLATA</v>
      </c>
      <c r="M945" t="s">
        <v>43</v>
      </c>
      <c r="P945" s="3">
        <v>-180</v>
      </c>
    </row>
    <row r="946" spans="1:16" hidden="1" x14ac:dyDescent="0.3">
      <c r="A946">
        <v>42</v>
      </c>
      <c r="B946" t="str">
        <f>VLOOKUP($A946,[1]LISTA!$B:$C,2,0)</f>
        <v>OCTUBRE</v>
      </c>
      <c r="C946" s="1">
        <v>2025</v>
      </c>
      <c r="D946" s="1" t="str">
        <f>IF($A946&lt;=[1]RESULTADOS!$D$6,"YTD","YTG")</f>
        <v>YTG</v>
      </c>
      <c r="E946" t="s">
        <v>411</v>
      </c>
      <c r="F946" t="s">
        <v>18</v>
      </c>
      <c r="G946" t="s">
        <v>57</v>
      </c>
      <c r="H946" t="s">
        <v>260</v>
      </c>
      <c r="I946" t="s">
        <v>178</v>
      </c>
      <c r="J946" t="str">
        <f>IFERROR(VLOOKUP(I946,[1]AUTOS!$C:$G,2,0),"")</f>
        <v>VERSA</v>
      </c>
      <c r="K946">
        <f>IFERROR(VLOOKUP(I946,[1]AUTOS!$C:$G,3,0),"")</f>
        <v>2020</v>
      </c>
      <c r="L946" t="str">
        <f>IFERROR(VLOOKUP(I946,[1]AUTOS!$C:$G,4,0),"")</f>
        <v>BLANCO</v>
      </c>
      <c r="M946" t="s">
        <v>43</v>
      </c>
      <c r="P946" s="3">
        <v>-180</v>
      </c>
    </row>
    <row r="947" spans="1:16" hidden="1" x14ac:dyDescent="0.3">
      <c r="A947">
        <v>42</v>
      </c>
      <c r="B947" t="str">
        <f>VLOOKUP($A947,[1]LISTA!$B:$C,2,0)</f>
        <v>OCTUBRE</v>
      </c>
      <c r="C947" s="1">
        <v>2025</v>
      </c>
      <c r="D947" s="1" t="str">
        <f>IF($A947&lt;=[1]RESULTADOS!$D$6,"YTD","YTG")</f>
        <v>YTG</v>
      </c>
      <c r="E947" t="s">
        <v>537</v>
      </c>
      <c r="F947" t="s">
        <v>18</v>
      </c>
      <c r="G947" t="s">
        <v>57</v>
      </c>
      <c r="H947" t="s">
        <v>260</v>
      </c>
      <c r="I947" t="s">
        <v>37</v>
      </c>
      <c r="J947" t="str">
        <f>IFERROR(VLOOKUP(I947,[1]AUTOS!$C:$G,2,0),"")</f>
        <v>BEAT</v>
      </c>
      <c r="K947">
        <f>IFERROR(VLOOKUP(I947,[1]AUTOS!$C:$G,3,0),"")</f>
        <v>2020</v>
      </c>
      <c r="L947" t="str">
        <f>IFERROR(VLOOKUP(I947,[1]AUTOS!$C:$G,4,0),"")</f>
        <v>GRIS</v>
      </c>
      <c r="M947" t="s">
        <v>35</v>
      </c>
      <c r="P947" s="3">
        <v>-212</v>
      </c>
    </row>
    <row r="948" spans="1:16" hidden="1" x14ac:dyDescent="0.3">
      <c r="A948">
        <v>42</v>
      </c>
      <c r="B948" t="str">
        <f>VLOOKUP($A948,[1]LISTA!$B:$C,2,0)</f>
        <v>OCTUBRE</v>
      </c>
      <c r="C948" s="1">
        <v>2025</v>
      </c>
      <c r="D948" s="1" t="str">
        <f>IF($A948&lt;=[1]RESULTADOS!$D$6,"YTD","YTG")</f>
        <v>YTG</v>
      </c>
      <c r="E948" t="s">
        <v>574</v>
      </c>
      <c r="F948" t="s">
        <v>18</v>
      </c>
      <c r="G948" t="s">
        <v>57</v>
      </c>
      <c r="H948" t="s">
        <v>635</v>
      </c>
      <c r="I948" t="s">
        <v>333</v>
      </c>
      <c r="J948" t="str">
        <f>IFERROR(VLOOKUP(I948,[1]AUTOS!$C:$G,2,0),"")</f>
        <v>BEAT</v>
      </c>
      <c r="K948">
        <f>IFERROR(VLOOKUP(I948,[1]AUTOS!$C:$G,3,0),"")</f>
        <v>2019</v>
      </c>
      <c r="L948" t="str">
        <f>IFERROR(VLOOKUP(I948,[1]AUTOS!$C:$G,4,0),"")</f>
        <v>OCRE</v>
      </c>
      <c r="M948" t="s">
        <v>43</v>
      </c>
      <c r="P948" s="3">
        <v>-78</v>
      </c>
    </row>
    <row r="949" spans="1:16" hidden="1" x14ac:dyDescent="0.3">
      <c r="A949">
        <v>42</v>
      </c>
      <c r="B949" t="str">
        <f>VLOOKUP($A949,[1]LISTA!$B:$C,2,0)</f>
        <v>OCTUBRE</v>
      </c>
      <c r="C949" s="1">
        <v>2025</v>
      </c>
      <c r="D949" s="1" t="str">
        <f>IF($A949&lt;=[1]RESULTADOS!$D$6,"YTD","YTG")</f>
        <v>YTG</v>
      </c>
      <c r="E949" t="s">
        <v>574</v>
      </c>
      <c r="F949" t="s">
        <v>18</v>
      </c>
      <c r="G949" t="s">
        <v>57</v>
      </c>
      <c r="H949" t="s">
        <v>530</v>
      </c>
      <c r="I949" t="s">
        <v>333</v>
      </c>
      <c r="J949" t="str">
        <f>IFERROR(VLOOKUP(I949,[1]AUTOS!$C:$G,2,0),"")</f>
        <v>BEAT</v>
      </c>
      <c r="K949">
        <f>IFERROR(VLOOKUP(I949,[1]AUTOS!$C:$G,3,0),"")</f>
        <v>2019</v>
      </c>
      <c r="L949" t="str">
        <f>IFERROR(VLOOKUP(I949,[1]AUTOS!$C:$G,4,0),"")</f>
        <v>OCRE</v>
      </c>
      <c r="M949" t="s">
        <v>43</v>
      </c>
      <c r="P949" s="3">
        <v>-120</v>
      </c>
    </row>
    <row r="950" spans="1:16" hidden="1" x14ac:dyDescent="0.3">
      <c r="A950">
        <v>42</v>
      </c>
      <c r="B950" t="str">
        <f>VLOOKUP($A950,[1]LISTA!$B:$C,2,0)</f>
        <v>OCTUBRE</v>
      </c>
      <c r="C950" s="1">
        <v>2025</v>
      </c>
      <c r="D950" s="1" t="str">
        <f>IF($A950&lt;=[1]RESULTADOS!$D$6,"YTD","YTG")</f>
        <v>YTG</v>
      </c>
      <c r="E950" t="s">
        <v>574</v>
      </c>
      <c r="F950" t="s">
        <v>18</v>
      </c>
      <c r="G950" t="s">
        <v>57</v>
      </c>
      <c r="H950" t="s">
        <v>636</v>
      </c>
      <c r="I950" t="s">
        <v>333</v>
      </c>
      <c r="J950" t="str">
        <f>IFERROR(VLOOKUP(I950,[1]AUTOS!$C:$G,2,0),"")</f>
        <v>BEAT</v>
      </c>
      <c r="K950">
        <f>IFERROR(VLOOKUP(I950,[1]AUTOS!$C:$G,3,0),"")</f>
        <v>2019</v>
      </c>
      <c r="L950" t="str">
        <f>IFERROR(VLOOKUP(I950,[1]AUTOS!$C:$G,4,0),"")</f>
        <v>OCRE</v>
      </c>
      <c r="M950" t="s">
        <v>43</v>
      </c>
      <c r="P950" s="3">
        <v>-57</v>
      </c>
    </row>
    <row r="951" spans="1:16" hidden="1" x14ac:dyDescent="0.3">
      <c r="A951">
        <v>42</v>
      </c>
      <c r="B951" t="str">
        <f>VLOOKUP($A951,[1]LISTA!$B:$C,2,0)</f>
        <v>OCTUBRE</v>
      </c>
      <c r="C951" s="1">
        <v>2025</v>
      </c>
      <c r="D951" s="1" t="str">
        <f>IF($A951&lt;=[1]RESULTADOS!$D$6,"YTD","YTG")</f>
        <v>YTG</v>
      </c>
      <c r="E951" t="s">
        <v>574</v>
      </c>
      <c r="F951" t="s">
        <v>18</v>
      </c>
      <c r="G951" t="s">
        <v>57</v>
      </c>
      <c r="H951" t="s">
        <v>637</v>
      </c>
      <c r="I951" t="s">
        <v>333</v>
      </c>
      <c r="J951" t="str">
        <f>IFERROR(VLOOKUP(I951,[1]AUTOS!$C:$G,2,0),"")</f>
        <v>BEAT</v>
      </c>
      <c r="K951">
        <f>IFERROR(VLOOKUP(I951,[1]AUTOS!$C:$G,3,0),"")</f>
        <v>2019</v>
      </c>
      <c r="L951" t="str">
        <f>IFERROR(VLOOKUP(I951,[1]AUTOS!$C:$G,4,0),"")</f>
        <v>OCRE</v>
      </c>
      <c r="M951" t="s">
        <v>43</v>
      </c>
      <c r="P951" s="3">
        <v>-25</v>
      </c>
    </row>
    <row r="952" spans="1:16" hidden="1" x14ac:dyDescent="0.3">
      <c r="A952">
        <v>42</v>
      </c>
      <c r="B952" t="str">
        <f>VLOOKUP($A952,[1]LISTA!$B:$C,2,0)</f>
        <v>OCTUBRE</v>
      </c>
      <c r="C952" s="1">
        <v>2025</v>
      </c>
      <c r="D952" s="1" t="str">
        <f>IF($A952&lt;=[1]RESULTADOS!$D$6,"YTD","YTG")</f>
        <v>YTG</v>
      </c>
      <c r="E952" t="s">
        <v>630</v>
      </c>
      <c r="F952" t="s">
        <v>18</v>
      </c>
      <c r="G952" t="s">
        <v>57</v>
      </c>
      <c r="H952" t="s">
        <v>558</v>
      </c>
      <c r="I952" t="s">
        <v>51</v>
      </c>
      <c r="J952" t="str">
        <f>IFERROR(VLOOKUP(I952,[1]AUTOS!$C:$G,2,0),"")</f>
        <v>VENTO</v>
      </c>
      <c r="K952">
        <f>IFERROR(VLOOKUP(I952,[1]AUTOS!$C:$G,3,0),"")</f>
        <v>2017</v>
      </c>
      <c r="L952" t="str">
        <f>IFERROR(VLOOKUP(I952,[1]AUTOS!$C:$G,4,0),"")</f>
        <v>GRIS</v>
      </c>
      <c r="M952" t="s">
        <v>43</v>
      </c>
      <c r="P952" s="3">
        <v>-1100</v>
      </c>
    </row>
    <row r="953" spans="1:16" hidden="1" x14ac:dyDescent="0.3">
      <c r="A953">
        <v>42</v>
      </c>
      <c r="B953" t="str">
        <f>VLOOKUP($A953,[1]LISTA!$B:$C,2,0)</f>
        <v>OCTUBRE</v>
      </c>
      <c r="C953" s="1">
        <v>2025</v>
      </c>
      <c r="D953" s="1" t="str">
        <f>IF($A953&lt;=[1]RESULTADOS!$D$6,"YTD","YTG")</f>
        <v>YTG</v>
      </c>
      <c r="E953" t="s">
        <v>436</v>
      </c>
      <c r="F953" t="s">
        <v>18</v>
      </c>
      <c r="G953" t="s">
        <v>57</v>
      </c>
      <c r="H953" t="s">
        <v>541</v>
      </c>
      <c r="I953" t="s">
        <v>112</v>
      </c>
      <c r="J953" t="str">
        <f>IFERROR(VLOOKUP(I953,[1]AUTOS!$C:$G,2,0),"")</f>
        <v>KIA RIO</v>
      </c>
      <c r="K953">
        <f>IFERROR(VLOOKUP(I953,[1]AUTOS!$C:$G,3,0),"")</f>
        <v>2020</v>
      </c>
      <c r="L953" t="str">
        <f>IFERROR(VLOOKUP(I953,[1]AUTOS!$C:$G,4,0),"")</f>
        <v>ROJO</v>
      </c>
      <c r="M953" t="s">
        <v>43</v>
      </c>
      <c r="P953" s="3">
        <v>-240</v>
      </c>
    </row>
    <row r="954" spans="1:16" hidden="1" x14ac:dyDescent="0.3">
      <c r="A954">
        <v>42</v>
      </c>
      <c r="B954" t="str">
        <f>VLOOKUP($A954,[1]LISTA!$B:$C,2,0)</f>
        <v>OCTUBRE</v>
      </c>
      <c r="C954" s="1">
        <v>2025</v>
      </c>
      <c r="D954" s="1" t="str">
        <f>IF($A954&lt;=[1]RESULTADOS!$D$6,"YTD","YTG")</f>
        <v>YTG</v>
      </c>
      <c r="E954" t="s">
        <v>574</v>
      </c>
      <c r="F954" t="s">
        <v>18</v>
      </c>
      <c r="G954" t="s">
        <v>57</v>
      </c>
      <c r="H954" t="s">
        <v>638</v>
      </c>
      <c r="I954" t="s">
        <v>333</v>
      </c>
      <c r="J954" t="str">
        <f>IFERROR(VLOOKUP(I954,[1]AUTOS!$C:$G,2,0),"")</f>
        <v>BEAT</v>
      </c>
      <c r="K954">
        <f>IFERROR(VLOOKUP(I954,[1]AUTOS!$C:$G,3,0),"")</f>
        <v>2019</v>
      </c>
      <c r="L954" t="str">
        <f>IFERROR(VLOOKUP(I954,[1]AUTOS!$C:$G,4,0),"")</f>
        <v>OCRE</v>
      </c>
      <c r="M954" t="s">
        <v>43</v>
      </c>
      <c r="P954" s="3">
        <v>-120</v>
      </c>
    </row>
    <row r="955" spans="1:16" hidden="1" x14ac:dyDescent="0.3">
      <c r="A955">
        <v>42</v>
      </c>
      <c r="B955" t="str">
        <f>VLOOKUP($A955,[1]LISTA!$B:$C,2,0)</f>
        <v>OCTUBRE</v>
      </c>
      <c r="C955" s="1">
        <v>2025</v>
      </c>
      <c r="D955" s="1" t="str">
        <f>IF($A955&lt;=[1]RESULTADOS!$D$6,"YTD","YTG")</f>
        <v>YTG</v>
      </c>
      <c r="E955" t="s">
        <v>17</v>
      </c>
      <c r="F955" t="s">
        <v>18</v>
      </c>
      <c r="G955" t="s">
        <v>57</v>
      </c>
      <c r="H955" t="s">
        <v>639</v>
      </c>
      <c r="I955" t="s">
        <v>21</v>
      </c>
      <c r="J955" t="str">
        <f>IFERROR(VLOOKUP(I955,[1]AUTOS!$C:$G,2,0),"")</f>
        <v/>
      </c>
      <c r="K955" t="str">
        <f>IFERROR(VLOOKUP(I955,[1]AUTOS!$C:$G,3,0),"")</f>
        <v/>
      </c>
      <c r="L955" t="str">
        <f>IFERROR(VLOOKUP(I955,[1]AUTOS!$C:$G,4,0),"")</f>
        <v/>
      </c>
      <c r="M955" t="s">
        <v>22</v>
      </c>
      <c r="P955" s="3">
        <v>-25</v>
      </c>
    </row>
    <row r="956" spans="1:16" hidden="1" x14ac:dyDescent="0.3">
      <c r="A956">
        <v>42</v>
      </c>
      <c r="B956" t="str">
        <f>VLOOKUP($A956,[1]LISTA!$B:$C,2,0)</f>
        <v>OCTUBRE</v>
      </c>
      <c r="C956" s="1">
        <v>2025</v>
      </c>
      <c r="D956" s="1" t="str">
        <f>IF($A956&lt;=[1]RESULTADOS!$D$6,"YTD","YTG")</f>
        <v>YTG</v>
      </c>
      <c r="E956" t="s">
        <v>17</v>
      </c>
      <c r="F956" t="s">
        <v>18</v>
      </c>
      <c r="G956" t="s">
        <v>57</v>
      </c>
      <c r="H956" t="s">
        <v>640</v>
      </c>
      <c r="I956" t="s">
        <v>21</v>
      </c>
      <c r="J956" t="str">
        <f>IFERROR(VLOOKUP(I956,[1]AUTOS!$C:$G,2,0),"")</f>
        <v/>
      </c>
      <c r="K956" t="str">
        <f>IFERROR(VLOOKUP(I956,[1]AUTOS!$C:$G,3,0),"")</f>
        <v/>
      </c>
      <c r="L956" t="str">
        <f>IFERROR(VLOOKUP(I956,[1]AUTOS!$C:$G,4,0),"")</f>
        <v/>
      </c>
      <c r="M956" t="s">
        <v>22</v>
      </c>
      <c r="P956" s="3">
        <v>-120</v>
      </c>
    </row>
    <row r="957" spans="1:16" hidden="1" x14ac:dyDescent="0.3">
      <c r="A957">
        <v>42</v>
      </c>
      <c r="B957" t="str">
        <f>VLOOKUP($A957,[1]LISTA!$B:$C,2,0)</f>
        <v>OCTUBRE</v>
      </c>
      <c r="C957" s="1">
        <v>2025</v>
      </c>
      <c r="D957" s="1" t="str">
        <f>IF($A957&lt;=[1]RESULTADOS!$D$6,"YTD","YTG")</f>
        <v>YTG</v>
      </c>
      <c r="E957" t="s">
        <v>17</v>
      </c>
      <c r="F957" t="s">
        <v>18</v>
      </c>
      <c r="G957" t="s">
        <v>57</v>
      </c>
      <c r="H957" t="s">
        <v>641</v>
      </c>
      <c r="I957" t="s">
        <v>21</v>
      </c>
      <c r="J957" t="str">
        <f>IFERROR(VLOOKUP(I957,[1]AUTOS!$C:$G,2,0),"")</f>
        <v/>
      </c>
      <c r="K957" t="str">
        <f>IFERROR(VLOOKUP(I957,[1]AUTOS!$C:$G,3,0),"")</f>
        <v/>
      </c>
      <c r="L957" t="str">
        <f>IFERROR(VLOOKUP(I957,[1]AUTOS!$C:$G,4,0),"")</f>
        <v/>
      </c>
      <c r="M957" t="s">
        <v>22</v>
      </c>
      <c r="P957" s="3">
        <v>-152</v>
      </c>
    </row>
    <row r="958" spans="1:16" hidden="1" x14ac:dyDescent="0.3">
      <c r="A958">
        <v>42</v>
      </c>
      <c r="B958" t="str">
        <f>VLOOKUP($A958,[1]LISTA!$B:$C,2,0)</f>
        <v>OCTUBRE</v>
      </c>
      <c r="C958" s="1">
        <v>2025</v>
      </c>
      <c r="D958" s="1" t="str">
        <f>IF($A958&lt;=[1]RESULTADOS!$D$6,"YTD","YTG")</f>
        <v>YTG</v>
      </c>
      <c r="E958" t="s">
        <v>411</v>
      </c>
      <c r="F958" t="s">
        <v>18</v>
      </c>
      <c r="G958" t="s">
        <v>38</v>
      </c>
      <c r="H958" t="s">
        <v>194</v>
      </c>
      <c r="I958" t="s">
        <v>178</v>
      </c>
      <c r="J958" t="str">
        <f>IFERROR(VLOOKUP(I958,[1]AUTOS!$C:$G,2,0),"")</f>
        <v>VERSA</v>
      </c>
      <c r="K958">
        <f>IFERROR(VLOOKUP(I958,[1]AUTOS!$C:$G,3,0),"")</f>
        <v>2020</v>
      </c>
      <c r="L958" t="str">
        <f>IFERROR(VLOOKUP(I958,[1]AUTOS!$C:$G,4,0),"")</f>
        <v>BLANCO</v>
      </c>
      <c r="M958" t="s">
        <v>43</v>
      </c>
      <c r="P958" s="3">
        <v>0</v>
      </c>
    </row>
    <row r="959" spans="1:16" hidden="1" x14ac:dyDescent="0.3">
      <c r="A959">
        <v>42</v>
      </c>
      <c r="B959" t="str">
        <f>VLOOKUP($A959,[1]LISTA!$B:$C,2,0)</f>
        <v>OCTUBRE</v>
      </c>
      <c r="C959" s="1">
        <v>2025</v>
      </c>
      <c r="D959" s="1" t="str">
        <f>IF($A959&lt;=[1]RESULTADOS!$D$6,"YTD","YTG")</f>
        <v>YTG</v>
      </c>
      <c r="E959" t="s">
        <v>470</v>
      </c>
      <c r="F959" t="s">
        <v>18</v>
      </c>
      <c r="G959" t="s">
        <v>38</v>
      </c>
      <c r="H959" t="s">
        <v>193</v>
      </c>
      <c r="I959" t="s">
        <v>73</v>
      </c>
      <c r="J959" t="str">
        <f>IFERROR(VLOOKUP(I959,[1]AUTOS!$C:$G,2,0),"")</f>
        <v>VERSA</v>
      </c>
      <c r="K959">
        <f>IFERROR(VLOOKUP(I959,[1]AUTOS!$C:$G,3,0),"")</f>
        <v>2023</v>
      </c>
      <c r="L959" t="str">
        <f>IFERROR(VLOOKUP(I959,[1]AUTOS!$C:$G,4,0),"")</f>
        <v>PLATA</v>
      </c>
      <c r="M959" t="s">
        <v>43</v>
      </c>
      <c r="P959" s="3">
        <v>0</v>
      </c>
    </row>
    <row r="960" spans="1:16" hidden="1" x14ac:dyDescent="0.3">
      <c r="A960">
        <v>42</v>
      </c>
      <c r="B960" t="str">
        <f>VLOOKUP($A960,[1]LISTA!$B:$C,2,0)</f>
        <v>OCTUBRE</v>
      </c>
      <c r="C960" s="1">
        <v>2025</v>
      </c>
      <c r="D960" s="1" t="str">
        <f>IF($A960&lt;=[1]RESULTADOS!$D$6,"YTD","YTG")</f>
        <v>YTG</v>
      </c>
      <c r="E960" t="s">
        <v>642</v>
      </c>
      <c r="F960" t="s">
        <v>18</v>
      </c>
      <c r="G960" t="s">
        <v>57</v>
      </c>
      <c r="H960" t="s">
        <v>643</v>
      </c>
      <c r="I960" t="s">
        <v>370</v>
      </c>
      <c r="J960" t="str">
        <f>IFERROR(VLOOKUP(I960,[1]AUTOS!$C:$G,2,0),"")</f>
        <v>KIA RIO</v>
      </c>
      <c r="K960">
        <f>IFERROR(VLOOKUP(I960,[1]AUTOS!$C:$G,3,0),"")</f>
        <v>2020</v>
      </c>
      <c r="L960" t="str">
        <f>IFERROR(VLOOKUP(I960,[1]AUTOS!$C:$G,4,0),"")</f>
        <v>AZUL</v>
      </c>
      <c r="M960" t="s">
        <v>215</v>
      </c>
      <c r="P960" s="3">
        <v>-1600</v>
      </c>
    </row>
    <row r="961" spans="1:16" hidden="1" x14ac:dyDescent="0.3">
      <c r="A961">
        <v>42</v>
      </c>
      <c r="B961" t="str">
        <f>VLOOKUP($A961,[1]LISTA!$B:$C,2,0)</f>
        <v>OCTUBRE</v>
      </c>
      <c r="C961" s="1">
        <v>2025</v>
      </c>
      <c r="D961" s="1" t="str">
        <f>IF($A961&lt;=[1]RESULTADOS!$D$6,"YTD","YTG")</f>
        <v>YTG</v>
      </c>
      <c r="E961" t="s">
        <v>574</v>
      </c>
      <c r="F961" t="s">
        <v>18</v>
      </c>
      <c r="G961" t="s">
        <v>29</v>
      </c>
      <c r="H961" t="s">
        <v>113</v>
      </c>
      <c r="I961" t="s">
        <v>46</v>
      </c>
      <c r="J961" t="str">
        <f>IFERROR(VLOOKUP(I961,[1]AUTOS!$C:$G,2,0),"")</f>
        <v>MARCH</v>
      </c>
      <c r="K961">
        <f>IFERROR(VLOOKUP(I961,[1]AUTOS!$C:$G,3,0),"")</f>
        <v>2020</v>
      </c>
      <c r="L961" t="str">
        <f>IFERROR(VLOOKUP(I961,[1]AUTOS!$C:$G,4,0),"")</f>
        <v>TURQ</v>
      </c>
      <c r="M961" t="s">
        <v>43</v>
      </c>
      <c r="P961" s="3">
        <v>-200</v>
      </c>
    </row>
    <row r="962" spans="1:16" hidden="1" x14ac:dyDescent="0.3">
      <c r="A962">
        <v>42</v>
      </c>
      <c r="B962" t="str">
        <f>VLOOKUP($A962,[1]LISTA!$B:$C,2,0)</f>
        <v>OCTUBRE</v>
      </c>
      <c r="C962" s="1">
        <v>2025</v>
      </c>
      <c r="D962" s="1" t="str">
        <f>IF($A962&lt;=[1]RESULTADOS!$D$6,"YTD","YTG")</f>
        <v>YTG</v>
      </c>
      <c r="E962" t="s">
        <v>17</v>
      </c>
      <c r="F962" t="s">
        <v>18</v>
      </c>
      <c r="G962" t="s">
        <v>57</v>
      </c>
      <c r="H962" t="s">
        <v>644</v>
      </c>
      <c r="I962" t="s">
        <v>67</v>
      </c>
      <c r="J962" t="str">
        <f>IFERROR(VLOOKUP(I962,[1]AUTOS!$C:$G,2,0),"")</f>
        <v>KIA RIO</v>
      </c>
      <c r="K962">
        <f>IFERROR(VLOOKUP(I962,[1]AUTOS!$C:$G,3,0),"")</f>
        <v>2020</v>
      </c>
      <c r="L962" t="str">
        <f>IFERROR(VLOOKUP(I962,[1]AUTOS!$C:$G,4,0),"")</f>
        <v>GRIS</v>
      </c>
      <c r="M962" t="s">
        <v>43</v>
      </c>
      <c r="P962" s="3">
        <v>-1724</v>
      </c>
    </row>
    <row r="963" spans="1:16" hidden="1" x14ac:dyDescent="0.3">
      <c r="A963">
        <v>42</v>
      </c>
      <c r="B963" t="str">
        <f>VLOOKUP($A963,[1]LISTA!$B:$C,2,0)</f>
        <v>OCTUBRE</v>
      </c>
      <c r="C963" s="1">
        <v>2025</v>
      </c>
      <c r="D963" s="1" t="str">
        <f>IF($A963&lt;=[1]RESULTADOS!$D$6,"YTD","YTG")</f>
        <v>YTG</v>
      </c>
      <c r="E963" t="s">
        <v>17</v>
      </c>
      <c r="F963" t="s">
        <v>18</v>
      </c>
      <c r="G963" t="s">
        <v>57</v>
      </c>
      <c r="H963" t="s">
        <v>645</v>
      </c>
      <c r="I963" t="s">
        <v>67</v>
      </c>
      <c r="J963" t="str">
        <f>IFERROR(VLOOKUP(I963,[1]AUTOS!$C:$G,2,0),"")</f>
        <v>KIA RIO</v>
      </c>
      <c r="K963">
        <f>IFERROR(VLOOKUP(I963,[1]AUTOS!$C:$G,3,0),"")</f>
        <v>2020</v>
      </c>
      <c r="L963" t="str">
        <f>IFERROR(VLOOKUP(I963,[1]AUTOS!$C:$G,4,0),"")</f>
        <v>GRIS</v>
      </c>
      <c r="M963" t="s">
        <v>43</v>
      </c>
      <c r="P963" s="3">
        <v>-1176</v>
      </c>
    </row>
    <row r="964" spans="1:16" hidden="1" x14ac:dyDescent="0.3">
      <c r="A964">
        <v>42</v>
      </c>
      <c r="B964" t="str">
        <f>VLOOKUP($A964,[1]LISTA!$B:$C,2,0)</f>
        <v>OCTUBRE</v>
      </c>
      <c r="C964" s="1">
        <v>2025</v>
      </c>
      <c r="D964" s="1" t="str">
        <f>IF($A964&lt;=[1]RESULTADOS!$D$6,"YTD","YTG")</f>
        <v>YTG</v>
      </c>
      <c r="E964" t="s">
        <v>17</v>
      </c>
      <c r="F964" t="s">
        <v>18</v>
      </c>
      <c r="G964" t="s">
        <v>57</v>
      </c>
      <c r="H964" t="s">
        <v>646</v>
      </c>
      <c r="I964" t="s">
        <v>214</v>
      </c>
      <c r="J964" t="str">
        <f>IFERROR(VLOOKUP(I964,[1]AUTOS!$C:$G,2,0),"")</f>
        <v>VENTO</v>
      </c>
      <c r="K964">
        <f>IFERROR(VLOOKUP(I964,[1]AUTOS!$C:$G,3,0),"")</f>
        <v>2019</v>
      </c>
      <c r="L964" t="str">
        <f>IFERROR(VLOOKUP(I964,[1]AUTOS!$C:$G,4,0),"")</f>
        <v>BLANCO</v>
      </c>
      <c r="M964" t="s">
        <v>215</v>
      </c>
      <c r="P964" s="3">
        <v>-1504</v>
      </c>
    </row>
    <row r="965" spans="1:16" hidden="1" x14ac:dyDescent="0.3">
      <c r="A965">
        <v>42</v>
      </c>
      <c r="B965" t="str">
        <f>VLOOKUP($A965,[1]LISTA!$B:$C,2,0)</f>
        <v>OCTUBRE</v>
      </c>
      <c r="C965" s="1">
        <v>2025</v>
      </c>
      <c r="D965" s="1" t="str">
        <f>IF($A965&lt;=[1]RESULTADOS!$D$6,"YTD","YTG")</f>
        <v>YTG</v>
      </c>
      <c r="E965" t="s">
        <v>17</v>
      </c>
      <c r="F965" t="s">
        <v>18</v>
      </c>
      <c r="G965" t="s">
        <v>57</v>
      </c>
      <c r="H965" t="s">
        <v>647</v>
      </c>
      <c r="I965" t="s">
        <v>214</v>
      </c>
      <c r="J965" t="str">
        <f>IFERROR(VLOOKUP(I965,[1]AUTOS!$C:$G,2,0),"")</f>
        <v>VENTO</v>
      </c>
      <c r="K965">
        <f>IFERROR(VLOOKUP(I965,[1]AUTOS!$C:$G,3,0),"")</f>
        <v>2019</v>
      </c>
      <c r="L965" t="str">
        <f>IFERROR(VLOOKUP(I965,[1]AUTOS!$C:$G,4,0),"")</f>
        <v>BLANCO</v>
      </c>
      <c r="M965" t="s">
        <v>215</v>
      </c>
      <c r="P965" s="3">
        <v>-706</v>
      </c>
    </row>
    <row r="966" spans="1:16" hidden="1" x14ac:dyDescent="0.3">
      <c r="A966">
        <v>42</v>
      </c>
      <c r="B966" t="str">
        <f>VLOOKUP($A966,[1]LISTA!$B:$C,2,0)</f>
        <v>OCTUBRE</v>
      </c>
      <c r="C966" s="1">
        <v>2025</v>
      </c>
      <c r="D966" s="1" t="str">
        <f>IF($A966&lt;=[1]RESULTADOS!$D$6,"YTD","YTG")</f>
        <v>YTG</v>
      </c>
      <c r="E966" t="s">
        <v>17</v>
      </c>
      <c r="F966" t="s">
        <v>18</v>
      </c>
      <c r="G966" t="s">
        <v>57</v>
      </c>
      <c r="H966" t="s">
        <v>648</v>
      </c>
      <c r="I966" t="s">
        <v>214</v>
      </c>
      <c r="J966" t="str">
        <f>IFERROR(VLOOKUP(I966,[1]AUTOS!$C:$G,2,0),"")</f>
        <v>VENTO</v>
      </c>
      <c r="K966">
        <f>IFERROR(VLOOKUP(I966,[1]AUTOS!$C:$G,3,0),"")</f>
        <v>2019</v>
      </c>
      <c r="L966" t="str">
        <f>IFERROR(VLOOKUP(I966,[1]AUTOS!$C:$G,4,0),"")</f>
        <v>BLANCO</v>
      </c>
      <c r="M966" t="s">
        <v>215</v>
      </c>
      <c r="P966" s="3">
        <v>-725</v>
      </c>
    </row>
    <row r="967" spans="1:16" hidden="1" x14ac:dyDescent="0.3">
      <c r="A967">
        <v>42</v>
      </c>
      <c r="B967" t="str">
        <f>VLOOKUP($A967,[1]LISTA!$B:$C,2,0)</f>
        <v>OCTUBRE</v>
      </c>
      <c r="C967" s="1">
        <v>2025</v>
      </c>
      <c r="D967" s="1" t="str">
        <f>IF($A967&lt;=[1]RESULTADOS!$D$6,"YTD","YTG")</f>
        <v>YTG</v>
      </c>
      <c r="E967" t="s">
        <v>17</v>
      </c>
      <c r="F967" t="s">
        <v>18</v>
      </c>
      <c r="G967" t="s">
        <v>57</v>
      </c>
      <c r="H967" t="s">
        <v>649</v>
      </c>
      <c r="I967" t="s">
        <v>214</v>
      </c>
      <c r="J967" t="str">
        <f>IFERROR(VLOOKUP(I967,[1]AUTOS!$C:$G,2,0),"")</f>
        <v>VENTO</v>
      </c>
      <c r="K967">
        <f>IFERROR(VLOOKUP(I967,[1]AUTOS!$C:$G,3,0),"")</f>
        <v>2019</v>
      </c>
      <c r="L967" t="str">
        <f>IFERROR(VLOOKUP(I967,[1]AUTOS!$C:$G,4,0),"")</f>
        <v>BLANCO</v>
      </c>
      <c r="M967" t="s">
        <v>215</v>
      </c>
      <c r="P967" s="3">
        <v>-470</v>
      </c>
    </row>
    <row r="968" spans="1:16" hidden="1" x14ac:dyDescent="0.3">
      <c r="A968">
        <v>42</v>
      </c>
      <c r="B968" t="str">
        <f>VLOOKUP($A968,[1]LISTA!$B:$C,2,0)</f>
        <v>OCTUBRE</v>
      </c>
      <c r="C968" s="1">
        <v>2025</v>
      </c>
      <c r="D968" s="1" t="str">
        <f>IF($A968&lt;=[1]RESULTADOS!$D$6,"YTD","YTG")</f>
        <v>YTG</v>
      </c>
      <c r="E968" t="s">
        <v>17</v>
      </c>
      <c r="F968" t="s">
        <v>18</v>
      </c>
      <c r="G968" t="s">
        <v>57</v>
      </c>
      <c r="H968" t="s">
        <v>645</v>
      </c>
      <c r="I968" t="s">
        <v>214</v>
      </c>
      <c r="J968" t="str">
        <f>IFERROR(VLOOKUP(I968,[1]AUTOS!$C:$G,2,0),"")</f>
        <v>VENTO</v>
      </c>
      <c r="K968">
        <f>IFERROR(VLOOKUP(I968,[1]AUTOS!$C:$G,3,0),"")</f>
        <v>2019</v>
      </c>
      <c r="L968" t="str">
        <f>IFERROR(VLOOKUP(I968,[1]AUTOS!$C:$G,4,0),"")</f>
        <v>BLANCO</v>
      </c>
      <c r="M968" t="s">
        <v>215</v>
      </c>
      <c r="P968" s="3">
        <v>-823</v>
      </c>
    </row>
    <row r="969" spans="1:16" hidden="1" x14ac:dyDescent="0.3">
      <c r="A969">
        <v>42</v>
      </c>
      <c r="B969" t="str">
        <f>VLOOKUP($A969,[1]LISTA!$B:$C,2,0)</f>
        <v>OCTUBRE</v>
      </c>
      <c r="C969" s="1">
        <v>2025</v>
      </c>
      <c r="D969" s="1" t="str">
        <f>IF($A969&lt;=[1]RESULTADOS!$D$6,"YTD","YTG")</f>
        <v>YTG</v>
      </c>
      <c r="E969" t="s">
        <v>17</v>
      </c>
      <c r="F969" t="s">
        <v>18</v>
      </c>
      <c r="G969" t="s">
        <v>57</v>
      </c>
      <c r="H969" t="s">
        <v>650</v>
      </c>
      <c r="I969" t="s">
        <v>214</v>
      </c>
      <c r="J969" t="str">
        <f>IFERROR(VLOOKUP(I969,[1]AUTOS!$C:$G,2,0),"")</f>
        <v>VENTO</v>
      </c>
      <c r="K969">
        <f>IFERROR(VLOOKUP(I969,[1]AUTOS!$C:$G,3,0),"")</f>
        <v>2019</v>
      </c>
      <c r="L969" t="str">
        <f>IFERROR(VLOOKUP(I969,[1]AUTOS!$C:$G,4,0),"")</f>
        <v>BLANCO</v>
      </c>
      <c r="M969" t="s">
        <v>215</v>
      </c>
      <c r="P969" s="3">
        <v>-274</v>
      </c>
    </row>
    <row r="970" spans="1:16" hidden="1" x14ac:dyDescent="0.3">
      <c r="A970">
        <v>42</v>
      </c>
      <c r="B970" t="str">
        <f>VLOOKUP($A970,[1]LISTA!$B:$C,2,0)</f>
        <v>OCTUBRE</v>
      </c>
      <c r="C970" s="1">
        <v>2025</v>
      </c>
      <c r="D970" s="1" t="str">
        <f>IF($A970&lt;=[1]RESULTADOS!$D$6,"YTD","YTG")</f>
        <v>YTG</v>
      </c>
      <c r="E970" t="s">
        <v>17</v>
      </c>
      <c r="F970" t="s">
        <v>18</v>
      </c>
      <c r="G970" t="s">
        <v>57</v>
      </c>
      <c r="H970" t="s">
        <v>644</v>
      </c>
      <c r="I970" t="s">
        <v>214</v>
      </c>
      <c r="J970" t="str">
        <f>IFERROR(VLOOKUP(I970,[1]AUTOS!$C:$G,2,0),"")</f>
        <v>VENTO</v>
      </c>
      <c r="K970">
        <f>IFERROR(VLOOKUP(I970,[1]AUTOS!$C:$G,3,0),"")</f>
        <v>2019</v>
      </c>
      <c r="L970" t="str">
        <f>IFERROR(VLOOKUP(I970,[1]AUTOS!$C:$G,4,0),"")</f>
        <v>BLANCO</v>
      </c>
      <c r="M970" t="s">
        <v>215</v>
      </c>
      <c r="P970" s="3">
        <v>-392</v>
      </c>
    </row>
    <row r="971" spans="1:16" hidden="1" x14ac:dyDescent="0.3">
      <c r="A971">
        <v>42</v>
      </c>
      <c r="B971" t="str">
        <f>VLOOKUP($A971,[1]LISTA!$B:$C,2,0)</f>
        <v>OCTUBRE</v>
      </c>
      <c r="C971" s="1">
        <v>2025</v>
      </c>
      <c r="D971" s="1" t="str">
        <f>IF($A971&lt;=[1]RESULTADOS!$D$6,"YTD","YTG")</f>
        <v>YTG</v>
      </c>
      <c r="E971" t="s">
        <v>17</v>
      </c>
      <c r="F971" t="s">
        <v>18</v>
      </c>
      <c r="G971" t="s">
        <v>57</v>
      </c>
      <c r="H971" t="s">
        <v>651</v>
      </c>
      <c r="I971" t="s">
        <v>214</v>
      </c>
      <c r="J971" t="str">
        <f>IFERROR(VLOOKUP(I971,[1]AUTOS!$C:$G,2,0),"")</f>
        <v>VENTO</v>
      </c>
      <c r="K971">
        <f>IFERROR(VLOOKUP(I971,[1]AUTOS!$C:$G,3,0),"")</f>
        <v>2019</v>
      </c>
      <c r="L971" t="str">
        <f>IFERROR(VLOOKUP(I971,[1]AUTOS!$C:$G,4,0),"")</f>
        <v>BLANCO</v>
      </c>
      <c r="M971" t="s">
        <v>215</v>
      </c>
      <c r="P971" s="3">
        <v>-1411</v>
      </c>
    </row>
    <row r="972" spans="1:16" hidden="1" x14ac:dyDescent="0.3">
      <c r="A972">
        <v>42</v>
      </c>
      <c r="B972" t="str">
        <f>VLOOKUP($A972,[1]LISTA!$B:$C,2,0)</f>
        <v>OCTUBRE</v>
      </c>
      <c r="C972" s="1">
        <v>2025</v>
      </c>
      <c r="D972" s="1" t="str">
        <f>IF($A972&lt;=[1]RESULTADOS!$D$6,"YTD","YTG")</f>
        <v>YTG</v>
      </c>
      <c r="E972" t="s">
        <v>17</v>
      </c>
      <c r="F972" t="s">
        <v>18</v>
      </c>
      <c r="G972" t="s">
        <v>57</v>
      </c>
      <c r="H972" t="s">
        <v>652</v>
      </c>
      <c r="I972" t="s">
        <v>214</v>
      </c>
      <c r="J972" t="str">
        <f>IFERROR(VLOOKUP(I972,[1]AUTOS!$C:$G,2,0),"")</f>
        <v>VENTO</v>
      </c>
      <c r="K972">
        <f>IFERROR(VLOOKUP(I972,[1]AUTOS!$C:$G,3,0),"")</f>
        <v>2019</v>
      </c>
      <c r="L972" t="str">
        <f>IFERROR(VLOOKUP(I972,[1]AUTOS!$C:$G,4,0),"")</f>
        <v>BLANCO</v>
      </c>
      <c r="M972" t="s">
        <v>215</v>
      </c>
      <c r="P972" s="3">
        <v>-709</v>
      </c>
    </row>
    <row r="973" spans="1:16" hidden="1" x14ac:dyDescent="0.3">
      <c r="A973">
        <v>42</v>
      </c>
      <c r="B973" t="str">
        <f>VLOOKUP($A973,[1]LISTA!$B:$C,2,0)</f>
        <v>OCTUBRE</v>
      </c>
      <c r="C973" s="1">
        <v>2025</v>
      </c>
      <c r="D973" s="1" t="str">
        <f>IF($A973&lt;=[1]RESULTADOS!$D$6,"YTD","YTG")</f>
        <v>YTG</v>
      </c>
      <c r="E973" t="s">
        <v>607</v>
      </c>
      <c r="F973" t="s">
        <v>18</v>
      </c>
      <c r="G973" t="s">
        <v>38</v>
      </c>
      <c r="H973" t="s">
        <v>597</v>
      </c>
      <c r="I973" t="s">
        <v>560</v>
      </c>
      <c r="J973" t="str">
        <f>IFERROR(VLOOKUP(I973,[1]AUTOS!$C:$G,2,0),"")</f>
        <v>AVEO</v>
      </c>
      <c r="K973">
        <f>IFERROR(VLOOKUP(I973,[1]AUTOS!$C:$G,3,0),"")</f>
        <v>2023</v>
      </c>
      <c r="L973" t="str">
        <f>IFERROR(VLOOKUP(I973,[1]AUTOS!$C:$G,4,0),"")</f>
        <v>VINO</v>
      </c>
      <c r="M973" t="s">
        <v>43</v>
      </c>
      <c r="P973" s="3">
        <v>-170</v>
      </c>
    </row>
    <row r="974" spans="1:16" hidden="1" x14ac:dyDescent="0.3">
      <c r="A974">
        <v>43</v>
      </c>
      <c r="B974" t="str">
        <f>VLOOKUP($A974,[1]LISTA!$B:$C,2,0)</f>
        <v>OCTUBRE</v>
      </c>
      <c r="C974" s="1">
        <v>2025</v>
      </c>
      <c r="D974" s="1" t="str">
        <f>IF($A974&lt;=[1]RESULTADOS!$D$6,"YTD","YTG")</f>
        <v>YTG</v>
      </c>
      <c r="E974" t="s">
        <v>537</v>
      </c>
      <c r="F974" t="s">
        <v>18</v>
      </c>
      <c r="G974" t="s">
        <v>57</v>
      </c>
      <c r="H974" t="s">
        <v>653</v>
      </c>
      <c r="I974" t="s">
        <v>37</v>
      </c>
      <c r="J974" t="str">
        <f>IFERROR(VLOOKUP(I974,[1]AUTOS!$C:$G,2,0),"")</f>
        <v>BEAT</v>
      </c>
      <c r="K974">
        <f>IFERROR(VLOOKUP(I974,[1]AUTOS!$C:$G,3,0),"")</f>
        <v>2020</v>
      </c>
      <c r="L974" t="str">
        <f>IFERROR(VLOOKUP(I974,[1]AUTOS!$C:$G,4,0),"")</f>
        <v>GRIS</v>
      </c>
      <c r="M974" t="s">
        <v>35</v>
      </c>
      <c r="P974" s="3">
        <v>-150</v>
      </c>
    </row>
    <row r="975" spans="1:16" hidden="1" x14ac:dyDescent="0.3">
      <c r="A975">
        <v>43</v>
      </c>
      <c r="B975" t="str">
        <f>VLOOKUP($A975,[1]LISTA!$B:$C,2,0)</f>
        <v>OCTUBRE</v>
      </c>
      <c r="C975" s="1">
        <v>2025</v>
      </c>
      <c r="D975" s="1" t="str">
        <f>IF($A975&lt;=[1]RESULTADOS!$D$6,"YTD","YTG")</f>
        <v>YTG</v>
      </c>
      <c r="E975" t="s">
        <v>537</v>
      </c>
      <c r="F975" t="s">
        <v>18</v>
      </c>
      <c r="G975" t="s">
        <v>29</v>
      </c>
      <c r="H975" t="s">
        <v>654</v>
      </c>
      <c r="I975" t="s">
        <v>37</v>
      </c>
      <c r="J975" t="str">
        <f>IFERROR(VLOOKUP(I975,[1]AUTOS!$C:$G,2,0),"")</f>
        <v>BEAT</v>
      </c>
      <c r="K975">
        <f>IFERROR(VLOOKUP(I975,[1]AUTOS!$C:$G,3,0),"")</f>
        <v>2020</v>
      </c>
      <c r="L975" t="str">
        <f>IFERROR(VLOOKUP(I975,[1]AUTOS!$C:$G,4,0),"")</f>
        <v>GRIS</v>
      </c>
      <c r="M975" t="s">
        <v>35</v>
      </c>
      <c r="P975" s="3">
        <v>-150</v>
      </c>
    </row>
    <row r="976" spans="1:16" hidden="1" x14ac:dyDescent="0.3">
      <c r="A976">
        <v>43</v>
      </c>
      <c r="B976" t="str">
        <f>VLOOKUP($A976,[1]LISTA!$B:$C,2,0)</f>
        <v>OCTUBRE</v>
      </c>
      <c r="C976" s="1">
        <v>2025</v>
      </c>
      <c r="D976" s="1" t="str">
        <f>IF($A976&lt;=[1]RESULTADOS!$D$6,"YTD","YTG")</f>
        <v>YTG</v>
      </c>
      <c r="E976" t="s">
        <v>537</v>
      </c>
      <c r="F976" t="s">
        <v>18</v>
      </c>
      <c r="G976" t="s">
        <v>57</v>
      </c>
      <c r="H976" t="s">
        <v>249</v>
      </c>
      <c r="I976" t="s">
        <v>37</v>
      </c>
      <c r="J976" t="str">
        <f>IFERROR(VLOOKUP(I976,[1]AUTOS!$C:$G,2,0),"")</f>
        <v>BEAT</v>
      </c>
      <c r="K976">
        <f>IFERROR(VLOOKUP(I976,[1]AUTOS!$C:$G,3,0),"")</f>
        <v>2020</v>
      </c>
      <c r="L976" t="str">
        <f>IFERROR(VLOOKUP(I976,[1]AUTOS!$C:$G,4,0),"")</f>
        <v>GRIS</v>
      </c>
      <c r="M976" t="s">
        <v>35</v>
      </c>
      <c r="P976" s="3">
        <v>-50</v>
      </c>
    </row>
    <row r="977" spans="1:16" hidden="1" x14ac:dyDescent="0.3">
      <c r="A977">
        <v>43</v>
      </c>
      <c r="B977" t="str">
        <f>VLOOKUP($A977,[1]LISTA!$B:$C,2,0)</f>
        <v>OCTUBRE</v>
      </c>
      <c r="C977" s="1">
        <v>2025</v>
      </c>
      <c r="D977" s="1" t="str">
        <f>IF($A977&lt;=[1]RESULTADOS!$D$6,"YTD","YTG")</f>
        <v>YTG</v>
      </c>
      <c r="E977" t="s">
        <v>537</v>
      </c>
      <c r="F977" t="s">
        <v>18</v>
      </c>
      <c r="G977" t="s">
        <v>57</v>
      </c>
      <c r="H977" t="s">
        <v>655</v>
      </c>
      <c r="I977" t="s">
        <v>37</v>
      </c>
      <c r="J977" t="str">
        <f>IFERROR(VLOOKUP(I977,[1]AUTOS!$C:$G,2,0),"")</f>
        <v>BEAT</v>
      </c>
      <c r="K977">
        <f>IFERROR(VLOOKUP(I977,[1]AUTOS!$C:$G,3,0),"")</f>
        <v>2020</v>
      </c>
      <c r="L977" t="str">
        <f>IFERROR(VLOOKUP(I977,[1]AUTOS!$C:$G,4,0),"")</f>
        <v>GRIS</v>
      </c>
      <c r="M977" t="s">
        <v>35</v>
      </c>
      <c r="P977" s="3">
        <v>-3</v>
      </c>
    </row>
    <row r="978" spans="1:16" hidden="1" x14ac:dyDescent="0.3">
      <c r="A978">
        <v>43</v>
      </c>
      <c r="B978" t="str">
        <f>VLOOKUP($A978,[1]LISTA!$B:$C,2,0)</f>
        <v>OCTUBRE</v>
      </c>
      <c r="C978" s="1">
        <v>2025</v>
      </c>
      <c r="D978" s="1" t="str">
        <f>IF($A978&lt;=[1]RESULTADOS!$D$6,"YTD","YTG")</f>
        <v>YTG</v>
      </c>
      <c r="E978" t="s">
        <v>537</v>
      </c>
      <c r="F978" t="s">
        <v>18</v>
      </c>
      <c r="G978" t="s">
        <v>57</v>
      </c>
      <c r="H978" t="s">
        <v>656</v>
      </c>
      <c r="I978" t="s">
        <v>37</v>
      </c>
      <c r="J978" t="str">
        <f>IFERROR(VLOOKUP(I978,[1]AUTOS!$C:$G,2,0),"")</f>
        <v>BEAT</v>
      </c>
      <c r="K978">
        <f>IFERROR(VLOOKUP(I978,[1]AUTOS!$C:$G,3,0),"")</f>
        <v>2020</v>
      </c>
      <c r="L978" t="str">
        <f>IFERROR(VLOOKUP(I978,[1]AUTOS!$C:$G,4,0),"")</f>
        <v>GRIS</v>
      </c>
      <c r="M978" t="s">
        <v>35</v>
      </c>
      <c r="P978" s="3">
        <v>-2300</v>
      </c>
    </row>
    <row r="979" spans="1:16" hidden="1" x14ac:dyDescent="0.3">
      <c r="A979">
        <v>43</v>
      </c>
      <c r="B979" t="str">
        <f>VLOOKUP($A979,[1]LISTA!$B:$C,2,0)</f>
        <v>OCTUBRE</v>
      </c>
      <c r="C979" s="1">
        <v>2025</v>
      </c>
      <c r="D979" s="1" t="str">
        <f>IF($A979&lt;=[1]RESULTADOS!$D$6,"YTD","YTG")</f>
        <v>YTG</v>
      </c>
      <c r="E979" t="s">
        <v>470</v>
      </c>
      <c r="F979" t="s">
        <v>18</v>
      </c>
      <c r="G979" t="s">
        <v>57</v>
      </c>
      <c r="H979" t="s">
        <v>657</v>
      </c>
      <c r="I979" t="s">
        <v>73</v>
      </c>
      <c r="J979" t="str">
        <f>IFERROR(VLOOKUP(I979,[1]AUTOS!$C:$G,2,0),"")</f>
        <v>VERSA</v>
      </c>
      <c r="K979">
        <f>IFERROR(VLOOKUP(I979,[1]AUTOS!$C:$G,3,0),"")</f>
        <v>2023</v>
      </c>
      <c r="L979" t="str">
        <f>IFERROR(VLOOKUP(I979,[1]AUTOS!$C:$G,4,0),"")</f>
        <v>PLATA</v>
      </c>
      <c r="M979" t="s">
        <v>43</v>
      </c>
      <c r="P979" s="3">
        <v>-750</v>
      </c>
    </row>
    <row r="980" spans="1:16" hidden="1" x14ac:dyDescent="0.3">
      <c r="A980">
        <v>43</v>
      </c>
      <c r="B980" t="str">
        <f>VLOOKUP($A980,[1]LISTA!$B:$C,2,0)</f>
        <v>OCTUBRE</v>
      </c>
      <c r="C980" s="1">
        <v>2025</v>
      </c>
      <c r="D980" s="1" t="str">
        <f>IF($A980&lt;=[1]RESULTADOS!$D$6,"YTD","YTG")</f>
        <v>YTG</v>
      </c>
      <c r="E980" t="s">
        <v>470</v>
      </c>
      <c r="F980" t="s">
        <v>18</v>
      </c>
      <c r="G980" t="s">
        <v>77</v>
      </c>
      <c r="H980" t="s">
        <v>514</v>
      </c>
      <c r="I980" t="s">
        <v>73</v>
      </c>
      <c r="J980" t="str">
        <f>IFERROR(VLOOKUP(I980,[1]AUTOS!$C:$G,2,0),"")</f>
        <v>VERSA</v>
      </c>
      <c r="K980">
        <f>IFERROR(VLOOKUP(I980,[1]AUTOS!$C:$G,3,0),"")</f>
        <v>2023</v>
      </c>
      <c r="L980" t="str">
        <f>IFERROR(VLOOKUP(I980,[1]AUTOS!$C:$G,4,0),"")</f>
        <v>PLATA</v>
      </c>
      <c r="M980" t="s">
        <v>43</v>
      </c>
      <c r="P980" s="3">
        <v>-720</v>
      </c>
    </row>
    <row r="981" spans="1:16" hidden="1" x14ac:dyDescent="0.3">
      <c r="A981">
        <v>43</v>
      </c>
      <c r="B981" t="str">
        <f>VLOOKUP($A981,[1]LISTA!$B:$C,2,0)</f>
        <v>OCTUBRE</v>
      </c>
      <c r="C981" s="1">
        <v>2025</v>
      </c>
      <c r="D981" s="1" t="str">
        <f>IF($A981&lt;=[1]RESULTADOS!$D$6,"YTD","YTG")</f>
        <v>YTG</v>
      </c>
      <c r="E981" t="s">
        <v>470</v>
      </c>
      <c r="F981" t="s">
        <v>18</v>
      </c>
      <c r="G981" t="s">
        <v>153</v>
      </c>
      <c r="H981" t="s">
        <v>658</v>
      </c>
      <c r="I981" t="s">
        <v>73</v>
      </c>
      <c r="J981" t="str">
        <f>IFERROR(VLOOKUP(I981,[1]AUTOS!$C:$G,2,0),"")</f>
        <v>VERSA</v>
      </c>
      <c r="K981">
        <f>IFERROR(VLOOKUP(I981,[1]AUTOS!$C:$G,3,0),"")</f>
        <v>2023</v>
      </c>
      <c r="L981" t="str">
        <f>IFERROR(VLOOKUP(I981,[1]AUTOS!$C:$G,4,0),"")</f>
        <v>PLATA</v>
      </c>
      <c r="M981" t="s">
        <v>43</v>
      </c>
      <c r="P981" s="3">
        <v>-25</v>
      </c>
    </row>
    <row r="982" spans="1:16" hidden="1" x14ac:dyDescent="0.3">
      <c r="A982">
        <v>43</v>
      </c>
      <c r="B982" t="str">
        <f>VLOOKUP($A982,[1]LISTA!$B:$C,2,0)</f>
        <v>OCTUBRE</v>
      </c>
      <c r="C982" s="1">
        <v>2025</v>
      </c>
      <c r="D982" s="1" t="str">
        <f>IF($A982&lt;=[1]RESULTADOS!$D$6,"YTD","YTG")</f>
        <v>YTG</v>
      </c>
      <c r="E982" t="s">
        <v>17</v>
      </c>
      <c r="F982" t="s">
        <v>18</v>
      </c>
      <c r="G982" t="s">
        <v>57</v>
      </c>
      <c r="H982" t="s">
        <v>648</v>
      </c>
      <c r="I982" t="s">
        <v>67</v>
      </c>
      <c r="J982" t="str">
        <f>IFERROR(VLOOKUP(I982,[1]AUTOS!$C:$G,2,0),"")</f>
        <v>KIA RIO</v>
      </c>
      <c r="K982">
        <f>IFERROR(VLOOKUP(I982,[1]AUTOS!$C:$G,3,0),"")</f>
        <v>2020</v>
      </c>
      <c r="L982" t="str">
        <f>IFERROR(VLOOKUP(I982,[1]AUTOS!$C:$G,4,0),"")</f>
        <v>GRIS</v>
      </c>
      <c r="M982" t="s">
        <v>43</v>
      </c>
      <c r="P982" s="3">
        <v>-235</v>
      </c>
    </row>
    <row r="983" spans="1:16" hidden="1" x14ac:dyDescent="0.3">
      <c r="A983">
        <v>43</v>
      </c>
      <c r="B983" t="str">
        <f>VLOOKUP($A983,[1]LISTA!$B:$C,2,0)</f>
        <v>OCTUBRE</v>
      </c>
      <c r="C983" s="1">
        <v>2025</v>
      </c>
      <c r="D983" s="1" t="str">
        <f>IF($A983&lt;=[1]RESULTADOS!$D$6,"YTD","YTG")</f>
        <v>YTG</v>
      </c>
      <c r="E983" t="s">
        <v>17</v>
      </c>
      <c r="F983" t="s">
        <v>18</v>
      </c>
      <c r="G983" t="s">
        <v>57</v>
      </c>
      <c r="H983" t="s">
        <v>659</v>
      </c>
      <c r="I983" t="s">
        <v>67</v>
      </c>
      <c r="J983" t="str">
        <f>IFERROR(VLOOKUP(I983,[1]AUTOS!$C:$G,2,0),"")</f>
        <v>KIA RIO</v>
      </c>
      <c r="K983">
        <f>IFERROR(VLOOKUP(I983,[1]AUTOS!$C:$G,3,0),"")</f>
        <v>2020</v>
      </c>
      <c r="L983" t="str">
        <f>IFERROR(VLOOKUP(I983,[1]AUTOS!$C:$G,4,0),"")</f>
        <v>GRIS</v>
      </c>
      <c r="M983" t="s">
        <v>43</v>
      </c>
      <c r="P983" s="3">
        <v>-627</v>
      </c>
    </row>
    <row r="984" spans="1:16" hidden="1" x14ac:dyDescent="0.3">
      <c r="A984">
        <v>43</v>
      </c>
      <c r="B984" t="str">
        <f>VLOOKUP($A984,[1]LISTA!$B:$C,2,0)</f>
        <v>OCTUBRE</v>
      </c>
      <c r="C984" s="1">
        <v>2025</v>
      </c>
      <c r="D984" s="1" t="str">
        <f>IF($A984&lt;=[1]RESULTADOS!$D$6,"YTD","YTG")</f>
        <v>YTG</v>
      </c>
      <c r="E984" t="s">
        <v>537</v>
      </c>
      <c r="F984" t="s">
        <v>18</v>
      </c>
      <c r="G984" t="s">
        <v>57</v>
      </c>
      <c r="H984" t="s">
        <v>652</v>
      </c>
      <c r="I984" t="s">
        <v>214</v>
      </c>
      <c r="J984" t="str">
        <f>IFERROR(VLOOKUP(I984,[1]AUTOS!$C:$G,2,0),"")</f>
        <v>VENTO</v>
      </c>
      <c r="K984">
        <f>IFERROR(VLOOKUP(I984,[1]AUTOS!$C:$G,3,0),"")</f>
        <v>2019</v>
      </c>
      <c r="L984" t="str">
        <f>IFERROR(VLOOKUP(I984,[1]AUTOS!$C:$G,4,0),"")</f>
        <v>BLANCO</v>
      </c>
      <c r="M984" t="s">
        <v>215</v>
      </c>
      <c r="P984" s="3">
        <v>-314</v>
      </c>
    </row>
    <row r="985" spans="1:16" hidden="1" x14ac:dyDescent="0.3">
      <c r="A985">
        <v>43</v>
      </c>
      <c r="B985" t="str">
        <f>VLOOKUP($A985,[1]LISTA!$B:$C,2,0)</f>
        <v>OCTUBRE</v>
      </c>
      <c r="C985" s="1">
        <v>2025</v>
      </c>
      <c r="D985" s="1" t="str">
        <f>IF($A985&lt;=[1]RESULTADOS!$D$6,"YTD","YTG")</f>
        <v>YTG</v>
      </c>
      <c r="E985" t="s">
        <v>537</v>
      </c>
      <c r="F985" t="s">
        <v>18</v>
      </c>
      <c r="G985" t="s">
        <v>57</v>
      </c>
      <c r="H985" t="s">
        <v>660</v>
      </c>
      <c r="I985" t="s">
        <v>214</v>
      </c>
      <c r="J985" t="str">
        <f>IFERROR(VLOOKUP(I985,[1]AUTOS!$C:$G,2,0),"")</f>
        <v>VENTO</v>
      </c>
      <c r="K985">
        <f>IFERROR(VLOOKUP(I985,[1]AUTOS!$C:$G,3,0),"")</f>
        <v>2019</v>
      </c>
      <c r="L985" t="str">
        <f>IFERROR(VLOOKUP(I985,[1]AUTOS!$C:$G,4,0),"")</f>
        <v>BLANCO</v>
      </c>
      <c r="M985" t="s">
        <v>215</v>
      </c>
      <c r="P985" s="3">
        <v>-116</v>
      </c>
    </row>
    <row r="986" spans="1:16" hidden="1" x14ac:dyDescent="0.3">
      <c r="A986">
        <v>43</v>
      </c>
      <c r="B986" t="str">
        <f>VLOOKUP($A986,[1]LISTA!$B:$C,2,0)</f>
        <v>OCTUBRE</v>
      </c>
      <c r="C986" s="1">
        <v>2025</v>
      </c>
      <c r="D986" s="1" t="str">
        <f>IF($A986&lt;=[1]RESULTADOS!$D$6,"YTD","YTG")</f>
        <v>YTG</v>
      </c>
      <c r="E986" t="s">
        <v>537</v>
      </c>
      <c r="F986" t="s">
        <v>18</v>
      </c>
      <c r="G986" t="s">
        <v>57</v>
      </c>
      <c r="H986" t="s">
        <v>661</v>
      </c>
      <c r="I986" t="s">
        <v>214</v>
      </c>
      <c r="J986" t="str">
        <f>IFERROR(VLOOKUP(I986,[1]AUTOS!$C:$G,2,0),"")</f>
        <v>VENTO</v>
      </c>
      <c r="K986">
        <f>IFERROR(VLOOKUP(I986,[1]AUTOS!$C:$G,3,0),"")</f>
        <v>2019</v>
      </c>
      <c r="L986" t="str">
        <f>IFERROR(VLOOKUP(I986,[1]AUTOS!$C:$G,4,0),"")</f>
        <v>BLANCO</v>
      </c>
      <c r="M986" t="s">
        <v>215</v>
      </c>
      <c r="P986" s="3">
        <v>-294</v>
      </c>
    </row>
    <row r="987" spans="1:16" hidden="1" x14ac:dyDescent="0.3">
      <c r="A987">
        <v>43</v>
      </c>
      <c r="B987" t="str">
        <f>VLOOKUP($A987,[1]LISTA!$B:$C,2,0)</f>
        <v>OCTUBRE</v>
      </c>
      <c r="C987" s="1">
        <v>2025</v>
      </c>
      <c r="D987" s="1" t="str">
        <f>IF($A987&lt;=[1]RESULTADOS!$D$6,"YTD","YTG")</f>
        <v>YTG</v>
      </c>
      <c r="E987" t="s">
        <v>537</v>
      </c>
      <c r="F987" t="s">
        <v>18</v>
      </c>
      <c r="G987" t="s">
        <v>57</v>
      </c>
      <c r="H987" t="s">
        <v>662</v>
      </c>
      <c r="I987" t="s">
        <v>214</v>
      </c>
      <c r="J987" t="str">
        <f>IFERROR(VLOOKUP(I987,[1]AUTOS!$C:$G,2,0),"")</f>
        <v>VENTO</v>
      </c>
      <c r="K987">
        <f>IFERROR(VLOOKUP(I987,[1]AUTOS!$C:$G,3,0),"")</f>
        <v>2019</v>
      </c>
      <c r="L987" t="str">
        <f>IFERROR(VLOOKUP(I987,[1]AUTOS!$C:$G,4,0),"")</f>
        <v>BLANCO</v>
      </c>
      <c r="M987" t="s">
        <v>215</v>
      </c>
      <c r="P987" s="3">
        <v>-216</v>
      </c>
    </row>
    <row r="988" spans="1:16" hidden="1" x14ac:dyDescent="0.3">
      <c r="A988">
        <v>43</v>
      </c>
      <c r="B988" t="str">
        <f>VLOOKUP($A988,[1]LISTA!$B:$C,2,0)</f>
        <v>OCTUBRE</v>
      </c>
      <c r="C988" s="1">
        <v>2025</v>
      </c>
      <c r="D988" s="1" t="str">
        <f>IF($A988&lt;=[1]RESULTADOS!$D$6,"YTD","YTG")</f>
        <v>YTG</v>
      </c>
      <c r="E988" t="s">
        <v>17</v>
      </c>
      <c r="F988" t="s">
        <v>18</v>
      </c>
      <c r="G988" t="s">
        <v>87</v>
      </c>
      <c r="H988" t="s">
        <v>663</v>
      </c>
      <c r="I988" t="s">
        <v>67</v>
      </c>
      <c r="J988" t="str">
        <f>IFERROR(VLOOKUP(I988,[1]AUTOS!$C:$G,2,0),"")</f>
        <v>KIA RIO</v>
      </c>
      <c r="K988">
        <f>IFERROR(VLOOKUP(I988,[1]AUTOS!$C:$G,3,0),"")</f>
        <v>2020</v>
      </c>
      <c r="L988" t="str">
        <f>IFERROR(VLOOKUP(I988,[1]AUTOS!$C:$G,4,0),"")</f>
        <v>GRIS</v>
      </c>
      <c r="M988" t="s">
        <v>43</v>
      </c>
      <c r="P988" s="3">
        <v>-1500</v>
      </c>
    </row>
    <row r="989" spans="1:16" hidden="1" x14ac:dyDescent="0.3">
      <c r="A989">
        <v>5</v>
      </c>
      <c r="B989" t="str">
        <f>VLOOKUP($A989,[1]LISTA!$B:$C,2,0)</f>
        <v>ENERO</v>
      </c>
      <c r="C989" s="1">
        <v>2025</v>
      </c>
      <c r="D989" s="1" t="str">
        <f>IF($A989&lt;=[1]RESULTADOS!$D$6,"YTD","YTG")</f>
        <v>YTD</v>
      </c>
      <c r="E989" t="s">
        <v>17</v>
      </c>
      <c r="F989" t="s">
        <v>664</v>
      </c>
      <c r="G989" t="s">
        <v>665</v>
      </c>
      <c r="H989" t="s">
        <v>666</v>
      </c>
      <c r="I989" t="s">
        <v>112</v>
      </c>
      <c r="J989" t="str">
        <f>IFERROR(VLOOKUP(I989,[1]AUTOS!$C:$G,2,0),"")</f>
        <v>KIA RIO</v>
      </c>
      <c r="K989">
        <f>IFERROR(VLOOKUP(I989,[1]AUTOS!$C:$G,3,0),"")</f>
        <v>2020</v>
      </c>
      <c r="L989" t="str">
        <f>IFERROR(VLOOKUP(I989,[1]AUTOS!$C:$G,4,0),"")</f>
        <v>ROJO</v>
      </c>
      <c r="M989" t="s">
        <v>43</v>
      </c>
      <c r="N989" s="3">
        <v>0</v>
      </c>
      <c r="O989" s="3">
        <v>0</v>
      </c>
      <c r="P989" s="3">
        <v>-2500</v>
      </c>
    </row>
    <row r="990" spans="1:16" hidden="1" x14ac:dyDescent="0.3">
      <c r="A990">
        <v>6</v>
      </c>
      <c r="B990" t="str">
        <f>VLOOKUP($A990,[1]LISTA!$B:$C,2,0)</f>
        <v>FEBRERO</v>
      </c>
      <c r="C990" s="1">
        <v>2025</v>
      </c>
      <c r="D990" s="1" t="str">
        <f>IF($A990&lt;=[1]RESULTADOS!$D$6,"YTD","YTG")</f>
        <v>YTD</v>
      </c>
      <c r="E990" t="s">
        <v>17</v>
      </c>
      <c r="F990" t="s">
        <v>664</v>
      </c>
      <c r="G990" t="s">
        <v>665</v>
      </c>
      <c r="H990" t="s">
        <v>666</v>
      </c>
      <c r="I990" t="s">
        <v>112</v>
      </c>
      <c r="J990" t="str">
        <f>IFERROR(VLOOKUP(I990,[1]AUTOS!$C:$G,2,0),"")</f>
        <v>KIA RIO</v>
      </c>
      <c r="K990">
        <f>IFERROR(VLOOKUP(I990,[1]AUTOS!$C:$G,3,0),"")</f>
        <v>2020</v>
      </c>
      <c r="L990" t="str">
        <f>IFERROR(VLOOKUP(I990,[1]AUTOS!$C:$G,4,0),"")</f>
        <v>ROJO</v>
      </c>
      <c r="M990" t="s">
        <v>43</v>
      </c>
      <c r="N990" s="3">
        <v>0</v>
      </c>
      <c r="O990" s="3">
        <v>0</v>
      </c>
      <c r="P990" s="3">
        <v>-2500</v>
      </c>
    </row>
    <row r="991" spans="1:16" hidden="1" x14ac:dyDescent="0.3">
      <c r="A991">
        <v>7</v>
      </c>
      <c r="B991" t="str">
        <f>VLOOKUP($A991,[1]LISTA!$B:$C,2,0)</f>
        <v>FEBRERO</v>
      </c>
      <c r="C991" s="1">
        <v>2025</v>
      </c>
      <c r="D991" s="1" t="str">
        <f>IF($A991&lt;=[1]RESULTADOS!$D$6,"YTD","YTG")</f>
        <v>YTD</v>
      </c>
      <c r="E991" t="s">
        <v>17</v>
      </c>
      <c r="F991" t="s">
        <v>664</v>
      </c>
      <c r="G991" t="s">
        <v>665</v>
      </c>
      <c r="H991" t="s">
        <v>666</v>
      </c>
      <c r="I991" t="s">
        <v>112</v>
      </c>
      <c r="J991" t="str">
        <f>IFERROR(VLOOKUP(I991,[1]AUTOS!$C:$G,2,0),"")</f>
        <v>KIA RIO</v>
      </c>
      <c r="K991">
        <f>IFERROR(VLOOKUP(I991,[1]AUTOS!$C:$G,3,0),"")</f>
        <v>2020</v>
      </c>
      <c r="L991" t="str">
        <f>IFERROR(VLOOKUP(I991,[1]AUTOS!$C:$G,4,0),"")</f>
        <v>ROJO</v>
      </c>
      <c r="M991" t="s">
        <v>43</v>
      </c>
      <c r="N991" s="3">
        <v>0</v>
      </c>
      <c r="O991" s="3">
        <v>0</v>
      </c>
      <c r="P991" s="3">
        <v>-2500</v>
      </c>
    </row>
    <row r="992" spans="1:16" hidden="1" x14ac:dyDescent="0.3">
      <c r="A992">
        <v>8</v>
      </c>
      <c r="B992" t="str">
        <f>VLOOKUP($A992,[1]LISTA!$B:$C,2,0)</f>
        <v>FEBRERO</v>
      </c>
      <c r="C992" s="1">
        <v>2025</v>
      </c>
      <c r="D992" s="1" t="str">
        <f>IF($A992&lt;=[1]RESULTADOS!$D$6,"YTD","YTG")</f>
        <v>YTD</v>
      </c>
      <c r="E992" t="s">
        <v>17</v>
      </c>
      <c r="F992" t="s">
        <v>664</v>
      </c>
      <c r="G992" t="s">
        <v>665</v>
      </c>
      <c r="H992" t="s">
        <v>666</v>
      </c>
      <c r="I992" t="s">
        <v>112</v>
      </c>
      <c r="J992" t="str">
        <f>IFERROR(VLOOKUP(I992,[1]AUTOS!$C:$G,2,0),"")</f>
        <v>KIA RIO</v>
      </c>
      <c r="K992">
        <f>IFERROR(VLOOKUP(I992,[1]AUTOS!$C:$G,3,0),"")</f>
        <v>2020</v>
      </c>
      <c r="L992" t="str">
        <f>IFERROR(VLOOKUP(I992,[1]AUTOS!$C:$G,4,0),"")</f>
        <v>ROJO</v>
      </c>
      <c r="M992" t="s">
        <v>43</v>
      </c>
      <c r="N992" s="3">
        <v>0</v>
      </c>
      <c r="O992" s="3">
        <v>0</v>
      </c>
      <c r="P992" s="3">
        <v>-2500</v>
      </c>
    </row>
    <row r="993" spans="1:16" hidden="1" x14ac:dyDescent="0.3">
      <c r="A993">
        <v>9</v>
      </c>
      <c r="B993" t="str">
        <f>VLOOKUP($A993,[1]LISTA!$B:$C,2,0)</f>
        <v>FEBRERO</v>
      </c>
      <c r="C993" s="1">
        <v>2025</v>
      </c>
      <c r="D993" s="1" t="str">
        <f>IF($A993&lt;=[1]RESULTADOS!$D$6,"YTD","YTG")</f>
        <v>YTD</v>
      </c>
      <c r="E993" t="s">
        <v>17</v>
      </c>
      <c r="F993" t="s">
        <v>664</v>
      </c>
      <c r="G993" t="s">
        <v>665</v>
      </c>
      <c r="H993" t="s">
        <v>666</v>
      </c>
      <c r="I993" t="s">
        <v>112</v>
      </c>
      <c r="J993" t="str">
        <f>IFERROR(VLOOKUP(I993,[1]AUTOS!$C:$G,2,0),"")</f>
        <v>KIA RIO</v>
      </c>
      <c r="K993">
        <f>IFERROR(VLOOKUP(I993,[1]AUTOS!$C:$G,3,0),"")</f>
        <v>2020</v>
      </c>
      <c r="L993" t="str">
        <f>IFERROR(VLOOKUP(I993,[1]AUTOS!$C:$G,4,0),"")</f>
        <v>ROJO</v>
      </c>
      <c r="M993" t="s">
        <v>43</v>
      </c>
      <c r="N993" s="3">
        <v>0</v>
      </c>
      <c r="O993" s="3">
        <v>0</v>
      </c>
      <c r="P993" s="3">
        <v>-2500</v>
      </c>
    </row>
    <row r="994" spans="1:16" hidden="1" x14ac:dyDescent="0.3">
      <c r="A994">
        <v>10</v>
      </c>
      <c r="B994" t="str">
        <f>VLOOKUP($A994,[1]LISTA!$B:$C,2,0)</f>
        <v>MARZO</v>
      </c>
      <c r="C994" s="1">
        <v>2025</v>
      </c>
      <c r="D994" s="1" t="str">
        <f>IF($A994&lt;=[1]RESULTADOS!$D$6,"YTD","YTG")</f>
        <v>YTD</v>
      </c>
      <c r="E994" t="s">
        <v>17</v>
      </c>
      <c r="F994" t="s">
        <v>664</v>
      </c>
      <c r="G994" t="s">
        <v>665</v>
      </c>
      <c r="H994" t="s">
        <v>666</v>
      </c>
      <c r="I994" t="s">
        <v>112</v>
      </c>
      <c r="J994" t="str">
        <f>IFERROR(VLOOKUP(I994,[1]AUTOS!$C:$G,2,0),"")</f>
        <v>KIA RIO</v>
      </c>
      <c r="K994">
        <f>IFERROR(VLOOKUP(I994,[1]AUTOS!$C:$G,3,0),"")</f>
        <v>2020</v>
      </c>
      <c r="L994" t="str">
        <f>IFERROR(VLOOKUP(I994,[1]AUTOS!$C:$G,4,0),"")</f>
        <v>ROJO</v>
      </c>
      <c r="M994" t="s">
        <v>43</v>
      </c>
      <c r="N994" s="3">
        <v>0</v>
      </c>
      <c r="O994" s="3">
        <v>0</v>
      </c>
      <c r="P994" s="3">
        <v>-2500</v>
      </c>
    </row>
    <row r="995" spans="1:16" hidden="1" x14ac:dyDescent="0.3">
      <c r="A995">
        <v>11</v>
      </c>
      <c r="B995" t="str">
        <f>VLOOKUP($A995,[1]LISTA!$B:$C,2,0)</f>
        <v>MARZO</v>
      </c>
      <c r="C995" s="1">
        <v>2025</v>
      </c>
      <c r="D995" s="1" t="str">
        <f>IF($A995&lt;=[1]RESULTADOS!$D$6,"YTD","YTG")</f>
        <v>YTD</v>
      </c>
      <c r="E995" t="s">
        <v>17</v>
      </c>
      <c r="F995" t="s">
        <v>664</v>
      </c>
      <c r="G995" t="s">
        <v>665</v>
      </c>
      <c r="H995" t="s">
        <v>666</v>
      </c>
      <c r="I995" t="s">
        <v>112</v>
      </c>
      <c r="J995" t="str">
        <f>IFERROR(VLOOKUP(I995,[1]AUTOS!$C:$G,2,0),"")</f>
        <v>KIA RIO</v>
      </c>
      <c r="K995">
        <f>IFERROR(VLOOKUP(I995,[1]AUTOS!$C:$G,3,0),"")</f>
        <v>2020</v>
      </c>
      <c r="L995" t="str">
        <f>IFERROR(VLOOKUP(I995,[1]AUTOS!$C:$G,4,0),"")</f>
        <v>ROJO</v>
      </c>
      <c r="M995" t="s">
        <v>43</v>
      </c>
      <c r="N995" s="3">
        <v>0</v>
      </c>
      <c r="O995" s="3">
        <v>0</v>
      </c>
      <c r="P995" s="3">
        <v>-2500</v>
      </c>
    </row>
    <row r="996" spans="1:16" hidden="1" x14ac:dyDescent="0.3">
      <c r="A996">
        <v>12</v>
      </c>
      <c r="B996" t="str">
        <f>VLOOKUP($A996,[1]LISTA!$B:$C,2,0)</f>
        <v>MARZO</v>
      </c>
      <c r="C996" s="1">
        <v>2025</v>
      </c>
      <c r="D996" s="1" t="str">
        <f>IF($A996&lt;=[1]RESULTADOS!$D$6,"YTD","YTG")</f>
        <v>YTD</v>
      </c>
      <c r="E996" t="s">
        <v>17</v>
      </c>
      <c r="F996" t="s">
        <v>664</v>
      </c>
      <c r="G996" t="s">
        <v>665</v>
      </c>
      <c r="H996" t="s">
        <v>666</v>
      </c>
      <c r="I996" t="s">
        <v>112</v>
      </c>
      <c r="J996" t="str">
        <f>IFERROR(VLOOKUP(I996,[1]AUTOS!$C:$G,2,0),"")</f>
        <v>KIA RIO</v>
      </c>
      <c r="K996">
        <f>IFERROR(VLOOKUP(I996,[1]AUTOS!$C:$G,3,0),"")</f>
        <v>2020</v>
      </c>
      <c r="L996" t="str">
        <f>IFERROR(VLOOKUP(I996,[1]AUTOS!$C:$G,4,0),"")</f>
        <v>ROJO</v>
      </c>
      <c r="M996" t="s">
        <v>43</v>
      </c>
      <c r="N996" s="3">
        <v>0</v>
      </c>
      <c r="O996" s="3">
        <v>0</v>
      </c>
      <c r="P996" s="3">
        <v>-2500</v>
      </c>
    </row>
    <row r="997" spans="1:16" hidden="1" x14ac:dyDescent="0.3">
      <c r="A997">
        <v>13</v>
      </c>
      <c r="B997" t="str">
        <f>VLOOKUP($A997,[1]LISTA!$B:$C,2,0)</f>
        <v>MARZO</v>
      </c>
      <c r="C997" s="1">
        <v>2025</v>
      </c>
      <c r="D997" s="1" t="str">
        <f>IF($A997&lt;=[1]RESULTADOS!$D$6,"YTD","YTG")</f>
        <v>YTD</v>
      </c>
      <c r="E997" t="s">
        <v>17</v>
      </c>
      <c r="F997" t="s">
        <v>664</v>
      </c>
      <c r="G997" t="s">
        <v>665</v>
      </c>
      <c r="H997" t="s">
        <v>666</v>
      </c>
      <c r="I997" t="s">
        <v>112</v>
      </c>
      <c r="J997" t="str">
        <f>IFERROR(VLOOKUP(I997,[1]AUTOS!$C:$G,2,0),"")</f>
        <v>KIA RIO</v>
      </c>
      <c r="K997">
        <f>IFERROR(VLOOKUP(I997,[1]AUTOS!$C:$G,3,0),"")</f>
        <v>2020</v>
      </c>
      <c r="L997" t="str">
        <f>IFERROR(VLOOKUP(I997,[1]AUTOS!$C:$G,4,0),"")</f>
        <v>ROJO</v>
      </c>
      <c r="M997" t="s">
        <v>43</v>
      </c>
      <c r="N997" s="3">
        <v>0</v>
      </c>
      <c r="O997" s="3">
        <v>0</v>
      </c>
      <c r="P997" s="3">
        <v>-2500</v>
      </c>
    </row>
    <row r="998" spans="1:16" hidden="1" x14ac:dyDescent="0.3">
      <c r="A998">
        <v>14</v>
      </c>
      <c r="B998" t="str">
        <f>VLOOKUP($A998,[1]LISTA!$B:$C,2,0)</f>
        <v>ABRIL</v>
      </c>
      <c r="C998" s="1">
        <v>2025</v>
      </c>
      <c r="D998" s="1" t="str">
        <f>IF($A998&lt;=[1]RESULTADOS!$D$6,"YTD","YTG")</f>
        <v>YTD</v>
      </c>
      <c r="E998" t="s">
        <v>17</v>
      </c>
      <c r="F998" t="s">
        <v>664</v>
      </c>
      <c r="G998" t="s">
        <v>665</v>
      </c>
      <c r="H998" t="s">
        <v>666</v>
      </c>
      <c r="I998" t="s">
        <v>112</v>
      </c>
      <c r="J998" t="str">
        <f>IFERROR(VLOOKUP(I998,[1]AUTOS!$C:$G,2,0),"")</f>
        <v>KIA RIO</v>
      </c>
      <c r="K998">
        <f>IFERROR(VLOOKUP(I998,[1]AUTOS!$C:$G,3,0),"")</f>
        <v>2020</v>
      </c>
      <c r="L998" t="str">
        <f>IFERROR(VLOOKUP(I998,[1]AUTOS!$C:$G,4,0),"")</f>
        <v>ROJO</v>
      </c>
      <c r="M998" t="s">
        <v>43</v>
      </c>
      <c r="N998" s="3">
        <v>0</v>
      </c>
      <c r="O998" s="3">
        <v>0</v>
      </c>
      <c r="P998" s="3">
        <v>-2500</v>
      </c>
    </row>
    <row r="999" spans="1:16" hidden="1" x14ac:dyDescent="0.3">
      <c r="A999">
        <v>15</v>
      </c>
      <c r="B999" t="str">
        <f>VLOOKUP($A999,[1]LISTA!$B:$C,2,0)</f>
        <v>ABRIL</v>
      </c>
      <c r="C999" s="1">
        <v>2025</v>
      </c>
      <c r="D999" s="1" t="str">
        <f>IF($A999&lt;=[1]RESULTADOS!$D$6,"YTD","YTG")</f>
        <v>YTD</v>
      </c>
      <c r="E999" t="s">
        <v>17</v>
      </c>
      <c r="F999" t="s">
        <v>664</v>
      </c>
      <c r="G999" t="s">
        <v>665</v>
      </c>
      <c r="H999" t="s">
        <v>666</v>
      </c>
      <c r="I999" t="s">
        <v>112</v>
      </c>
      <c r="J999" t="str">
        <f>IFERROR(VLOOKUP(I999,[1]AUTOS!$C:$G,2,0),"")</f>
        <v>KIA RIO</v>
      </c>
      <c r="K999">
        <f>IFERROR(VLOOKUP(I999,[1]AUTOS!$C:$G,3,0),"")</f>
        <v>2020</v>
      </c>
      <c r="L999" t="str">
        <f>IFERROR(VLOOKUP(I999,[1]AUTOS!$C:$G,4,0),"")</f>
        <v>ROJO</v>
      </c>
      <c r="M999" t="s">
        <v>43</v>
      </c>
      <c r="N999" s="3">
        <v>0</v>
      </c>
      <c r="O999" s="3">
        <v>0</v>
      </c>
      <c r="P999" s="3">
        <v>-2500</v>
      </c>
    </row>
    <row r="1000" spans="1:16" hidden="1" x14ac:dyDescent="0.3">
      <c r="A1000">
        <v>16</v>
      </c>
      <c r="B1000" t="str">
        <f>VLOOKUP($A1000,[1]LISTA!$B:$C,2,0)</f>
        <v>ABRIL</v>
      </c>
      <c r="C1000" s="1">
        <v>2025</v>
      </c>
      <c r="D1000" s="1" t="str">
        <f>IF($A1000&lt;=[1]RESULTADOS!$D$6,"YTD","YTG")</f>
        <v>YTD</v>
      </c>
      <c r="E1000" t="s">
        <v>17</v>
      </c>
      <c r="F1000" t="s">
        <v>664</v>
      </c>
      <c r="G1000" t="s">
        <v>665</v>
      </c>
      <c r="H1000" t="s">
        <v>666</v>
      </c>
      <c r="I1000" t="s">
        <v>112</v>
      </c>
      <c r="J1000" t="str">
        <f>IFERROR(VLOOKUP(I1000,[1]AUTOS!$C:$G,2,0),"")</f>
        <v>KIA RIO</v>
      </c>
      <c r="K1000">
        <f>IFERROR(VLOOKUP(I1000,[1]AUTOS!$C:$G,3,0),"")</f>
        <v>2020</v>
      </c>
      <c r="L1000" t="str">
        <f>IFERROR(VLOOKUP(I1000,[1]AUTOS!$C:$G,4,0),"")</f>
        <v>ROJO</v>
      </c>
      <c r="M1000" t="s">
        <v>43</v>
      </c>
      <c r="N1000" s="3">
        <v>0</v>
      </c>
      <c r="O1000" s="3">
        <v>0</v>
      </c>
      <c r="P1000" s="3">
        <v>-2500</v>
      </c>
    </row>
    <row r="1001" spans="1:16" hidden="1" x14ac:dyDescent="0.3">
      <c r="A1001">
        <v>17</v>
      </c>
      <c r="B1001" t="str">
        <f>VLOOKUP($A1001,[1]LISTA!$B:$C,2,0)</f>
        <v>ABRIL</v>
      </c>
      <c r="C1001" s="1">
        <v>2025</v>
      </c>
      <c r="D1001" s="1" t="str">
        <f>IF($A1001&lt;=[1]RESULTADOS!$D$6,"YTD","YTG")</f>
        <v>YTD</v>
      </c>
      <c r="E1001" t="s">
        <v>17</v>
      </c>
      <c r="F1001" t="s">
        <v>664</v>
      </c>
      <c r="G1001" t="s">
        <v>665</v>
      </c>
      <c r="H1001" t="s">
        <v>666</v>
      </c>
      <c r="I1001" t="s">
        <v>112</v>
      </c>
      <c r="J1001" t="str">
        <f>IFERROR(VLOOKUP(I1001,[1]AUTOS!$C:$G,2,0),"")</f>
        <v>KIA RIO</v>
      </c>
      <c r="K1001">
        <f>IFERROR(VLOOKUP(I1001,[1]AUTOS!$C:$G,3,0),"")</f>
        <v>2020</v>
      </c>
      <c r="L1001" t="str">
        <f>IFERROR(VLOOKUP(I1001,[1]AUTOS!$C:$G,4,0),"")</f>
        <v>ROJO</v>
      </c>
      <c r="M1001" t="s">
        <v>43</v>
      </c>
      <c r="N1001" s="3">
        <v>0</v>
      </c>
      <c r="O1001" s="3">
        <v>0</v>
      </c>
      <c r="P1001" s="3">
        <v>-2500</v>
      </c>
    </row>
    <row r="1002" spans="1:16" hidden="1" x14ac:dyDescent="0.3">
      <c r="A1002">
        <v>18</v>
      </c>
      <c r="B1002" t="str">
        <f>VLOOKUP($A1002,[1]LISTA!$B:$C,2,0)</f>
        <v>MAYO</v>
      </c>
      <c r="C1002" s="1">
        <v>2025</v>
      </c>
      <c r="D1002" s="1" t="str">
        <f>IF($A1002&lt;=[1]RESULTADOS!$D$6,"YTD","YTG")</f>
        <v>YTD</v>
      </c>
      <c r="E1002" t="s">
        <v>17</v>
      </c>
      <c r="F1002" t="s">
        <v>664</v>
      </c>
      <c r="G1002" t="s">
        <v>665</v>
      </c>
      <c r="H1002" t="s">
        <v>666</v>
      </c>
      <c r="I1002" t="s">
        <v>112</v>
      </c>
      <c r="J1002" t="str">
        <f>IFERROR(VLOOKUP(I1002,[1]AUTOS!$C:$G,2,0),"")</f>
        <v>KIA RIO</v>
      </c>
      <c r="K1002">
        <f>IFERROR(VLOOKUP(I1002,[1]AUTOS!$C:$G,3,0),"")</f>
        <v>2020</v>
      </c>
      <c r="L1002" t="str">
        <f>IFERROR(VLOOKUP(I1002,[1]AUTOS!$C:$G,4,0),"")</f>
        <v>ROJO</v>
      </c>
      <c r="M1002" t="s">
        <v>43</v>
      </c>
      <c r="N1002" s="3">
        <v>0</v>
      </c>
      <c r="O1002" s="3">
        <v>0</v>
      </c>
      <c r="P1002" s="3">
        <v>-2500</v>
      </c>
    </row>
    <row r="1003" spans="1:16" hidden="1" x14ac:dyDescent="0.3">
      <c r="A1003">
        <v>19</v>
      </c>
      <c r="B1003" t="str">
        <f>VLOOKUP($A1003,[1]LISTA!$B:$C,2,0)</f>
        <v>MAYO</v>
      </c>
      <c r="C1003" s="1">
        <v>2025</v>
      </c>
      <c r="D1003" s="1" t="str">
        <f>IF($A1003&lt;=[1]RESULTADOS!$D$6,"YTD","YTG")</f>
        <v>YTD</v>
      </c>
      <c r="E1003" t="s">
        <v>17</v>
      </c>
      <c r="F1003" t="s">
        <v>664</v>
      </c>
      <c r="G1003" t="s">
        <v>665</v>
      </c>
      <c r="H1003" t="s">
        <v>666</v>
      </c>
      <c r="I1003" t="s">
        <v>112</v>
      </c>
      <c r="J1003" t="str">
        <f>IFERROR(VLOOKUP(I1003,[1]AUTOS!$C:$G,2,0),"")</f>
        <v>KIA RIO</v>
      </c>
      <c r="K1003">
        <f>IFERROR(VLOOKUP(I1003,[1]AUTOS!$C:$G,3,0),"")</f>
        <v>2020</v>
      </c>
      <c r="L1003" t="str">
        <f>IFERROR(VLOOKUP(I1003,[1]AUTOS!$C:$G,4,0),"")</f>
        <v>ROJO</v>
      </c>
      <c r="M1003" t="s">
        <v>43</v>
      </c>
      <c r="N1003" s="3">
        <v>0</v>
      </c>
      <c r="O1003" s="3">
        <v>0</v>
      </c>
      <c r="P1003" s="3">
        <v>-2500</v>
      </c>
    </row>
    <row r="1004" spans="1:16" hidden="1" x14ac:dyDescent="0.3">
      <c r="A1004">
        <v>20</v>
      </c>
      <c r="B1004" t="str">
        <f>VLOOKUP($A1004,[1]LISTA!$B:$C,2,0)</f>
        <v>MAYO</v>
      </c>
      <c r="C1004" s="1">
        <v>2025</v>
      </c>
      <c r="D1004" s="1" t="str">
        <f>IF($A1004&lt;=[1]RESULTADOS!$D$6,"YTD","YTG")</f>
        <v>YTD</v>
      </c>
      <c r="E1004" t="s">
        <v>17</v>
      </c>
      <c r="F1004" t="s">
        <v>664</v>
      </c>
      <c r="G1004" t="s">
        <v>665</v>
      </c>
      <c r="H1004" t="s">
        <v>666</v>
      </c>
      <c r="I1004" t="s">
        <v>112</v>
      </c>
      <c r="J1004" t="str">
        <f>IFERROR(VLOOKUP(I1004,[1]AUTOS!$C:$G,2,0),"")</f>
        <v>KIA RIO</v>
      </c>
      <c r="K1004">
        <f>IFERROR(VLOOKUP(I1004,[1]AUTOS!$C:$G,3,0),"")</f>
        <v>2020</v>
      </c>
      <c r="L1004" t="str">
        <f>IFERROR(VLOOKUP(I1004,[1]AUTOS!$C:$G,4,0),"")</f>
        <v>ROJO</v>
      </c>
      <c r="M1004" t="s">
        <v>43</v>
      </c>
      <c r="N1004" s="3">
        <v>0</v>
      </c>
      <c r="O1004" s="3">
        <v>0</v>
      </c>
      <c r="P1004" s="3">
        <v>-2500</v>
      </c>
    </row>
    <row r="1005" spans="1:16" hidden="1" x14ac:dyDescent="0.3">
      <c r="A1005">
        <v>21</v>
      </c>
      <c r="B1005" t="str">
        <f>VLOOKUP($A1005,[1]LISTA!$B:$C,2,0)</f>
        <v>MAYO</v>
      </c>
      <c r="C1005" s="1">
        <v>2025</v>
      </c>
      <c r="D1005" s="1" t="str">
        <f>IF($A1005&lt;=[1]RESULTADOS!$D$6,"YTD","YTG")</f>
        <v>YTD</v>
      </c>
      <c r="E1005" t="s">
        <v>17</v>
      </c>
      <c r="F1005" t="s">
        <v>664</v>
      </c>
      <c r="G1005" t="s">
        <v>665</v>
      </c>
      <c r="H1005" t="s">
        <v>666</v>
      </c>
      <c r="I1005" t="s">
        <v>112</v>
      </c>
      <c r="J1005" t="str">
        <f>IFERROR(VLOOKUP(I1005,[1]AUTOS!$C:$G,2,0),"")</f>
        <v>KIA RIO</v>
      </c>
      <c r="K1005">
        <f>IFERROR(VLOOKUP(I1005,[1]AUTOS!$C:$G,3,0),"")</f>
        <v>2020</v>
      </c>
      <c r="L1005" t="str">
        <f>IFERROR(VLOOKUP(I1005,[1]AUTOS!$C:$G,4,0),"")</f>
        <v>ROJO</v>
      </c>
      <c r="M1005" t="s">
        <v>43</v>
      </c>
      <c r="N1005" s="3">
        <v>0</v>
      </c>
      <c r="O1005" s="3">
        <v>0</v>
      </c>
      <c r="P1005" s="3">
        <v>-2500</v>
      </c>
    </row>
    <row r="1006" spans="1:16" hidden="1" x14ac:dyDescent="0.3">
      <c r="A1006">
        <v>22</v>
      </c>
      <c r="B1006" t="str">
        <f>VLOOKUP($A1006,[1]LISTA!$B:$C,2,0)</f>
        <v>MAYO</v>
      </c>
      <c r="C1006" s="1">
        <v>2025</v>
      </c>
      <c r="D1006" s="1" t="str">
        <f>IF($A1006&lt;=[1]RESULTADOS!$D$6,"YTD","YTG")</f>
        <v>YTD</v>
      </c>
      <c r="E1006" t="s">
        <v>17</v>
      </c>
      <c r="F1006" t="s">
        <v>664</v>
      </c>
      <c r="G1006" t="s">
        <v>665</v>
      </c>
      <c r="H1006" t="s">
        <v>666</v>
      </c>
      <c r="I1006" t="s">
        <v>112</v>
      </c>
      <c r="J1006" t="str">
        <f>IFERROR(VLOOKUP(I1006,[1]AUTOS!$C:$G,2,0),"")</f>
        <v>KIA RIO</v>
      </c>
      <c r="K1006">
        <f>IFERROR(VLOOKUP(I1006,[1]AUTOS!$C:$G,3,0),"")</f>
        <v>2020</v>
      </c>
      <c r="L1006" t="str">
        <f>IFERROR(VLOOKUP(I1006,[1]AUTOS!$C:$G,4,0),"")</f>
        <v>ROJO</v>
      </c>
      <c r="M1006" t="s">
        <v>43</v>
      </c>
      <c r="N1006" s="3">
        <v>0</v>
      </c>
      <c r="O1006" s="3">
        <v>0</v>
      </c>
      <c r="P1006" s="3">
        <v>-2500</v>
      </c>
    </row>
    <row r="1007" spans="1:16" hidden="1" x14ac:dyDescent="0.3">
      <c r="A1007">
        <v>23</v>
      </c>
      <c r="B1007" t="str">
        <f>VLOOKUP($A1007,[1]LISTA!$B:$C,2,0)</f>
        <v>JUNIO</v>
      </c>
      <c r="C1007" s="1">
        <v>2025</v>
      </c>
      <c r="D1007" s="1" t="str">
        <f>IF($A1007&lt;=[1]RESULTADOS!$D$6,"YTD","YTG")</f>
        <v>YTD</v>
      </c>
      <c r="E1007" t="s">
        <v>17</v>
      </c>
      <c r="F1007" t="s">
        <v>664</v>
      </c>
      <c r="G1007" t="s">
        <v>665</v>
      </c>
      <c r="H1007" t="s">
        <v>666</v>
      </c>
      <c r="I1007" t="s">
        <v>112</v>
      </c>
      <c r="J1007" t="str">
        <f>IFERROR(VLOOKUP(I1007,[1]AUTOS!$C:$G,2,0),"")</f>
        <v>KIA RIO</v>
      </c>
      <c r="K1007">
        <f>IFERROR(VLOOKUP(I1007,[1]AUTOS!$C:$G,3,0),"")</f>
        <v>2020</v>
      </c>
      <c r="L1007" t="str">
        <f>IFERROR(VLOOKUP(I1007,[1]AUTOS!$C:$G,4,0),"")</f>
        <v>ROJO</v>
      </c>
      <c r="M1007" t="s">
        <v>43</v>
      </c>
      <c r="N1007" s="3">
        <v>0</v>
      </c>
      <c r="O1007" s="3">
        <v>0</v>
      </c>
      <c r="P1007" s="3">
        <v>-2500</v>
      </c>
    </row>
    <row r="1008" spans="1:16" hidden="1" x14ac:dyDescent="0.3">
      <c r="A1008">
        <v>24</v>
      </c>
      <c r="B1008" t="str">
        <f>VLOOKUP($A1008,[1]LISTA!$B:$C,2,0)</f>
        <v>JUNIO</v>
      </c>
      <c r="C1008" s="1">
        <v>2025</v>
      </c>
      <c r="D1008" s="1" t="str">
        <f>IF($A1008&lt;=[1]RESULTADOS!$D$6,"YTD","YTG")</f>
        <v>YTD</v>
      </c>
      <c r="E1008" t="s">
        <v>17</v>
      </c>
      <c r="F1008" t="s">
        <v>664</v>
      </c>
      <c r="G1008" t="s">
        <v>665</v>
      </c>
      <c r="H1008" t="s">
        <v>666</v>
      </c>
      <c r="I1008" t="s">
        <v>112</v>
      </c>
      <c r="J1008" t="str">
        <f>IFERROR(VLOOKUP(I1008,[1]AUTOS!$C:$G,2,0),"")</f>
        <v>KIA RIO</v>
      </c>
      <c r="K1008">
        <f>IFERROR(VLOOKUP(I1008,[1]AUTOS!$C:$G,3,0),"")</f>
        <v>2020</v>
      </c>
      <c r="L1008" t="str">
        <f>IFERROR(VLOOKUP(I1008,[1]AUTOS!$C:$G,4,0),"")</f>
        <v>ROJO</v>
      </c>
      <c r="M1008" t="s">
        <v>43</v>
      </c>
      <c r="N1008" s="3">
        <v>0</v>
      </c>
      <c r="O1008" s="3">
        <v>0</v>
      </c>
      <c r="P1008" s="3">
        <v>-2500</v>
      </c>
    </row>
    <row r="1009" spans="1:16" hidden="1" x14ac:dyDescent="0.3">
      <c r="A1009">
        <v>25</v>
      </c>
      <c r="B1009" t="str">
        <f>VLOOKUP($A1009,[1]LISTA!$B:$C,2,0)</f>
        <v>JUNIO</v>
      </c>
      <c r="C1009" s="1">
        <v>2025</v>
      </c>
      <c r="D1009" s="1" t="str">
        <f>IF($A1009&lt;=[1]RESULTADOS!$D$6,"YTD","YTG")</f>
        <v>YTD</v>
      </c>
      <c r="E1009" t="s">
        <v>17</v>
      </c>
      <c r="F1009" t="s">
        <v>664</v>
      </c>
      <c r="G1009" t="s">
        <v>665</v>
      </c>
      <c r="H1009" t="s">
        <v>666</v>
      </c>
      <c r="I1009" t="s">
        <v>112</v>
      </c>
      <c r="J1009" t="str">
        <f>IFERROR(VLOOKUP(I1009,[1]AUTOS!$C:$G,2,0),"")</f>
        <v>KIA RIO</v>
      </c>
      <c r="K1009">
        <f>IFERROR(VLOOKUP(I1009,[1]AUTOS!$C:$G,3,0),"")</f>
        <v>2020</v>
      </c>
      <c r="L1009" t="str">
        <f>IFERROR(VLOOKUP(I1009,[1]AUTOS!$C:$G,4,0),"")</f>
        <v>ROJO</v>
      </c>
      <c r="M1009" t="s">
        <v>43</v>
      </c>
      <c r="N1009" s="3">
        <v>0</v>
      </c>
      <c r="O1009" s="3">
        <v>0</v>
      </c>
      <c r="P1009" s="3">
        <v>-2500</v>
      </c>
    </row>
    <row r="1010" spans="1:16" hidden="1" x14ac:dyDescent="0.3">
      <c r="A1010">
        <v>26</v>
      </c>
      <c r="B1010" t="str">
        <f>VLOOKUP($A1010,[1]LISTA!$B:$C,2,0)</f>
        <v>JUNIO</v>
      </c>
      <c r="C1010" s="1">
        <v>2025</v>
      </c>
      <c r="D1010" s="1" t="str">
        <f>IF($A1010&lt;=[1]RESULTADOS!$D$6,"YTD","YTG")</f>
        <v>YTD</v>
      </c>
      <c r="E1010" t="s">
        <v>17</v>
      </c>
      <c r="F1010" t="s">
        <v>664</v>
      </c>
      <c r="G1010" t="s">
        <v>665</v>
      </c>
      <c r="H1010" t="s">
        <v>666</v>
      </c>
      <c r="I1010" t="s">
        <v>112</v>
      </c>
      <c r="J1010" t="str">
        <f>IFERROR(VLOOKUP(I1010,[1]AUTOS!$C:$G,2,0),"")</f>
        <v>KIA RIO</v>
      </c>
      <c r="K1010">
        <f>IFERROR(VLOOKUP(I1010,[1]AUTOS!$C:$G,3,0),"")</f>
        <v>2020</v>
      </c>
      <c r="L1010" t="str">
        <f>IFERROR(VLOOKUP(I1010,[1]AUTOS!$C:$G,4,0),"")</f>
        <v>ROJO</v>
      </c>
      <c r="M1010" t="s">
        <v>43</v>
      </c>
      <c r="N1010" s="3">
        <v>0</v>
      </c>
      <c r="O1010" s="3">
        <v>0</v>
      </c>
      <c r="P1010" s="3">
        <v>-2500</v>
      </c>
    </row>
    <row r="1011" spans="1:16" hidden="1" x14ac:dyDescent="0.3">
      <c r="A1011">
        <v>27</v>
      </c>
      <c r="B1011" t="str">
        <f>VLOOKUP($A1011,[1]LISTA!$B:$C,2,0)</f>
        <v>JULIO</v>
      </c>
      <c r="C1011" s="1">
        <v>2025</v>
      </c>
      <c r="D1011" s="1" t="str">
        <f>IF($A1011&lt;=[1]RESULTADOS!$D$6,"YTD","YTG")</f>
        <v>YTD</v>
      </c>
      <c r="E1011" t="s">
        <v>17</v>
      </c>
      <c r="F1011" t="s">
        <v>664</v>
      </c>
      <c r="G1011" t="s">
        <v>665</v>
      </c>
      <c r="H1011" t="s">
        <v>666</v>
      </c>
      <c r="I1011" t="s">
        <v>112</v>
      </c>
      <c r="J1011" t="str">
        <f>IFERROR(VLOOKUP(I1011,[1]AUTOS!$C:$G,2,0),"")</f>
        <v>KIA RIO</v>
      </c>
      <c r="K1011">
        <f>IFERROR(VLOOKUP(I1011,[1]AUTOS!$C:$G,3,0),"")</f>
        <v>2020</v>
      </c>
      <c r="L1011" t="str">
        <f>IFERROR(VLOOKUP(I1011,[1]AUTOS!$C:$G,4,0),"")</f>
        <v>ROJO</v>
      </c>
      <c r="M1011" t="s">
        <v>43</v>
      </c>
      <c r="N1011" s="3">
        <v>0</v>
      </c>
      <c r="O1011" s="3">
        <v>0</v>
      </c>
      <c r="P1011" s="3">
        <v>-2500</v>
      </c>
    </row>
    <row r="1012" spans="1:16" hidden="1" x14ac:dyDescent="0.3">
      <c r="A1012">
        <v>28</v>
      </c>
      <c r="B1012" t="str">
        <f>VLOOKUP($A1012,[1]LISTA!$B:$C,2,0)</f>
        <v>JULIO</v>
      </c>
      <c r="C1012" s="1">
        <v>2025</v>
      </c>
      <c r="D1012" s="1" t="str">
        <f>IF($A1012&lt;=[1]RESULTADOS!$D$6,"YTD","YTG")</f>
        <v>YTD</v>
      </c>
      <c r="E1012" t="s">
        <v>17</v>
      </c>
      <c r="F1012" t="s">
        <v>664</v>
      </c>
      <c r="G1012" t="s">
        <v>665</v>
      </c>
      <c r="H1012" t="s">
        <v>666</v>
      </c>
      <c r="I1012" t="s">
        <v>112</v>
      </c>
      <c r="J1012" t="str">
        <f>IFERROR(VLOOKUP(I1012,[1]AUTOS!$C:$G,2,0),"")</f>
        <v>KIA RIO</v>
      </c>
      <c r="K1012">
        <f>IFERROR(VLOOKUP(I1012,[1]AUTOS!$C:$G,3,0),"")</f>
        <v>2020</v>
      </c>
      <c r="L1012" t="str">
        <f>IFERROR(VLOOKUP(I1012,[1]AUTOS!$C:$G,4,0),"")</f>
        <v>ROJO</v>
      </c>
      <c r="M1012" t="s">
        <v>43</v>
      </c>
      <c r="N1012" s="3">
        <v>0</v>
      </c>
      <c r="O1012" s="3">
        <v>0</v>
      </c>
      <c r="P1012" s="3">
        <v>-2500</v>
      </c>
    </row>
    <row r="1013" spans="1:16" hidden="1" x14ac:dyDescent="0.3">
      <c r="A1013">
        <v>29</v>
      </c>
      <c r="B1013" t="str">
        <f>VLOOKUP($A1013,[1]LISTA!$B:$C,2,0)</f>
        <v>JULIO</v>
      </c>
      <c r="C1013" s="1">
        <v>2025</v>
      </c>
      <c r="D1013" s="1" t="str">
        <f>IF($A1013&lt;=[1]RESULTADOS!$D$6,"YTD","YTG")</f>
        <v>YTD</v>
      </c>
      <c r="E1013" t="s">
        <v>17</v>
      </c>
      <c r="F1013" t="s">
        <v>664</v>
      </c>
      <c r="G1013" t="s">
        <v>665</v>
      </c>
      <c r="H1013" t="s">
        <v>666</v>
      </c>
      <c r="I1013" t="s">
        <v>112</v>
      </c>
      <c r="J1013" t="str">
        <f>IFERROR(VLOOKUP(I1013,[1]AUTOS!$C:$G,2,0),"")</f>
        <v>KIA RIO</v>
      </c>
      <c r="K1013">
        <f>IFERROR(VLOOKUP(I1013,[1]AUTOS!$C:$G,3,0),"")</f>
        <v>2020</v>
      </c>
      <c r="L1013" t="str">
        <f>IFERROR(VLOOKUP(I1013,[1]AUTOS!$C:$G,4,0),"")</f>
        <v>ROJO</v>
      </c>
      <c r="M1013" t="s">
        <v>43</v>
      </c>
      <c r="N1013" s="3">
        <v>0</v>
      </c>
      <c r="O1013" s="3">
        <v>0</v>
      </c>
      <c r="P1013" s="3">
        <v>-2500</v>
      </c>
    </row>
    <row r="1014" spans="1:16" hidden="1" x14ac:dyDescent="0.3">
      <c r="A1014">
        <v>30</v>
      </c>
      <c r="B1014" t="str">
        <f>VLOOKUP($A1014,[1]LISTA!$B:$C,2,0)</f>
        <v>JULIO</v>
      </c>
      <c r="C1014" s="1">
        <v>2025</v>
      </c>
      <c r="D1014" s="1" t="str">
        <f>IF($A1014&lt;=[1]RESULTADOS!$D$6,"YTD","YTG")</f>
        <v>YTD</v>
      </c>
      <c r="E1014" t="s">
        <v>17</v>
      </c>
      <c r="F1014" t="s">
        <v>664</v>
      </c>
      <c r="G1014" t="s">
        <v>665</v>
      </c>
      <c r="H1014" t="s">
        <v>666</v>
      </c>
      <c r="I1014" t="s">
        <v>112</v>
      </c>
      <c r="J1014" t="str">
        <f>IFERROR(VLOOKUP(I1014,[1]AUTOS!$C:$G,2,0),"")</f>
        <v>KIA RIO</v>
      </c>
      <c r="K1014">
        <f>IFERROR(VLOOKUP(I1014,[1]AUTOS!$C:$G,3,0),"")</f>
        <v>2020</v>
      </c>
      <c r="L1014" t="str">
        <f>IFERROR(VLOOKUP(I1014,[1]AUTOS!$C:$G,4,0),"")</f>
        <v>ROJO</v>
      </c>
      <c r="M1014" t="s">
        <v>43</v>
      </c>
      <c r="N1014" s="3">
        <v>0</v>
      </c>
      <c r="O1014" s="3">
        <v>0</v>
      </c>
      <c r="P1014" s="3">
        <v>-2500</v>
      </c>
    </row>
    <row r="1015" spans="1:16" hidden="1" x14ac:dyDescent="0.3">
      <c r="A1015">
        <v>31</v>
      </c>
      <c r="B1015" t="str">
        <f>VLOOKUP($A1015,[1]LISTA!$B:$C,2,0)</f>
        <v>JULIO</v>
      </c>
      <c r="C1015" s="1">
        <v>2025</v>
      </c>
      <c r="D1015" s="1" t="str">
        <f>IF($A1015&lt;=[1]RESULTADOS!$D$6,"YTD","YTG")</f>
        <v>YTD</v>
      </c>
      <c r="E1015" t="s">
        <v>17</v>
      </c>
      <c r="F1015" t="s">
        <v>664</v>
      </c>
      <c r="G1015" t="s">
        <v>665</v>
      </c>
      <c r="H1015" t="s">
        <v>666</v>
      </c>
      <c r="I1015" t="s">
        <v>112</v>
      </c>
      <c r="J1015" t="str">
        <f>IFERROR(VLOOKUP(I1015,[1]AUTOS!$C:$G,2,0),"")</f>
        <v>KIA RIO</v>
      </c>
      <c r="K1015">
        <f>IFERROR(VLOOKUP(I1015,[1]AUTOS!$C:$G,3,0),"")</f>
        <v>2020</v>
      </c>
      <c r="L1015" t="str">
        <f>IFERROR(VLOOKUP(I1015,[1]AUTOS!$C:$G,4,0),"")</f>
        <v>ROJO</v>
      </c>
      <c r="M1015" t="s">
        <v>43</v>
      </c>
      <c r="N1015" s="3">
        <v>0</v>
      </c>
      <c r="O1015" s="3">
        <v>0</v>
      </c>
      <c r="P1015" s="3">
        <v>-2500</v>
      </c>
    </row>
    <row r="1016" spans="1:16" hidden="1" x14ac:dyDescent="0.3">
      <c r="A1016">
        <v>32</v>
      </c>
      <c r="B1016" t="str">
        <f>VLOOKUP($A1016,[1]LISTA!$B:$C,2,0)</f>
        <v>AGOSTO</v>
      </c>
      <c r="C1016" s="1">
        <v>2025</v>
      </c>
      <c r="D1016" s="1" t="str">
        <f>IF($A1016&lt;=[1]RESULTADOS!$D$6,"YTD","YTG")</f>
        <v>YTD</v>
      </c>
      <c r="E1016" t="s">
        <v>17</v>
      </c>
      <c r="F1016" t="s">
        <v>664</v>
      </c>
      <c r="G1016" t="s">
        <v>665</v>
      </c>
      <c r="H1016" t="s">
        <v>666</v>
      </c>
      <c r="I1016" t="s">
        <v>112</v>
      </c>
      <c r="J1016" t="str">
        <f>IFERROR(VLOOKUP(I1016,[1]AUTOS!$C:$G,2,0),"")</f>
        <v>KIA RIO</v>
      </c>
      <c r="K1016">
        <f>IFERROR(VLOOKUP(I1016,[1]AUTOS!$C:$G,3,0),"")</f>
        <v>2020</v>
      </c>
      <c r="L1016" t="str">
        <f>IFERROR(VLOOKUP(I1016,[1]AUTOS!$C:$G,4,0),"")</f>
        <v>ROJO</v>
      </c>
      <c r="M1016" t="s">
        <v>43</v>
      </c>
      <c r="N1016" s="3">
        <v>0</v>
      </c>
      <c r="O1016" s="3">
        <v>0</v>
      </c>
      <c r="P1016" s="3">
        <v>-2500</v>
      </c>
    </row>
    <row r="1017" spans="1:16" hidden="1" x14ac:dyDescent="0.3">
      <c r="A1017">
        <v>33</v>
      </c>
      <c r="B1017" t="str">
        <f>VLOOKUP($A1017,[1]LISTA!$B:$C,2,0)</f>
        <v>AGOSTO</v>
      </c>
      <c r="C1017" s="1">
        <v>2025</v>
      </c>
      <c r="D1017" s="1" t="str">
        <f>IF($A1017&lt;=[1]RESULTADOS!$D$6,"YTD","YTG")</f>
        <v>YTD</v>
      </c>
      <c r="E1017" t="s">
        <v>17</v>
      </c>
      <c r="F1017" t="s">
        <v>664</v>
      </c>
      <c r="G1017" t="s">
        <v>665</v>
      </c>
      <c r="H1017" t="s">
        <v>666</v>
      </c>
      <c r="I1017" t="s">
        <v>112</v>
      </c>
      <c r="J1017" t="str">
        <f>IFERROR(VLOOKUP(I1017,[1]AUTOS!$C:$G,2,0),"")</f>
        <v>KIA RIO</v>
      </c>
      <c r="K1017">
        <f>IFERROR(VLOOKUP(I1017,[1]AUTOS!$C:$G,3,0),"")</f>
        <v>2020</v>
      </c>
      <c r="L1017" t="str">
        <f>IFERROR(VLOOKUP(I1017,[1]AUTOS!$C:$G,4,0),"")</f>
        <v>ROJO</v>
      </c>
      <c r="M1017" t="s">
        <v>43</v>
      </c>
      <c r="N1017" s="3">
        <v>0</v>
      </c>
      <c r="O1017" s="3">
        <v>0</v>
      </c>
      <c r="P1017" s="3">
        <v>-2500</v>
      </c>
    </row>
    <row r="1018" spans="1:16" hidden="1" x14ac:dyDescent="0.3">
      <c r="A1018">
        <v>34</v>
      </c>
      <c r="B1018" t="str">
        <f>VLOOKUP($A1018,[1]LISTA!$B:$C,2,0)</f>
        <v>AGOSTO</v>
      </c>
      <c r="C1018" s="1">
        <v>2025</v>
      </c>
      <c r="D1018" s="1" t="str">
        <f>IF($A1018&lt;=[1]RESULTADOS!$D$6,"YTD","YTG")</f>
        <v>YTD</v>
      </c>
      <c r="E1018" t="s">
        <v>17</v>
      </c>
      <c r="F1018" t="s">
        <v>664</v>
      </c>
      <c r="G1018" t="s">
        <v>665</v>
      </c>
      <c r="H1018" t="s">
        <v>666</v>
      </c>
      <c r="I1018" t="s">
        <v>112</v>
      </c>
      <c r="J1018" t="str">
        <f>IFERROR(VLOOKUP(I1018,[1]AUTOS!$C:$G,2,0),"")</f>
        <v>KIA RIO</v>
      </c>
      <c r="K1018">
        <f>IFERROR(VLOOKUP(I1018,[1]AUTOS!$C:$G,3,0),"")</f>
        <v>2020</v>
      </c>
      <c r="L1018" t="str">
        <f>IFERROR(VLOOKUP(I1018,[1]AUTOS!$C:$G,4,0),"")</f>
        <v>ROJO</v>
      </c>
      <c r="M1018" t="s">
        <v>43</v>
      </c>
      <c r="N1018" s="3">
        <v>0</v>
      </c>
      <c r="O1018" s="3">
        <v>0</v>
      </c>
      <c r="P1018" s="3">
        <v>-2500</v>
      </c>
    </row>
    <row r="1019" spans="1:16" hidden="1" x14ac:dyDescent="0.3">
      <c r="A1019">
        <v>35</v>
      </c>
      <c r="B1019" t="str">
        <f>VLOOKUP($A1019,[1]LISTA!$B:$C,2,0)</f>
        <v>AGOSTO</v>
      </c>
      <c r="C1019" s="1">
        <v>2025</v>
      </c>
      <c r="D1019" s="1" t="str">
        <f>IF($A1019&lt;=[1]RESULTADOS!$D$6,"YTD","YTG")</f>
        <v>YTD</v>
      </c>
      <c r="E1019" t="s">
        <v>17</v>
      </c>
      <c r="F1019" t="s">
        <v>664</v>
      </c>
      <c r="G1019" t="s">
        <v>665</v>
      </c>
      <c r="H1019" t="s">
        <v>666</v>
      </c>
      <c r="I1019" t="s">
        <v>112</v>
      </c>
      <c r="J1019" t="str">
        <f>IFERROR(VLOOKUP(I1019,[1]AUTOS!$C:$G,2,0),"")</f>
        <v>KIA RIO</v>
      </c>
      <c r="K1019">
        <f>IFERROR(VLOOKUP(I1019,[1]AUTOS!$C:$G,3,0),"")</f>
        <v>2020</v>
      </c>
      <c r="L1019" t="str">
        <f>IFERROR(VLOOKUP(I1019,[1]AUTOS!$C:$G,4,0),"")</f>
        <v>ROJO</v>
      </c>
      <c r="M1019" t="s">
        <v>43</v>
      </c>
      <c r="N1019" s="3">
        <v>0</v>
      </c>
      <c r="O1019" s="3">
        <v>0</v>
      </c>
      <c r="P1019" s="3">
        <v>-2500</v>
      </c>
    </row>
    <row r="1020" spans="1:16" hidden="1" x14ac:dyDescent="0.3">
      <c r="A1020">
        <v>36</v>
      </c>
      <c r="B1020" t="str">
        <f>VLOOKUP($A1020,[1]LISTA!$B:$C,2,0)</f>
        <v>SEPTIEMBRE</v>
      </c>
      <c r="C1020" s="1">
        <v>2025</v>
      </c>
      <c r="D1020" s="1" t="str">
        <f>IF($A1020&lt;=[1]RESULTADOS!$D$6,"YTD","YTG")</f>
        <v>YTD</v>
      </c>
      <c r="E1020" t="s">
        <v>17</v>
      </c>
      <c r="F1020" t="s">
        <v>664</v>
      </c>
      <c r="G1020" t="s">
        <v>665</v>
      </c>
      <c r="H1020" t="s">
        <v>666</v>
      </c>
      <c r="I1020" t="s">
        <v>112</v>
      </c>
      <c r="J1020" t="str">
        <f>IFERROR(VLOOKUP(I1020,[1]AUTOS!$C:$G,2,0),"")</f>
        <v>KIA RIO</v>
      </c>
      <c r="K1020">
        <f>IFERROR(VLOOKUP(I1020,[1]AUTOS!$C:$G,3,0),"")</f>
        <v>2020</v>
      </c>
      <c r="L1020" t="str">
        <f>IFERROR(VLOOKUP(I1020,[1]AUTOS!$C:$G,4,0),"")</f>
        <v>ROJO</v>
      </c>
      <c r="M1020" t="s">
        <v>43</v>
      </c>
      <c r="N1020" s="3">
        <v>0</v>
      </c>
      <c r="O1020" s="3">
        <v>0</v>
      </c>
      <c r="P1020" s="3">
        <v>-2500</v>
      </c>
    </row>
    <row r="1021" spans="1:16" hidden="1" x14ac:dyDescent="0.3">
      <c r="A1021">
        <v>37</v>
      </c>
      <c r="B1021" t="str">
        <f>VLOOKUP($A1021,[1]LISTA!$B:$C,2,0)</f>
        <v>SEPTIEMBRE</v>
      </c>
      <c r="C1021" s="1">
        <v>2025</v>
      </c>
      <c r="D1021" s="1" t="str">
        <f>IF($A1021&lt;=[1]RESULTADOS!$D$6,"YTD","YTG")</f>
        <v>YTD</v>
      </c>
      <c r="E1021" t="s">
        <v>17</v>
      </c>
      <c r="F1021" t="s">
        <v>664</v>
      </c>
      <c r="G1021" t="s">
        <v>665</v>
      </c>
      <c r="H1021" t="s">
        <v>666</v>
      </c>
      <c r="I1021" t="s">
        <v>112</v>
      </c>
      <c r="J1021" t="str">
        <f>IFERROR(VLOOKUP(I1021,[1]AUTOS!$C:$G,2,0),"")</f>
        <v>KIA RIO</v>
      </c>
      <c r="K1021">
        <f>IFERROR(VLOOKUP(I1021,[1]AUTOS!$C:$G,3,0),"")</f>
        <v>2020</v>
      </c>
      <c r="L1021" t="str">
        <f>IFERROR(VLOOKUP(I1021,[1]AUTOS!$C:$G,4,0),"")</f>
        <v>ROJO</v>
      </c>
      <c r="M1021" t="s">
        <v>43</v>
      </c>
      <c r="N1021" s="3">
        <v>0</v>
      </c>
      <c r="O1021" s="3">
        <v>0</v>
      </c>
      <c r="P1021" s="3">
        <v>-2500</v>
      </c>
    </row>
    <row r="1022" spans="1:16" hidden="1" x14ac:dyDescent="0.3">
      <c r="A1022">
        <v>38</v>
      </c>
      <c r="B1022" t="str">
        <f>VLOOKUP($A1022,[1]LISTA!$B:$C,2,0)</f>
        <v>SEPTIEMBRE</v>
      </c>
      <c r="C1022" s="1">
        <v>2025</v>
      </c>
      <c r="D1022" s="1" t="str">
        <f>IF($A1022&lt;=[1]RESULTADOS!$D$6,"YTD","YTG")</f>
        <v>YTD</v>
      </c>
      <c r="E1022" t="s">
        <v>17</v>
      </c>
      <c r="F1022" t="s">
        <v>664</v>
      </c>
      <c r="G1022" t="s">
        <v>665</v>
      </c>
      <c r="H1022" t="s">
        <v>666</v>
      </c>
      <c r="I1022" t="s">
        <v>112</v>
      </c>
      <c r="J1022" t="str">
        <f>IFERROR(VLOOKUP(I1022,[1]AUTOS!$C:$G,2,0),"")</f>
        <v>KIA RIO</v>
      </c>
      <c r="K1022">
        <f>IFERROR(VLOOKUP(I1022,[1]AUTOS!$C:$G,3,0),"")</f>
        <v>2020</v>
      </c>
      <c r="L1022" t="str">
        <f>IFERROR(VLOOKUP(I1022,[1]AUTOS!$C:$G,4,0),"")</f>
        <v>ROJO</v>
      </c>
      <c r="M1022" t="s">
        <v>43</v>
      </c>
      <c r="N1022" s="3">
        <v>0</v>
      </c>
      <c r="O1022" s="3">
        <v>0</v>
      </c>
      <c r="P1022" s="3">
        <v>-2500</v>
      </c>
    </row>
    <row r="1023" spans="1:16" hidden="1" x14ac:dyDescent="0.3">
      <c r="A1023">
        <v>39</v>
      </c>
      <c r="B1023" t="str">
        <f>VLOOKUP($A1023,[1]LISTA!$B:$C,2,0)</f>
        <v>SEPTIEMBRE</v>
      </c>
      <c r="C1023" s="1">
        <v>2025</v>
      </c>
      <c r="D1023" s="1" t="str">
        <f>IF($A1023&lt;=[1]RESULTADOS!$D$6,"YTD","YTG")</f>
        <v>YTD</v>
      </c>
      <c r="E1023" t="s">
        <v>17</v>
      </c>
      <c r="F1023" t="s">
        <v>664</v>
      </c>
      <c r="G1023" t="s">
        <v>665</v>
      </c>
      <c r="H1023" t="s">
        <v>666</v>
      </c>
      <c r="I1023" t="s">
        <v>112</v>
      </c>
      <c r="J1023" t="str">
        <f>IFERROR(VLOOKUP(I1023,[1]AUTOS!$C:$G,2,0),"")</f>
        <v>KIA RIO</v>
      </c>
      <c r="K1023">
        <f>IFERROR(VLOOKUP(I1023,[1]AUTOS!$C:$G,3,0),"")</f>
        <v>2020</v>
      </c>
      <c r="L1023" t="str">
        <f>IFERROR(VLOOKUP(I1023,[1]AUTOS!$C:$G,4,0),"")</f>
        <v>ROJO</v>
      </c>
      <c r="M1023" t="s">
        <v>43</v>
      </c>
      <c r="N1023" s="3">
        <v>0</v>
      </c>
      <c r="O1023" s="3">
        <v>0</v>
      </c>
      <c r="P1023" s="3">
        <v>-2500</v>
      </c>
    </row>
    <row r="1024" spans="1:16" hidden="1" x14ac:dyDescent="0.3">
      <c r="A1024">
        <v>40</v>
      </c>
      <c r="B1024" t="str">
        <f>VLOOKUP($A1024,[1]LISTA!$B:$C,2,0)</f>
        <v>OCTUBRE</v>
      </c>
      <c r="C1024" s="1">
        <v>2025</v>
      </c>
      <c r="D1024" s="1" t="str">
        <f>IF($A1024&lt;=[1]RESULTADOS!$D$6,"YTD","YTG")</f>
        <v>YTG</v>
      </c>
      <c r="E1024" t="s">
        <v>17</v>
      </c>
      <c r="F1024" t="s">
        <v>664</v>
      </c>
      <c r="G1024" t="s">
        <v>665</v>
      </c>
      <c r="H1024" t="s">
        <v>666</v>
      </c>
      <c r="I1024" t="s">
        <v>112</v>
      </c>
      <c r="J1024" t="str">
        <f>IFERROR(VLOOKUP(I1024,[1]AUTOS!$C:$G,2,0),"")</f>
        <v>KIA RIO</v>
      </c>
      <c r="K1024">
        <f>IFERROR(VLOOKUP(I1024,[1]AUTOS!$C:$G,3,0),"")</f>
        <v>2020</v>
      </c>
      <c r="L1024" t="str">
        <f>IFERROR(VLOOKUP(I1024,[1]AUTOS!$C:$G,4,0),"")</f>
        <v>ROJO</v>
      </c>
      <c r="M1024" t="s">
        <v>43</v>
      </c>
      <c r="N1024" s="3">
        <v>0</v>
      </c>
      <c r="O1024" s="3">
        <v>0</v>
      </c>
      <c r="P1024" s="3">
        <v>-2500</v>
      </c>
    </row>
    <row r="1025" spans="1:16" hidden="1" x14ac:dyDescent="0.3">
      <c r="A1025">
        <v>41</v>
      </c>
      <c r="B1025" t="str">
        <f>VLOOKUP($A1025,[1]LISTA!$B:$C,2,0)</f>
        <v>OCTUBRE</v>
      </c>
      <c r="C1025" s="1">
        <v>2025</v>
      </c>
      <c r="D1025" s="1" t="str">
        <f>IF($A1025&lt;=[1]RESULTADOS!$D$6,"YTD","YTG")</f>
        <v>YTG</v>
      </c>
      <c r="E1025" t="s">
        <v>17</v>
      </c>
      <c r="F1025" t="s">
        <v>664</v>
      </c>
      <c r="G1025" t="s">
        <v>665</v>
      </c>
      <c r="H1025" t="s">
        <v>666</v>
      </c>
      <c r="I1025" t="s">
        <v>112</v>
      </c>
      <c r="J1025" t="str">
        <f>IFERROR(VLOOKUP(I1025,[1]AUTOS!$C:$G,2,0),"")</f>
        <v>KIA RIO</v>
      </c>
      <c r="K1025">
        <f>IFERROR(VLOOKUP(I1025,[1]AUTOS!$C:$G,3,0),"")</f>
        <v>2020</v>
      </c>
      <c r="L1025" t="str">
        <f>IFERROR(VLOOKUP(I1025,[1]AUTOS!$C:$G,4,0),"")</f>
        <v>ROJO</v>
      </c>
      <c r="M1025" t="s">
        <v>43</v>
      </c>
      <c r="N1025" s="3">
        <v>0</v>
      </c>
      <c r="O1025" s="3">
        <v>0</v>
      </c>
      <c r="P1025" s="3">
        <v>-2500</v>
      </c>
    </row>
    <row r="1026" spans="1:16" hidden="1" x14ac:dyDescent="0.3">
      <c r="A1026">
        <v>42</v>
      </c>
      <c r="B1026" t="str">
        <f>VLOOKUP($A1026,[1]LISTA!$B:$C,2,0)</f>
        <v>OCTUBRE</v>
      </c>
      <c r="C1026" s="1">
        <v>2025</v>
      </c>
      <c r="D1026" s="1" t="str">
        <f>IF($A1026&lt;=[1]RESULTADOS!$D$6,"YTD","YTG")</f>
        <v>YTG</v>
      </c>
      <c r="E1026" t="s">
        <v>17</v>
      </c>
      <c r="F1026" t="s">
        <v>664</v>
      </c>
      <c r="G1026" t="s">
        <v>665</v>
      </c>
      <c r="H1026" t="s">
        <v>666</v>
      </c>
      <c r="I1026" t="s">
        <v>112</v>
      </c>
      <c r="J1026" t="str">
        <f>IFERROR(VLOOKUP(I1026,[1]AUTOS!$C:$G,2,0),"")</f>
        <v>KIA RIO</v>
      </c>
      <c r="K1026">
        <f>IFERROR(VLOOKUP(I1026,[1]AUTOS!$C:$G,3,0),"")</f>
        <v>2020</v>
      </c>
      <c r="L1026" t="str">
        <f>IFERROR(VLOOKUP(I1026,[1]AUTOS!$C:$G,4,0),"")</f>
        <v>ROJO</v>
      </c>
      <c r="M1026" t="s">
        <v>43</v>
      </c>
      <c r="N1026" s="3">
        <v>0</v>
      </c>
      <c r="O1026" s="3">
        <v>0</v>
      </c>
      <c r="P1026" s="3">
        <v>-2500</v>
      </c>
    </row>
    <row r="1027" spans="1:16" hidden="1" x14ac:dyDescent="0.3">
      <c r="A1027">
        <v>43</v>
      </c>
      <c r="B1027" t="str">
        <f>VLOOKUP($A1027,[1]LISTA!$B:$C,2,0)</f>
        <v>OCTUBRE</v>
      </c>
      <c r="C1027" s="1">
        <v>2025</v>
      </c>
      <c r="D1027" s="1" t="str">
        <f>IF($A1027&lt;=[1]RESULTADOS!$D$6,"YTD","YTG")</f>
        <v>YTG</v>
      </c>
      <c r="E1027" t="s">
        <v>17</v>
      </c>
      <c r="F1027" t="s">
        <v>664</v>
      </c>
      <c r="G1027" t="s">
        <v>665</v>
      </c>
      <c r="H1027" t="s">
        <v>666</v>
      </c>
      <c r="I1027" t="s">
        <v>112</v>
      </c>
      <c r="J1027" t="str">
        <f>IFERROR(VLOOKUP(I1027,[1]AUTOS!$C:$G,2,0),"")</f>
        <v>KIA RIO</v>
      </c>
      <c r="K1027">
        <f>IFERROR(VLOOKUP(I1027,[1]AUTOS!$C:$G,3,0),"")</f>
        <v>2020</v>
      </c>
      <c r="L1027" t="str">
        <f>IFERROR(VLOOKUP(I1027,[1]AUTOS!$C:$G,4,0),"")</f>
        <v>ROJO</v>
      </c>
      <c r="M1027" t="s">
        <v>43</v>
      </c>
      <c r="N1027" s="3">
        <v>0</v>
      </c>
      <c r="O1027" s="3">
        <v>0</v>
      </c>
      <c r="P1027" s="3">
        <v>-2500</v>
      </c>
    </row>
    <row r="1028" spans="1:16" hidden="1" x14ac:dyDescent="0.3">
      <c r="A1028">
        <v>44</v>
      </c>
      <c r="B1028" t="str">
        <f>VLOOKUP($A1028,[1]LISTA!$B:$C,2,0)</f>
        <v>OCTUBRE</v>
      </c>
      <c r="C1028" s="1">
        <v>2025</v>
      </c>
      <c r="D1028" s="1" t="str">
        <f>IF($A1028&lt;=[1]RESULTADOS!$D$6,"YTD","YTG")</f>
        <v>YTG</v>
      </c>
      <c r="E1028" t="s">
        <v>17</v>
      </c>
      <c r="F1028" t="s">
        <v>664</v>
      </c>
      <c r="G1028" t="s">
        <v>665</v>
      </c>
      <c r="H1028" t="s">
        <v>666</v>
      </c>
      <c r="I1028" t="s">
        <v>112</v>
      </c>
      <c r="J1028" t="str">
        <f>IFERROR(VLOOKUP(I1028,[1]AUTOS!$C:$G,2,0),"")</f>
        <v>KIA RIO</v>
      </c>
      <c r="K1028">
        <f>IFERROR(VLOOKUP(I1028,[1]AUTOS!$C:$G,3,0),"")</f>
        <v>2020</v>
      </c>
      <c r="L1028" t="str">
        <f>IFERROR(VLOOKUP(I1028,[1]AUTOS!$C:$G,4,0),"")</f>
        <v>ROJO</v>
      </c>
      <c r="M1028" t="s">
        <v>43</v>
      </c>
      <c r="N1028" s="3">
        <v>0</v>
      </c>
      <c r="O1028" s="3">
        <v>0</v>
      </c>
      <c r="P1028" s="3">
        <v>-2500</v>
      </c>
    </row>
    <row r="1029" spans="1:16" hidden="1" x14ac:dyDescent="0.3">
      <c r="A1029">
        <v>45</v>
      </c>
      <c r="B1029" t="str">
        <f>VLOOKUP($A1029,[1]LISTA!$B:$C,2,0)</f>
        <v>NOVIEMBRE</v>
      </c>
      <c r="C1029" s="1">
        <v>2025</v>
      </c>
      <c r="D1029" s="1" t="str">
        <f>IF($A1029&lt;=[1]RESULTADOS!$D$6,"YTD","YTG")</f>
        <v>YTG</v>
      </c>
      <c r="E1029" t="s">
        <v>17</v>
      </c>
      <c r="F1029" t="s">
        <v>664</v>
      </c>
      <c r="G1029" t="s">
        <v>665</v>
      </c>
      <c r="H1029" t="s">
        <v>666</v>
      </c>
      <c r="I1029" t="s">
        <v>112</v>
      </c>
      <c r="J1029" t="str">
        <f>IFERROR(VLOOKUP(I1029,[1]AUTOS!$C:$G,2,0),"")</f>
        <v>KIA RIO</v>
      </c>
      <c r="K1029">
        <f>IFERROR(VLOOKUP(I1029,[1]AUTOS!$C:$G,3,0),"")</f>
        <v>2020</v>
      </c>
      <c r="L1029" t="str">
        <f>IFERROR(VLOOKUP(I1029,[1]AUTOS!$C:$G,4,0),"")</f>
        <v>ROJO</v>
      </c>
      <c r="M1029" t="s">
        <v>43</v>
      </c>
      <c r="N1029" s="3">
        <v>0</v>
      </c>
      <c r="O1029" s="3">
        <v>0</v>
      </c>
      <c r="P1029" s="3">
        <v>-2500</v>
      </c>
    </row>
    <row r="1030" spans="1:16" hidden="1" x14ac:dyDescent="0.3">
      <c r="A1030">
        <v>46</v>
      </c>
      <c r="B1030" t="str">
        <f>VLOOKUP($A1030,[1]LISTA!$B:$C,2,0)</f>
        <v>NOVIEMBRE</v>
      </c>
      <c r="C1030" s="1">
        <v>2025</v>
      </c>
      <c r="D1030" s="1" t="str">
        <f>IF($A1030&lt;=[1]RESULTADOS!$D$6,"YTD","YTG")</f>
        <v>YTG</v>
      </c>
      <c r="E1030" t="s">
        <v>17</v>
      </c>
      <c r="F1030" t="s">
        <v>664</v>
      </c>
      <c r="G1030" t="s">
        <v>665</v>
      </c>
      <c r="H1030" t="s">
        <v>666</v>
      </c>
      <c r="I1030" t="s">
        <v>112</v>
      </c>
      <c r="J1030" t="str">
        <f>IFERROR(VLOOKUP(I1030,[1]AUTOS!$C:$G,2,0),"")</f>
        <v>KIA RIO</v>
      </c>
      <c r="K1030">
        <f>IFERROR(VLOOKUP(I1030,[1]AUTOS!$C:$G,3,0),"")</f>
        <v>2020</v>
      </c>
      <c r="L1030" t="str">
        <f>IFERROR(VLOOKUP(I1030,[1]AUTOS!$C:$G,4,0),"")</f>
        <v>ROJO</v>
      </c>
      <c r="M1030" t="s">
        <v>43</v>
      </c>
      <c r="N1030" s="3">
        <v>0</v>
      </c>
      <c r="O1030" s="3">
        <v>0</v>
      </c>
      <c r="P1030" s="3">
        <v>-2500</v>
      </c>
    </row>
    <row r="1031" spans="1:16" hidden="1" x14ac:dyDescent="0.3">
      <c r="A1031">
        <v>47</v>
      </c>
      <c r="B1031" t="str">
        <f>VLOOKUP($A1031,[1]LISTA!$B:$C,2,0)</f>
        <v>NOVIEMBRE</v>
      </c>
      <c r="C1031" s="1">
        <v>2025</v>
      </c>
      <c r="D1031" s="1" t="str">
        <f>IF($A1031&lt;=[1]RESULTADOS!$D$6,"YTD","YTG")</f>
        <v>YTG</v>
      </c>
      <c r="E1031" t="s">
        <v>17</v>
      </c>
      <c r="F1031" t="s">
        <v>664</v>
      </c>
      <c r="G1031" t="s">
        <v>665</v>
      </c>
      <c r="H1031" t="s">
        <v>666</v>
      </c>
      <c r="I1031" t="s">
        <v>112</v>
      </c>
      <c r="J1031" t="str">
        <f>IFERROR(VLOOKUP(I1031,[1]AUTOS!$C:$G,2,0),"")</f>
        <v>KIA RIO</v>
      </c>
      <c r="K1031">
        <f>IFERROR(VLOOKUP(I1031,[1]AUTOS!$C:$G,3,0),"")</f>
        <v>2020</v>
      </c>
      <c r="L1031" t="str">
        <f>IFERROR(VLOOKUP(I1031,[1]AUTOS!$C:$G,4,0),"")</f>
        <v>ROJO</v>
      </c>
      <c r="M1031" t="s">
        <v>43</v>
      </c>
      <c r="N1031" s="3">
        <v>0</v>
      </c>
      <c r="O1031" s="3">
        <v>0</v>
      </c>
      <c r="P1031" s="3">
        <v>-2500</v>
      </c>
    </row>
    <row r="1032" spans="1:16" hidden="1" x14ac:dyDescent="0.3">
      <c r="A1032">
        <v>48</v>
      </c>
      <c r="B1032" t="str">
        <f>VLOOKUP($A1032,[1]LISTA!$B:$C,2,0)</f>
        <v>NOVIEMBRE</v>
      </c>
      <c r="C1032" s="1">
        <v>2025</v>
      </c>
      <c r="D1032" s="1" t="str">
        <f>IF($A1032&lt;=[1]RESULTADOS!$D$6,"YTD","YTG")</f>
        <v>YTG</v>
      </c>
      <c r="E1032" t="s">
        <v>17</v>
      </c>
      <c r="F1032" t="s">
        <v>664</v>
      </c>
      <c r="G1032" t="s">
        <v>665</v>
      </c>
      <c r="H1032" t="s">
        <v>666</v>
      </c>
      <c r="I1032" t="s">
        <v>112</v>
      </c>
      <c r="J1032" t="str">
        <f>IFERROR(VLOOKUP(I1032,[1]AUTOS!$C:$G,2,0),"")</f>
        <v>KIA RIO</v>
      </c>
      <c r="K1032">
        <f>IFERROR(VLOOKUP(I1032,[1]AUTOS!$C:$G,3,0),"")</f>
        <v>2020</v>
      </c>
      <c r="L1032" t="str">
        <f>IFERROR(VLOOKUP(I1032,[1]AUTOS!$C:$G,4,0),"")</f>
        <v>ROJO</v>
      </c>
      <c r="M1032" t="s">
        <v>43</v>
      </c>
      <c r="N1032" s="3">
        <v>0</v>
      </c>
      <c r="O1032" s="3">
        <v>0</v>
      </c>
      <c r="P1032" s="3">
        <v>-2500</v>
      </c>
    </row>
    <row r="1033" spans="1:16" hidden="1" x14ac:dyDescent="0.3">
      <c r="A1033">
        <v>49</v>
      </c>
      <c r="B1033" t="str">
        <f>VLOOKUP($A1033,[1]LISTA!$B:$C,2,0)</f>
        <v>DICIEMBRE</v>
      </c>
      <c r="C1033" s="1">
        <v>2025</v>
      </c>
      <c r="D1033" s="1" t="str">
        <f>IF($A1033&lt;=[1]RESULTADOS!$D$6,"YTD","YTG")</f>
        <v>YTG</v>
      </c>
      <c r="E1033" t="s">
        <v>17</v>
      </c>
      <c r="F1033" t="s">
        <v>664</v>
      </c>
      <c r="G1033" t="s">
        <v>665</v>
      </c>
      <c r="H1033" t="s">
        <v>666</v>
      </c>
      <c r="I1033" t="s">
        <v>112</v>
      </c>
      <c r="J1033" t="str">
        <f>IFERROR(VLOOKUP(I1033,[1]AUTOS!$C:$G,2,0),"")</f>
        <v>KIA RIO</v>
      </c>
      <c r="K1033">
        <f>IFERROR(VLOOKUP(I1033,[1]AUTOS!$C:$G,3,0),"")</f>
        <v>2020</v>
      </c>
      <c r="L1033" t="str">
        <f>IFERROR(VLOOKUP(I1033,[1]AUTOS!$C:$G,4,0),"")</f>
        <v>ROJO</v>
      </c>
      <c r="M1033" t="s">
        <v>43</v>
      </c>
      <c r="N1033" s="3">
        <v>0</v>
      </c>
      <c r="O1033" s="3">
        <v>0</v>
      </c>
      <c r="P1033" s="3">
        <v>-2500</v>
      </c>
    </row>
    <row r="1034" spans="1:16" hidden="1" x14ac:dyDescent="0.3">
      <c r="A1034">
        <v>50</v>
      </c>
      <c r="B1034" t="str">
        <f>VLOOKUP($A1034,[1]LISTA!$B:$C,2,0)</f>
        <v>DICIEMBRE</v>
      </c>
      <c r="C1034" s="1">
        <v>2025</v>
      </c>
      <c r="D1034" s="1" t="str">
        <f>IF($A1034&lt;=[1]RESULTADOS!$D$6,"YTD","YTG")</f>
        <v>YTG</v>
      </c>
      <c r="E1034" t="s">
        <v>17</v>
      </c>
      <c r="F1034" t="s">
        <v>664</v>
      </c>
      <c r="G1034" t="s">
        <v>665</v>
      </c>
      <c r="H1034" t="s">
        <v>666</v>
      </c>
      <c r="I1034" t="s">
        <v>112</v>
      </c>
      <c r="J1034" t="str">
        <f>IFERROR(VLOOKUP(I1034,[1]AUTOS!$C:$G,2,0),"")</f>
        <v>KIA RIO</v>
      </c>
      <c r="K1034">
        <f>IFERROR(VLOOKUP(I1034,[1]AUTOS!$C:$G,3,0),"")</f>
        <v>2020</v>
      </c>
      <c r="L1034" t="str">
        <f>IFERROR(VLOOKUP(I1034,[1]AUTOS!$C:$G,4,0),"")</f>
        <v>ROJO</v>
      </c>
      <c r="M1034" t="s">
        <v>43</v>
      </c>
      <c r="N1034" s="3">
        <v>0</v>
      </c>
      <c r="O1034" s="3">
        <v>0</v>
      </c>
      <c r="P1034" s="3">
        <v>-2500</v>
      </c>
    </row>
    <row r="1035" spans="1:16" hidden="1" x14ac:dyDescent="0.3">
      <c r="A1035">
        <v>51</v>
      </c>
      <c r="B1035" t="str">
        <f>VLOOKUP($A1035,[1]LISTA!$B:$C,2,0)</f>
        <v>DICIEMBRE</v>
      </c>
      <c r="C1035" s="1">
        <v>2025</v>
      </c>
      <c r="D1035" s="1" t="str">
        <f>IF($A1035&lt;=[1]RESULTADOS!$D$6,"YTD","YTG")</f>
        <v>YTG</v>
      </c>
      <c r="E1035" t="s">
        <v>17</v>
      </c>
      <c r="F1035" t="s">
        <v>664</v>
      </c>
      <c r="G1035" t="s">
        <v>665</v>
      </c>
      <c r="H1035" t="s">
        <v>666</v>
      </c>
      <c r="I1035" t="s">
        <v>112</v>
      </c>
      <c r="J1035" t="str">
        <f>IFERROR(VLOOKUP(I1035,[1]AUTOS!$C:$G,2,0),"")</f>
        <v>KIA RIO</v>
      </c>
      <c r="K1035">
        <f>IFERROR(VLOOKUP(I1035,[1]AUTOS!$C:$G,3,0),"")</f>
        <v>2020</v>
      </c>
      <c r="L1035" t="str">
        <f>IFERROR(VLOOKUP(I1035,[1]AUTOS!$C:$G,4,0),"")</f>
        <v>ROJO</v>
      </c>
      <c r="M1035" t="s">
        <v>43</v>
      </c>
      <c r="N1035" s="3">
        <v>0</v>
      </c>
      <c r="O1035" s="3">
        <v>0</v>
      </c>
      <c r="P1035" s="3">
        <v>-1000</v>
      </c>
    </row>
    <row r="1036" spans="1:16" hidden="1" x14ac:dyDescent="0.3">
      <c r="A1036">
        <v>4</v>
      </c>
      <c r="B1036" t="str">
        <f>VLOOKUP($A1036,[1]LISTA!$B:$C,2,0)</f>
        <v>ENERO</v>
      </c>
      <c r="C1036" s="1">
        <v>2025</v>
      </c>
      <c r="D1036" s="1" t="str">
        <f>IF($A1036&lt;=[1]RESULTADOS!$D$6,"YTD","YTG")</f>
        <v>YTD</v>
      </c>
      <c r="E1036" t="s">
        <v>17</v>
      </c>
      <c r="F1036" t="s">
        <v>664</v>
      </c>
      <c r="G1036" t="s">
        <v>665</v>
      </c>
      <c r="H1036" t="s">
        <v>666</v>
      </c>
      <c r="I1036" t="s">
        <v>144</v>
      </c>
      <c r="J1036" t="str">
        <f>IFERROR(VLOOKUP(I1036,[1]AUTOS!$C:$G,2,0),"")</f>
        <v>VERSA</v>
      </c>
      <c r="K1036">
        <f>IFERROR(VLOOKUP(I1036,[1]AUTOS!$C:$G,3,0),"")</f>
        <v>2020</v>
      </c>
      <c r="L1036" t="str">
        <f>IFERROR(VLOOKUP(I1036,[1]AUTOS!$C:$G,4,0),"")</f>
        <v>ROJO</v>
      </c>
      <c r="M1036" t="s">
        <v>43</v>
      </c>
      <c r="N1036" s="3">
        <v>0</v>
      </c>
      <c r="O1036" s="3">
        <v>0</v>
      </c>
      <c r="P1036" s="3">
        <v>-2500</v>
      </c>
    </row>
    <row r="1037" spans="1:16" hidden="1" x14ac:dyDescent="0.3">
      <c r="A1037">
        <v>5</v>
      </c>
      <c r="B1037" t="str">
        <f>VLOOKUP($A1037,[1]LISTA!$B:$C,2,0)</f>
        <v>ENERO</v>
      </c>
      <c r="C1037" s="1">
        <v>2025</v>
      </c>
      <c r="D1037" s="1" t="str">
        <f>IF($A1037&lt;=[1]RESULTADOS!$D$6,"YTD","YTG")</f>
        <v>YTD</v>
      </c>
      <c r="E1037" t="s">
        <v>17</v>
      </c>
      <c r="F1037" t="s">
        <v>664</v>
      </c>
      <c r="G1037" t="s">
        <v>665</v>
      </c>
      <c r="H1037" t="s">
        <v>666</v>
      </c>
      <c r="I1037" t="s">
        <v>144</v>
      </c>
      <c r="J1037" t="str">
        <f>IFERROR(VLOOKUP(I1037,[1]AUTOS!$C:$G,2,0),"")</f>
        <v>VERSA</v>
      </c>
      <c r="K1037">
        <f>IFERROR(VLOOKUP(I1037,[1]AUTOS!$C:$G,3,0),"")</f>
        <v>2020</v>
      </c>
      <c r="L1037" t="str">
        <f>IFERROR(VLOOKUP(I1037,[1]AUTOS!$C:$G,4,0),"")</f>
        <v>ROJO</v>
      </c>
      <c r="M1037" t="s">
        <v>43</v>
      </c>
      <c r="N1037" s="3">
        <v>0</v>
      </c>
      <c r="O1037" s="3">
        <v>0</v>
      </c>
      <c r="P1037" s="3">
        <v>-2500</v>
      </c>
    </row>
    <row r="1038" spans="1:16" hidden="1" x14ac:dyDescent="0.3">
      <c r="A1038">
        <v>6</v>
      </c>
      <c r="B1038" t="str">
        <f>VLOOKUP($A1038,[1]LISTA!$B:$C,2,0)</f>
        <v>FEBRERO</v>
      </c>
      <c r="C1038" s="1">
        <v>2025</v>
      </c>
      <c r="D1038" s="1" t="str">
        <f>IF($A1038&lt;=[1]RESULTADOS!$D$6,"YTD","YTG")</f>
        <v>YTD</v>
      </c>
      <c r="E1038" t="s">
        <v>17</v>
      </c>
      <c r="F1038" t="s">
        <v>664</v>
      </c>
      <c r="G1038" t="s">
        <v>665</v>
      </c>
      <c r="H1038" t="s">
        <v>666</v>
      </c>
      <c r="I1038" t="s">
        <v>144</v>
      </c>
      <c r="J1038" t="str">
        <f>IFERROR(VLOOKUP(I1038,[1]AUTOS!$C:$G,2,0),"")</f>
        <v>VERSA</v>
      </c>
      <c r="K1038">
        <f>IFERROR(VLOOKUP(I1038,[1]AUTOS!$C:$G,3,0),"")</f>
        <v>2020</v>
      </c>
      <c r="L1038" t="str">
        <f>IFERROR(VLOOKUP(I1038,[1]AUTOS!$C:$G,4,0),"")</f>
        <v>ROJO</v>
      </c>
      <c r="M1038" t="s">
        <v>43</v>
      </c>
      <c r="N1038" s="3">
        <v>0</v>
      </c>
      <c r="O1038" s="3">
        <v>0</v>
      </c>
      <c r="P1038" s="3">
        <v>-2500</v>
      </c>
    </row>
    <row r="1039" spans="1:16" hidden="1" x14ac:dyDescent="0.3">
      <c r="A1039">
        <v>7</v>
      </c>
      <c r="B1039" t="str">
        <f>VLOOKUP($A1039,[1]LISTA!$B:$C,2,0)</f>
        <v>FEBRERO</v>
      </c>
      <c r="C1039" s="1">
        <v>2025</v>
      </c>
      <c r="D1039" s="1" t="str">
        <f>IF($A1039&lt;=[1]RESULTADOS!$D$6,"YTD","YTG")</f>
        <v>YTD</v>
      </c>
      <c r="E1039" t="s">
        <v>17</v>
      </c>
      <c r="F1039" t="s">
        <v>664</v>
      </c>
      <c r="G1039" t="s">
        <v>665</v>
      </c>
      <c r="H1039" t="s">
        <v>666</v>
      </c>
      <c r="I1039" t="s">
        <v>144</v>
      </c>
      <c r="J1039" t="str">
        <f>IFERROR(VLOOKUP(I1039,[1]AUTOS!$C:$G,2,0),"")</f>
        <v>VERSA</v>
      </c>
      <c r="K1039">
        <f>IFERROR(VLOOKUP(I1039,[1]AUTOS!$C:$G,3,0),"")</f>
        <v>2020</v>
      </c>
      <c r="L1039" t="str">
        <f>IFERROR(VLOOKUP(I1039,[1]AUTOS!$C:$G,4,0),"")</f>
        <v>ROJO</v>
      </c>
      <c r="M1039" t="s">
        <v>43</v>
      </c>
      <c r="N1039" s="3">
        <v>0</v>
      </c>
      <c r="O1039" s="3">
        <v>0</v>
      </c>
      <c r="P1039" s="3">
        <v>-2500</v>
      </c>
    </row>
    <row r="1040" spans="1:16" hidden="1" x14ac:dyDescent="0.3">
      <c r="A1040">
        <v>8</v>
      </c>
      <c r="B1040" t="str">
        <f>VLOOKUP($A1040,[1]LISTA!$B:$C,2,0)</f>
        <v>FEBRERO</v>
      </c>
      <c r="C1040" s="1">
        <v>2025</v>
      </c>
      <c r="D1040" s="1" t="str">
        <f>IF($A1040&lt;=[1]RESULTADOS!$D$6,"YTD","YTG")</f>
        <v>YTD</v>
      </c>
      <c r="E1040" t="s">
        <v>17</v>
      </c>
      <c r="F1040" t="s">
        <v>664</v>
      </c>
      <c r="G1040" t="s">
        <v>665</v>
      </c>
      <c r="H1040" t="s">
        <v>666</v>
      </c>
      <c r="I1040" t="s">
        <v>144</v>
      </c>
      <c r="J1040" t="str">
        <f>IFERROR(VLOOKUP(I1040,[1]AUTOS!$C:$G,2,0),"")</f>
        <v>VERSA</v>
      </c>
      <c r="K1040">
        <f>IFERROR(VLOOKUP(I1040,[1]AUTOS!$C:$G,3,0),"")</f>
        <v>2020</v>
      </c>
      <c r="L1040" t="str">
        <f>IFERROR(VLOOKUP(I1040,[1]AUTOS!$C:$G,4,0),"")</f>
        <v>ROJO</v>
      </c>
      <c r="M1040" t="s">
        <v>43</v>
      </c>
      <c r="N1040" s="3">
        <v>0</v>
      </c>
      <c r="O1040" s="3">
        <v>0</v>
      </c>
      <c r="P1040" s="3">
        <v>-2500</v>
      </c>
    </row>
    <row r="1041" spans="1:16" hidden="1" x14ac:dyDescent="0.3">
      <c r="A1041">
        <v>9</v>
      </c>
      <c r="B1041" t="str">
        <f>VLOOKUP($A1041,[1]LISTA!$B:$C,2,0)</f>
        <v>FEBRERO</v>
      </c>
      <c r="C1041" s="1">
        <v>2025</v>
      </c>
      <c r="D1041" s="1" t="str">
        <f>IF($A1041&lt;=[1]RESULTADOS!$D$6,"YTD","YTG")</f>
        <v>YTD</v>
      </c>
      <c r="E1041" t="s">
        <v>17</v>
      </c>
      <c r="F1041" t="s">
        <v>664</v>
      </c>
      <c r="G1041" t="s">
        <v>665</v>
      </c>
      <c r="H1041" t="s">
        <v>666</v>
      </c>
      <c r="I1041" t="s">
        <v>144</v>
      </c>
      <c r="J1041" t="str">
        <f>IFERROR(VLOOKUP(I1041,[1]AUTOS!$C:$G,2,0),"")</f>
        <v>VERSA</v>
      </c>
      <c r="K1041">
        <f>IFERROR(VLOOKUP(I1041,[1]AUTOS!$C:$G,3,0),"")</f>
        <v>2020</v>
      </c>
      <c r="L1041" t="str">
        <f>IFERROR(VLOOKUP(I1041,[1]AUTOS!$C:$G,4,0),"")</f>
        <v>ROJO</v>
      </c>
      <c r="M1041" t="s">
        <v>43</v>
      </c>
      <c r="N1041" s="3">
        <v>0</v>
      </c>
      <c r="O1041" s="3">
        <v>0</v>
      </c>
      <c r="P1041" s="3">
        <v>-2500</v>
      </c>
    </row>
    <row r="1042" spans="1:16" hidden="1" x14ac:dyDescent="0.3">
      <c r="A1042">
        <v>10</v>
      </c>
      <c r="B1042" t="str">
        <f>VLOOKUP($A1042,[1]LISTA!$B:$C,2,0)</f>
        <v>MARZO</v>
      </c>
      <c r="C1042" s="1">
        <v>2025</v>
      </c>
      <c r="D1042" s="1" t="str">
        <f>IF($A1042&lt;=[1]RESULTADOS!$D$6,"YTD","YTG")</f>
        <v>YTD</v>
      </c>
      <c r="E1042" t="s">
        <v>17</v>
      </c>
      <c r="F1042" t="s">
        <v>664</v>
      </c>
      <c r="G1042" t="s">
        <v>665</v>
      </c>
      <c r="H1042" t="s">
        <v>666</v>
      </c>
      <c r="I1042" t="s">
        <v>144</v>
      </c>
      <c r="J1042" t="str">
        <f>IFERROR(VLOOKUP(I1042,[1]AUTOS!$C:$G,2,0),"")</f>
        <v>VERSA</v>
      </c>
      <c r="K1042">
        <f>IFERROR(VLOOKUP(I1042,[1]AUTOS!$C:$G,3,0),"")</f>
        <v>2020</v>
      </c>
      <c r="L1042" t="str">
        <f>IFERROR(VLOOKUP(I1042,[1]AUTOS!$C:$G,4,0),"")</f>
        <v>ROJO</v>
      </c>
      <c r="M1042" t="s">
        <v>43</v>
      </c>
      <c r="N1042" s="3">
        <v>0</v>
      </c>
      <c r="O1042" s="3">
        <v>0</v>
      </c>
      <c r="P1042" s="3">
        <v>-2500</v>
      </c>
    </row>
    <row r="1043" spans="1:16" hidden="1" x14ac:dyDescent="0.3">
      <c r="A1043">
        <v>11</v>
      </c>
      <c r="B1043" t="str">
        <f>VLOOKUP($A1043,[1]LISTA!$B:$C,2,0)</f>
        <v>MARZO</v>
      </c>
      <c r="C1043" s="1">
        <v>2025</v>
      </c>
      <c r="D1043" s="1" t="str">
        <f>IF($A1043&lt;=[1]RESULTADOS!$D$6,"YTD","YTG")</f>
        <v>YTD</v>
      </c>
      <c r="E1043" t="s">
        <v>17</v>
      </c>
      <c r="F1043" t="s">
        <v>664</v>
      </c>
      <c r="G1043" t="s">
        <v>665</v>
      </c>
      <c r="H1043" t="s">
        <v>666</v>
      </c>
      <c r="I1043" t="s">
        <v>144</v>
      </c>
      <c r="J1043" t="str">
        <f>IFERROR(VLOOKUP(I1043,[1]AUTOS!$C:$G,2,0),"")</f>
        <v>VERSA</v>
      </c>
      <c r="K1043">
        <f>IFERROR(VLOOKUP(I1043,[1]AUTOS!$C:$G,3,0),"")</f>
        <v>2020</v>
      </c>
      <c r="L1043" t="str">
        <f>IFERROR(VLOOKUP(I1043,[1]AUTOS!$C:$G,4,0),"")</f>
        <v>ROJO</v>
      </c>
      <c r="M1043" t="s">
        <v>43</v>
      </c>
      <c r="N1043" s="3">
        <v>0</v>
      </c>
      <c r="O1043" s="3">
        <v>0</v>
      </c>
      <c r="P1043" s="3">
        <v>-2500</v>
      </c>
    </row>
    <row r="1044" spans="1:16" hidden="1" x14ac:dyDescent="0.3">
      <c r="A1044">
        <v>12</v>
      </c>
      <c r="B1044" t="str">
        <f>VLOOKUP($A1044,[1]LISTA!$B:$C,2,0)</f>
        <v>MARZO</v>
      </c>
      <c r="C1044" s="1">
        <v>2025</v>
      </c>
      <c r="D1044" s="1" t="str">
        <f>IF($A1044&lt;=[1]RESULTADOS!$D$6,"YTD","YTG")</f>
        <v>YTD</v>
      </c>
      <c r="E1044" t="s">
        <v>17</v>
      </c>
      <c r="F1044" t="s">
        <v>664</v>
      </c>
      <c r="G1044" t="s">
        <v>665</v>
      </c>
      <c r="H1044" t="s">
        <v>666</v>
      </c>
      <c r="I1044" t="s">
        <v>144</v>
      </c>
      <c r="J1044" t="str">
        <f>IFERROR(VLOOKUP(I1044,[1]AUTOS!$C:$G,2,0),"")</f>
        <v>VERSA</v>
      </c>
      <c r="K1044">
        <f>IFERROR(VLOOKUP(I1044,[1]AUTOS!$C:$G,3,0),"")</f>
        <v>2020</v>
      </c>
      <c r="L1044" t="str">
        <f>IFERROR(VLOOKUP(I1044,[1]AUTOS!$C:$G,4,0),"")</f>
        <v>ROJO</v>
      </c>
      <c r="M1044" t="s">
        <v>43</v>
      </c>
      <c r="N1044" s="3">
        <v>0</v>
      </c>
      <c r="O1044" s="3">
        <v>0</v>
      </c>
      <c r="P1044" s="3">
        <v>-2500</v>
      </c>
    </row>
    <row r="1045" spans="1:16" hidden="1" x14ac:dyDescent="0.3">
      <c r="A1045">
        <v>13</v>
      </c>
      <c r="B1045" t="str">
        <f>VLOOKUP($A1045,[1]LISTA!$B:$C,2,0)</f>
        <v>MARZO</v>
      </c>
      <c r="C1045" s="1">
        <v>2025</v>
      </c>
      <c r="D1045" s="1" t="str">
        <f>IF($A1045&lt;=[1]RESULTADOS!$D$6,"YTD","YTG")</f>
        <v>YTD</v>
      </c>
      <c r="E1045" t="s">
        <v>17</v>
      </c>
      <c r="F1045" t="s">
        <v>664</v>
      </c>
      <c r="G1045" t="s">
        <v>665</v>
      </c>
      <c r="H1045" t="s">
        <v>666</v>
      </c>
      <c r="I1045" t="s">
        <v>144</v>
      </c>
      <c r="J1045" t="str">
        <f>IFERROR(VLOOKUP(I1045,[1]AUTOS!$C:$G,2,0),"")</f>
        <v>VERSA</v>
      </c>
      <c r="K1045">
        <f>IFERROR(VLOOKUP(I1045,[1]AUTOS!$C:$G,3,0),"")</f>
        <v>2020</v>
      </c>
      <c r="L1045" t="str">
        <f>IFERROR(VLOOKUP(I1045,[1]AUTOS!$C:$G,4,0),"")</f>
        <v>ROJO</v>
      </c>
      <c r="M1045" t="s">
        <v>43</v>
      </c>
      <c r="N1045" s="3">
        <v>0</v>
      </c>
      <c r="O1045" s="3">
        <v>0</v>
      </c>
      <c r="P1045" s="3">
        <v>-2500</v>
      </c>
    </row>
    <row r="1046" spans="1:16" hidden="1" x14ac:dyDescent="0.3">
      <c r="A1046">
        <v>14</v>
      </c>
      <c r="B1046" t="str">
        <f>VLOOKUP($A1046,[1]LISTA!$B:$C,2,0)</f>
        <v>ABRIL</v>
      </c>
      <c r="C1046" s="1">
        <v>2025</v>
      </c>
      <c r="D1046" s="1" t="str">
        <f>IF($A1046&lt;=[1]RESULTADOS!$D$6,"YTD","YTG")</f>
        <v>YTD</v>
      </c>
      <c r="E1046" t="s">
        <v>17</v>
      </c>
      <c r="F1046" t="s">
        <v>664</v>
      </c>
      <c r="G1046" t="s">
        <v>665</v>
      </c>
      <c r="H1046" t="s">
        <v>666</v>
      </c>
      <c r="I1046" t="s">
        <v>144</v>
      </c>
      <c r="J1046" t="str">
        <f>IFERROR(VLOOKUP(I1046,[1]AUTOS!$C:$G,2,0),"")</f>
        <v>VERSA</v>
      </c>
      <c r="K1046">
        <f>IFERROR(VLOOKUP(I1046,[1]AUTOS!$C:$G,3,0),"")</f>
        <v>2020</v>
      </c>
      <c r="L1046" t="str">
        <f>IFERROR(VLOOKUP(I1046,[1]AUTOS!$C:$G,4,0),"")</f>
        <v>ROJO</v>
      </c>
      <c r="M1046" t="s">
        <v>43</v>
      </c>
      <c r="N1046" s="3">
        <v>0</v>
      </c>
      <c r="O1046" s="3">
        <v>0</v>
      </c>
      <c r="P1046" s="3">
        <v>-2500</v>
      </c>
    </row>
    <row r="1047" spans="1:16" hidden="1" x14ac:dyDescent="0.3">
      <c r="A1047">
        <v>15</v>
      </c>
      <c r="B1047" t="str">
        <f>VLOOKUP($A1047,[1]LISTA!$B:$C,2,0)</f>
        <v>ABRIL</v>
      </c>
      <c r="C1047" s="1">
        <v>2025</v>
      </c>
      <c r="D1047" s="1" t="str">
        <f>IF($A1047&lt;=[1]RESULTADOS!$D$6,"YTD","YTG")</f>
        <v>YTD</v>
      </c>
      <c r="E1047" t="s">
        <v>17</v>
      </c>
      <c r="F1047" t="s">
        <v>664</v>
      </c>
      <c r="G1047" t="s">
        <v>665</v>
      </c>
      <c r="H1047" t="s">
        <v>666</v>
      </c>
      <c r="I1047" t="s">
        <v>144</v>
      </c>
      <c r="J1047" t="str">
        <f>IFERROR(VLOOKUP(I1047,[1]AUTOS!$C:$G,2,0),"")</f>
        <v>VERSA</v>
      </c>
      <c r="K1047">
        <f>IFERROR(VLOOKUP(I1047,[1]AUTOS!$C:$G,3,0),"")</f>
        <v>2020</v>
      </c>
      <c r="L1047" t="str">
        <f>IFERROR(VLOOKUP(I1047,[1]AUTOS!$C:$G,4,0),"")</f>
        <v>ROJO</v>
      </c>
      <c r="M1047" t="s">
        <v>43</v>
      </c>
      <c r="N1047" s="3">
        <v>0</v>
      </c>
      <c r="O1047" s="3">
        <v>0</v>
      </c>
      <c r="P1047" s="3">
        <v>-2500</v>
      </c>
    </row>
    <row r="1048" spans="1:16" hidden="1" x14ac:dyDescent="0.3">
      <c r="A1048">
        <v>16</v>
      </c>
      <c r="B1048" t="str">
        <f>VLOOKUP($A1048,[1]LISTA!$B:$C,2,0)</f>
        <v>ABRIL</v>
      </c>
      <c r="C1048" s="1">
        <v>2025</v>
      </c>
      <c r="D1048" s="1" t="str">
        <f>IF($A1048&lt;=[1]RESULTADOS!$D$6,"YTD","YTG")</f>
        <v>YTD</v>
      </c>
      <c r="E1048" t="s">
        <v>17</v>
      </c>
      <c r="F1048" t="s">
        <v>664</v>
      </c>
      <c r="G1048" t="s">
        <v>665</v>
      </c>
      <c r="H1048" t="s">
        <v>666</v>
      </c>
      <c r="I1048" t="s">
        <v>144</v>
      </c>
      <c r="J1048" t="str">
        <f>IFERROR(VLOOKUP(I1048,[1]AUTOS!$C:$G,2,0),"")</f>
        <v>VERSA</v>
      </c>
      <c r="K1048">
        <f>IFERROR(VLOOKUP(I1048,[1]AUTOS!$C:$G,3,0),"")</f>
        <v>2020</v>
      </c>
      <c r="L1048" t="str">
        <f>IFERROR(VLOOKUP(I1048,[1]AUTOS!$C:$G,4,0),"")</f>
        <v>ROJO</v>
      </c>
      <c r="M1048" t="s">
        <v>43</v>
      </c>
      <c r="N1048" s="3">
        <v>0</v>
      </c>
      <c r="O1048" s="3">
        <v>0</v>
      </c>
      <c r="P1048" s="3">
        <v>-2500</v>
      </c>
    </row>
    <row r="1049" spans="1:16" hidden="1" x14ac:dyDescent="0.3">
      <c r="A1049">
        <v>17</v>
      </c>
      <c r="B1049" t="str">
        <f>VLOOKUP($A1049,[1]LISTA!$B:$C,2,0)</f>
        <v>ABRIL</v>
      </c>
      <c r="C1049" s="1">
        <v>2025</v>
      </c>
      <c r="D1049" s="1" t="str">
        <f>IF($A1049&lt;=[1]RESULTADOS!$D$6,"YTD","YTG")</f>
        <v>YTD</v>
      </c>
      <c r="E1049" t="s">
        <v>17</v>
      </c>
      <c r="F1049" t="s">
        <v>664</v>
      </c>
      <c r="G1049" t="s">
        <v>665</v>
      </c>
      <c r="H1049" t="s">
        <v>666</v>
      </c>
      <c r="I1049" t="s">
        <v>144</v>
      </c>
      <c r="J1049" t="str">
        <f>IFERROR(VLOOKUP(I1049,[1]AUTOS!$C:$G,2,0),"")</f>
        <v>VERSA</v>
      </c>
      <c r="K1049">
        <f>IFERROR(VLOOKUP(I1049,[1]AUTOS!$C:$G,3,0),"")</f>
        <v>2020</v>
      </c>
      <c r="L1049" t="str">
        <f>IFERROR(VLOOKUP(I1049,[1]AUTOS!$C:$G,4,0),"")</f>
        <v>ROJO</v>
      </c>
      <c r="M1049" t="s">
        <v>43</v>
      </c>
      <c r="N1049" s="3">
        <v>0</v>
      </c>
      <c r="O1049" s="3">
        <v>0</v>
      </c>
      <c r="P1049" s="3">
        <v>-2500</v>
      </c>
    </row>
    <row r="1050" spans="1:16" hidden="1" x14ac:dyDescent="0.3">
      <c r="A1050">
        <v>18</v>
      </c>
      <c r="B1050" t="str">
        <f>VLOOKUP($A1050,[1]LISTA!$B:$C,2,0)</f>
        <v>MAYO</v>
      </c>
      <c r="C1050" s="1">
        <v>2025</v>
      </c>
      <c r="D1050" s="1" t="str">
        <f>IF($A1050&lt;=[1]RESULTADOS!$D$6,"YTD","YTG")</f>
        <v>YTD</v>
      </c>
      <c r="E1050" t="s">
        <v>17</v>
      </c>
      <c r="F1050" t="s">
        <v>664</v>
      </c>
      <c r="G1050" t="s">
        <v>665</v>
      </c>
      <c r="H1050" t="s">
        <v>666</v>
      </c>
      <c r="I1050" t="s">
        <v>144</v>
      </c>
      <c r="J1050" t="str">
        <f>IFERROR(VLOOKUP(I1050,[1]AUTOS!$C:$G,2,0),"")</f>
        <v>VERSA</v>
      </c>
      <c r="K1050">
        <f>IFERROR(VLOOKUP(I1050,[1]AUTOS!$C:$G,3,0),"")</f>
        <v>2020</v>
      </c>
      <c r="L1050" t="str">
        <f>IFERROR(VLOOKUP(I1050,[1]AUTOS!$C:$G,4,0),"")</f>
        <v>ROJO</v>
      </c>
      <c r="M1050" t="s">
        <v>43</v>
      </c>
      <c r="N1050" s="3">
        <v>0</v>
      </c>
      <c r="O1050" s="3">
        <v>0</v>
      </c>
      <c r="P1050" s="3">
        <v>-2500</v>
      </c>
    </row>
    <row r="1051" spans="1:16" hidden="1" x14ac:dyDescent="0.3">
      <c r="A1051">
        <v>19</v>
      </c>
      <c r="B1051" t="str">
        <f>VLOOKUP($A1051,[1]LISTA!$B:$C,2,0)</f>
        <v>MAYO</v>
      </c>
      <c r="C1051" s="1">
        <v>2025</v>
      </c>
      <c r="D1051" s="1" t="str">
        <f>IF($A1051&lt;=[1]RESULTADOS!$D$6,"YTD","YTG")</f>
        <v>YTD</v>
      </c>
      <c r="E1051" t="s">
        <v>17</v>
      </c>
      <c r="F1051" t="s">
        <v>664</v>
      </c>
      <c r="G1051" t="s">
        <v>665</v>
      </c>
      <c r="H1051" t="s">
        <v>666</v>
      </c>
      <c r="I1051" t="s">
        <v>144</v>
      </c>
      <c r="J1051" t="str">
        <f>IFERROR(VLOOKUP(I1051,[1]AUTOS!$C:$G,2,0),"")</f>
        <v>VERSA</v>
      </c>
      <c r="K1051">
        <f>IFERROR(VLOOKUP(I1051,[1]AUTOS!$C:$G,3,0),"")</f>
        <v>2020</v>
      </c>
      <c r="L1051" t="str">
        <f>IFERROR(VLOOKUP(I1051,[1]AUTOS!$C:$G,4,0),"")</f>
        <v>ROJO</v>
      </c>
      <c r="M1051" t="s">
        <v>43</v>
      </c>
      <c r="N1051" s="3">
        <v>0</v>
      </c>
      <c r="O1051" s="3">
        <v>0</v>
      </c>
      <c r="P1051" s="3">
        <v>-2500</v>
      </c>
    </row>
    <row r="1052" spans="1:16" hidden="1" x14ac:dyDescent="0.3">
      <c r="A1052">
        <v>20</v>
      </c>
      <c r="B1052" t="str">
        <f>VLOOKUP($A1052,[1]LISTA!$B:$C,2,0)</f>
        <v>MAYO</v>
      </c>
      <c r="C1052" s="1">
        <v>2025</v>
      </c>
      <c r="D1052" s="1" t="str">
        <f>IF($A1052&lt;=[1]RESULTADOS!$D$6,"YTD","YTG")</f>
        <v>YTD</v>
      </c>
      <c r="E1052" t="s">
        <v>17</v>
      </c>
      <c r="F1052" t="s">
        <v>664</v>
      </c>
      <c r="G1052" t="s">
        <v>665</v>
      </c>
      <c r="H1052" t="s">
        <v>666</v>
      </c>
      <c r="I1052" t="s">
        <v>144</v>
      </c>
      <c r="J1052" t="str">
        <f>IFERROR(VLOOKUP(I1052,[1]AUTOS!$C:$G,2,0),"")</f>
        <v>VERSA</v>
      </c>
      <c r="K1052">
        <f>IFERROR(VLOOKUP(I1052,[1]AUTOS!$C:$G,3,0),"")</f>
        <v>2020</v>
      </c>
      <c r="L1052" t="str">
        <f>IFERROR(VLOOKUP(I1052,[1]AUTOS!$C:$G,4,0),"")</f>
        <v>ROJO</v>
      </c>
      <c r="M1052" t="s">
        <v>43</v>
      </c>
      <c r="N1052" s="3">
        <v>0</v>
      </c>
      <c r="O1052" s="3">
        <v>0</v>
      </c>
      <c r="P1052" s="3">
        <v>-2500</v>
      </c>
    </row>
    <row r="1053" spans="1:16" hidden="1" x14ac:dyDescent="0.3">
      <c r="A1053">
        <v>21</v>
      </c>
      <c r="B1053" t="str">
        <f>VLOOKUP($A1053,[1]LISTA!$B:$C,2,0)</f>
        <v>MAYO</v>
      </c>
      <c r="C1053" s="1">
        <v>2025</v>
      </c>
      <c r="D1053" s="1" t="str">
        <f>IF($A1053&lt;=[1]RESULTADOS!$D$6,"YTD","YTG")</f>
        <v>YTD</v>
      </c>
      <c r="E1053" t="s">
        <v>17</v>
      </c>
      <c r="F1053" t="s">
        <v>664</v>
      </c>
      <c r="G1053" t="s">
        <v>665</v>
      </c>
      <c r="H1053" t="s">
        <v>666</v>
      </c>
      <c r="I1053" t="s">
        <v>144</v>
      </c>
      <c r="J1053" t="str">
        <f>IFERROR(VLOOKUP(I1053,[1]AUTOS!$C:$G,2,0),"")</f>
        <v>VERSA</v>
      </c>
      <c r="K1053">
        <f>IFERROR(VLOOKUP(I1053,[1]AUTOS!$C:$G,3,0),"")</f>
        <v>2020</v>
      </c>
      <c r="L1053" t="str">
        <f>IFERROR(VLOOKUP(I1053,[1]AUTOS!$C:$G,4,0),"")</f>
        <v>ROJO</v>
      </c>
      <c r="M1053" t="s">
        <v>43</v>
      </c>
      <c r="N1053" s="3">
        <v>0</v>
      </c>
      <c r="O1053" s="3">
        <v>0</v>
      </c>
      <c r="P1053" s="3">
        <v>-2500</v>
      </c>
    </row>
    <row r="1054" spans="1:16" hidden="1" x14ac:dyDescent="0.3">
      <c r="A1054">
        <v>22</v>
      </c>
      <c r="B1054" t="str">
        <f>VLOOKUP($A1054,[1]LISTA!$B:$C,2,0)</f>
        <v>MAYO</v>
      </c>
      <c r="C1054" s="1">
        <v>2025</v>
      </c>
      <c r="D1054" s="1" t="str">
        <f>IF($A1054&lt;=[1]RESULTADOS!$D$6,"YTD","YTG")</f>
        <v>YTD</v>
      </c>
      <c r="E1054" t="s">
        <v>17</v>
      </c>
      <c r="F1054" t="s">
        <v>664</v>
      </c>
      <c r="G1054" t="s">
        <v>665</v>
      </c>
      <c r="H1054" t="s">
        <v>666</v>
      </c>
      <c r="I1054" t="s">
        <v>144</v>
      </c>
      <c r="J1054" t="str">
        <f>IFERROR(VLOOKUP(I1054,[1]AUTOS!$C:$G,2,0),"")</f>
        <v>VERSA</v>
      </c>
      <c r="K1054">
        <f>IFERROR(VLOOKUP(I1054,[1]AUTOS!$C:$G,3,0),"")</f>
        <v>2020</v>
      </c>
      <c r="L1054" t="str">
        <f>IFERROR(VLOOKUP(I1054,[1]AUTOS!$C:$G,4,0),"")</f>
        <v>ROJO</v>
      </c>
      <c r="M1054" t="s">
        <v>43</v>
      </c>
      <c r="N1054" s="3">
        <v>0</v>
      </c>
      <c r="O1054" s="3">
        <v>0</v>
      </c>
      <c r="P1054" s="3">
        <v>-2500</v>
      </c>
    </row>
    <row r="1055" spans="1:16" hidden="1" x14ac:dyDescent="0.3">
      <c r="A1055">
        <v>23</v>
      </c>
      <c r="B1055" t="str">
        <f>VLOOKUP($A1055,[1]LISTA!$B:$C,2,0)</f>
        <v>JUNIO</v>
      </c>
      <c r="C1055" s="1">
        <v>2025</v>
      </c>
      <c r="D1055" s="1" t="str">
        <f>IF($A1055&lt;=[1]RESULTADOS!$D$6,"YTD","YTG")</f>
        <v>YTD</v>
      </c>
      <c r="E1055" t="s">
        <v>17</v>
      </c>
      <c r="F1055" t="s">
        <v>664</v>
      </c>
      <c r="G1055" t="s">
        <v>665</v>
      </c>
      <c r="H1055" t="s">
        <v>666</v>
      </c>
      <c r="I1055" t="s">
        <v>144</v>
      </c>
      <c r="J1055" t="str">
        <f>IFERROR(VLOOKUP(I1055,[1]AUTOS!$C:$G,2,0),"")</f>
        <v>VERSA</v>
      </c>
      <c r="K1055">
        <f>IFERROR(VLOOKUP(I1055,[1]AUTOS!$C:$G,3,0),"")</f>
        <v>2020</v>
      </c>
      <c r="L1055" t="str">
        <f>IFERROR(VLOOKUP(I1055,[1]AUTOS!$C:$G,4,0),"")</f>
        <v>ROJO</v>
      </c>
      <c r="M1055" t="s">
        <v>43</v>
      </c>
      <c r="N1055" s="3">
        <v>0</v>
      </c>
      <c r="O1055" s="3">
        <v>0</v>
      </c>
      <c r="P1055" s="3">
        <v>-2500</v>
      </c>
    </row>
    <row r="1056" spans="1:16" hidden="1" x14ac:dyDescent="0.3">
      <c r="A1056">
        <v>24</v>
      </c>
      <c r="B1056" t="str">
        <f>VLOOKUP($A1056,[1]LISTA!$B:$C,2,0)</f>
        <v>JUNIO</v>
      </c>
      <c r="C1056" s="1">
        <v>2025</v>
      </c>
      <c r="D1056" s="1" t="str">
        <f>IF($A1056&lt;=[1]RESULTADOS!$D$6,"YTD","YTG")</f>
        <v>YTD</v>
      </c>
      <c r="E1056" t="s">
        <v>17</v>
      </c>
      <c r="F1056" t="s">
        <v>664</v>
      </c>
      <c r="G1056" t="s">
        <v>665</v>
      </c>
      <c r="H1056" t="s">
        <v>666</v>
      </c>
      <c r="I1056" t="s">
        <v>144</v>
      </c>
      <c r="J1056" t="str">
        <f>IFERROR(VLOOKUP(I1056,[1]AUTOS!$C:$G,2,0),"")</f>
        <v>VERSA</v>
      </c>
      <c r="K1056">
        <f>IFERROR(VLOOKUP(I1056,[1]AUTOS!$C:$G,3,0),"")</f>
        <v>2020</v>
      </c>
      <c r="L1056" t="str">
        <f>IFERROR(VLOOKUP(I1056,[1]AUTOS!$C:$G,4,0),"")</f>
        <v>ROJO</v>
      </c>
      <c r="M1056" t="s">
        <v>43</v>
      </c>
      <c r="N1056" s="3">
        <v>0</v>
      </c>
      <c r="O1056" s="3">
        <v>0</v>
      </c>
      <c r="P1056" s="3">
        <v>-2500</v>
      </c>
    </row>
    <row r="1057" spans="1:16" hidden="1" x14ac:dyDescent="0.3">
      <c r="A1057">
        <v>25</v>
      </c>
      <c r="B1057" t="str">
        <f>VLOOKUP($A1057,[1]LISTA!$B:$C,2,0)</f>
        <v>JUNIO</v>
      </c>
      <c r="C1057" s="1">
        <v>2025</v>
      </c>
      <c r="D1057" s="1" t="str">
        <f>IF($A1057&lt;=[1]RESULTADOS!$D$6,"YTD","YTG")</f>
        <v>YTD</v>
      </c>
      <c r="E1057" t="s">
        <v>17</v>
      </c>
      <c r="F1057" t="s">
        <v>664</v>
      </c>
      <c r="G1057" t="s">
        <v>665</v>
      </c>
      <c r="H1057" t="s">
        <v>666</v>
      </c>
      <c r="I1057" t="s">
        <v>144</v>
      </c>
      <c r="J1057" t="str">
        <f>IFERROR(VLOOKUP(I1057,[1]AUTOS!$C:$G,2,0),"")</f>
        <v>VERSA</v>
      </c>
      <c r="K1057">
        <f>IFERROR(VLOOKUP(I1057,[1]AUTOS!$C:$G,3,0),"")</f>
        <v>2020</v>
      </c>
      <c r="L1057" t="str">
        <f>IFERROR(VLOOKUP(I1057,[1]AUTOS!$C:$G,4,0),"")</f>
        <v>ROJO</v>
      </c>
      <c r="M1057" t="s">
        <v>43</v>
      </c>
      <c r="N1057" s="3">
        <v>0</v>
      </c>
      <c r="O1057" s="3">
        <v>0</v>
      </c>
      <c r="P1057" s="3">
        <v>-2500</v>
      </c>
    </row>
    <row r="1058" spans="1:16" hidden="1" x14ac:dyDescent="0.3">
      <c r="A1058">
        <v>26</v>
      </c>
      <c r="B1058" t="str">
        <f>VLOOKUP($A1058,[1]LISTA!$B:$C,2,0)</f>
        <v>JUNIO</v>
      </c>
      <c r="C1058" s="1">
        <v>2025</v>
      </c>
      <c r="D1058" s="1" t="str">
        <f>IF($A1058&lt;=[1]RESULTADOS!$D$6,"YTD","YTG")</f>
        <v>YTD</v>
      </c>
      <c r="E1058" t="s">
        <v>17</v>
      </c>
      <c r="F1058" t="s">
        <v>664</v>
      </c>
      <c r="G1058" t="s">
        <v>665</v>
      </c>
      <c r="H1058" t="s">
        <v>666</v>
      </c>
      <c r="I1058" t="s">
        <v>144</v>
      </c>
      <c r="J1058" t="str">
        <f>IFERROR(VLOOKUP(I1058,[1]AUTOS!$C:$G,2,0),"")</f>
        <v>VERSA</v>
      </c>
      <c r="K1058">
        <f>IFERROR(VLOOKUP(I1058,[1]AUTOS!$C:$G,3,0),"")</f>
        <v>2020</v>
      </c>
      <c r="L1058" t="str">
        <f>IFERROR(VLOOKUP(I1058,[1]AUTOS!$C:$G,4,0),"")</f>
        <v>ROJO</v>
      </c>
      <c r="M1058" t="s">
        <v>43</v>
      </c>
      <c r="N1058" s="3">
        <v>0</v>
      </c>
      <c r="O1058" s="3">
        <v>0</v>
      </c>
      <c r="P1058" s="3">
        <v>-2500</v>
      </c>
    </row>
    <row r="1059" spans="1:16" hidden="1" x14ac:dyDescent="0.3">
      <c r="A1059">
        <v>27</v>
      </c>
      <c r="B1059" t="str">
        <f>VLOOKUP($A1059,[1]LISTA!$B:$C,2,0)</f>
        <v>JULIO</v>
      </c>
      <c r="C1059" s="1">
        <v>2025</v>
      </c>
      <c r="D1059" s="1" t="str">
        <f>IF($A1059&lt;=[1]RESULTADOS!$D$6,"YTD","YTG")</f>
        <v>YTD</v>
      </c>
      <c r="E1059" t="s">
        <v>17</v>
      </c>
      <c r="F1059" t="s">
        <v>664</v>
      </c>
      <c r="G1059" t="s">
        <v>665</v>
      </c>
      <c r="H1059" t="s">
        <v>666</v>
      </c>
      <c r="I1059" t="s">
        <v>144</v>
      </c>
      <c r="J1059" t="str">
        <f>IFERROR(VLOOKUP(I1059,[1]AUTOS!$C:$G,2,0),"")</f>
        <v>VERSA</v>
      </c>
      <c r="K1059">
        <f>IFERROR(VLOOKUP(I1059,[1]AUTOS!$C:$G,3,0),"")</f>
        <v>2020</v>
      </c>
      <c r="L1059" t="str">
        <f>IFERROR(VLOOKUP(I1059,[1]AUTOS!$C:$G,4,0),"")</f>
        <v>ROJO</v>
      </c>
      <c r="M1059" t="s">
        <v>43</v>
      </c>
      <c r="N1059" s="3">
        <v>0</v>
      </c>
      <c r="O1059" s="3">
        <v>0</v>
      </c>
      <c r="P1059" s="3">
        <v>-2500</v>
      </c>
    </row>
    <row r="1060" spans="1:16" hidden="1" x14ac:dyDescent="0.3">
      <c r="A1060">
        <v>28</v>
      </c>
      <c r="B1060" t="str">
        <f>VLOOKUP($A1060,[1]LISTA!$B:$C,2,0)</f>
        <v>JULIO</v>
      </c>
      <c r="C1060" s="1">
        <v>2025</v>
      </c>
      <c r="D1060" s="1" t="str">
        <f>IF($A1060&lt;=[1]RESULTADOS!$D$6,"YTD","YTG")</f>
        <v>YTD</v>
      </c>
      <c r="E1060" t="s">
        <v>17</v>
      </c>
      <c r="F1060" t="s">
        <v>664</v>
      </c>
      <c r="G1060" t="s">
        <v>665</v>
      </c>
      <c r="H1060" t="s">
        <v>666</v>
      </c>
      <c r="I1060" t="s">
        <v>144</v>
      </c>
      <c r="J1060" t="str">
        <f>IFERROR(VLOOKUP(I1060,[1]AUTOS!$C:$G,2,0),"")</f>
        <v>VERSA</v>
      </c>
      <c r="K1060">
        <f>IFERROR(VLOOKUP(I1060,[1]AUTOS!$C:$G,3,0),"")</f>
        <v>2020</v>
      </c>
      <c r="L1060" t="str">
        <f>IFERROR(VLOOKUP(I1060,[1]AUTOS!$C:$G,4,0),"")</f>
        <v>ROJO</v>
      </c>
      <c r="M1060" t="s">
        <v>43</v>
      </c>
      <c r="N1060" s="3">
        <v>0</v>
      </c>
      <c r="O1060" s="3">
        <v>0</v>
      </c>
      <c r="P1060" s="3">
        <v>-2500</v>
      </c>
    </row>
    <row r="1061" spans="1:16" hidden="1" x14ac:dyDescent="0.3">
      <c r="A1061">
        <v>29</v>
      </c>
      <c r="B1061" t="str">
        <f>VLOOKUP($A1061,[1]LISTA!$B:$C,2,0)</f>
        <v>JULIO</v>
      </c>
      <c r="C1061" s="1">
        <v>2025</v>
      </c>
      <c r="D1061" s="1" t="str">
        <f>IF($A1061&lt;=[1]RESULTADOS!$D$6,"YTD","YTG")</f>
        <v>YTD</v>
      </c>
      <c r="E1061" t="s">
        <v>17</v>
      </c>
      <c r="F1061" t="s">
        <v>664</v>
      </c>
      <c r="G1061" t="s">
        <v>665</v>
      </c>
      <c r="H1061" t="s">
        <v>666</v>
      </c>
      <c r="I1061" t="s">
        <v>144</v>
      </c>
      <c r="J1061" t="str">
        <f>IFERROR(VLOOKUP(I1061,[1]AUTOS!$C:$G,2,0),"")</f>
        <v>VERSA</v>
      </c>
      <c r="K1061">
        <f>IFERROR(VLOOKUP(I1061,[1]AUTOS!$C:$G,3,0),"")</f>
        <v>2020</v>
      </c>
      <c r="L1061" t="str">
        <f>IFERROR(VLOOKUP(I1061,[1]AUTOS!$C:$G,4,0),"")</f>
        <v>ROJO</v>
      </c>
      <c r="M1061" t="s">
        <v>43</v>
      </c>
      <c r="N1061" s="3">
        <v>0</v>
      </c>
      <c r="O1061" s="3">
        <v>0</v>
      </c>
      <c r="P1061" s="3">
        <v>-2500</v>
      </c>
    </row>
    <row r="1062" spans="1:16" hidden="1" x14ac:dyDescent="0.3">
      <c r="A1062">
        <v>30</v>
      </c>
      <c r="B1062" t="str">
        <f>VLOOKUP($A1062,[1]LISTA!$B:$C,2,0)</f>
        <v>JULIO</v>
      </c>
      <c r="C1062" s="1">
        <v>2025</v>
      </c>
      <c r="D1062" s="1" t="str">
        <f>IF($A1062&lt;=[1]RESULTADOS!$D$6,"YTD","YTG")</f>
        <v>YTD</v>
      </c>
      <c r="E1062" t="s">
        <v>17</v>
      </c>
      <c r="F1062" t="s">
        <v>664</v>
      </c>
      <c r="G1062" t="s">
        <v>665</v>
      </c>
      <c r="H1062" t="s">
        <v>666</v>
      </c>
      <c r="I1062" t="s">
        <v>144</v>
      </c>
      <c r="J1062" t="str">
        <f>IFERROR(VLOOKUP(I1062,[1]AUTOS!$C:$G,2,0),"")</f>
        <v>VERSA</v>
      </c>
      <c r="K1062">
        <f>IFERROR(VLOOKUP(I1062,[1]AUTOS!$C:$G,3,0),"")</f>
        <v>2020</v>
      </c>
      <c r="L1062" t="str">
        <f>IFERROR(VLOOKUP(I1062,[1]AUTOS!$C:$G,4,0),"")</f>
        <v>ROJO</v>
      </c>
      <c r="M1062" t="s">
        <v>43</v>
      </c>
      <c r="N1062" s="3">
        <v>0</v>
      </c>
      <c r="O1062" s="3">
        <v>0</v>
      </c>
      <c r="P1062" s="3">
        <v>-2500</v>
      </c>
    </row>
    <row r="1063" spans="1:16" hidden="1" x14ac:dyDescent="0.3">
      <c r="A1063">
        <v>31</v>
      </c>
      <c r="B1063" t="str">
        <f>VLOOKUP($A1063,[1]LISTA!$B:$C,2,0)</f>
        <v>JULIO</v>
      </c>
      <c r="C1063" s="1">
        <v>2025</v>
      </c>
      <c r="D1063" s="1" t="str">
        <f>IF($A1063&lt;=[1]RESULTADOS!$D$6,"YTD","YTG")</f>
        <v>YTD</v>
      </c>
      <c r="E1063" t="s">
        <v>17</v>
      </c>
      <c r="F1063" t="s">
        <v>664</v>
      </c>
      <c r="G1063" t="s">
        <v>665</v>
      </c>
      <c r="H1063" t="s">
        <v>666</v>
      </c>
      <c r="I1063" t="s">
        <v>144</v>
      </c>
      <c r="J1063" t="str">
        <f>IFERROR(VLOOKUP(I1063,[1]AUTOS!$C:$G,2,0),"")</f>
        <v>VERSA</v>
      </c>
      <c r="K1063">
        <f>IFERROR(VLOOKUP(I1063,[1]AUTOS!$C:$G,3,0),"")</f>
        <v>2020</v>
      </c>
      <c r="L1063" t="str">
        <f>IFERROR(VLOOKUP(I1063,[1]AUTOS!$C:$G,4,0),"")</f>
        <v>ROJO</v>
      </c>
      <c r="M1063" t="s">
        <v>43</v>
      </c>
      <c r="N1063" s="3">
        <v>0</v>
      </c>
      <c r="O1063" s="3">
        <v>0</v>
      </c>
      <c r="P1063" s="3">
        <v>-2500</v>
      </c>
    </row>
    <row r="1064" spans="1:16" hidden="1" x14ac:dyDescent="0.3">
      <c r="A1064">
        <v>32</v>
      </c>
      <c r="B1064" t="str">
        <f>VLOOKUP($A1064,[1]LISTA!$B:$C,2,0)</f>
        <v>AGOSTO</v>
      </c>
      <c r="C1064" s="1">
        <v>2025</v>
      </c>
      <c r="D1064" s="1" t="str">
        <f>IF($A1064&lt;=[1]RESULTADOS!$D$6,"YTD","YTG")</f>
        <v>YTD</v>
      </c>
      <c r="E1064" t="s">
        <v>17</v>
      </c>
      <c r="F1064" t="s">
        <v>664</v>
      </c>
      <c r="G1064" t="s">
        <v>665</v>
      </c>
      <c r="H1064" t="s">
        <v>666</v>
      </c>
      <c r="I1064" t="s">
        <v>144</v>
      </c>
      <c r="J1064" t="str">
        <f>IFERROR(VLOOKUP(I1064,[1]AUTOS!$C:$G,2,0),"")</f>
        <v>VERSA</v>
      </c>
      <c r="K1064">
        <f>IFERROR(VLOOKUP(I1064,[1]AUTOS!$C:$G,3,0),"")</f>
        <v>2020</v>
      </c>
      <c r="L1064" t="str">
        <f>IFERROR(VLOOKUP(I1064,[1]AUTOS!$C:$G,4,0),"")</f>
        <v>ROJO</v>
      </c>
      <c r="M1064" t="s">
        <v>43</v>
      </c>
      <c r="N1064" s="3">
        <v>0</v>
      </c>
      <c r="O1064" s="3">
        <v>0</v>
      </c>
      <c r="P1064" s="3">
        <v>-2500</v>
      </c>
    </row>
    <row r="1065" spans="1:16" hidden="1" x14ac:dyDescent="0.3">
      <c r="A1065">
        <v>33</v>
      </c>
      <c r="B1065" t="str">
        <f>VLOOKUP($A1065,[1]LISTA!$B:$C,2,0)</f>
        <v>AGOSTO</v>
      </c>
      <c r="C1065" s="1">
        <v>2025</v>
      </c>
      <c r="D1065" s="1" t="str">
        <f>IF($A1065&lt;=[1]RESULTADOS!$D$6,"YTD","YTG")</f>
        <v>YTD</v>
      </c>
      <c r="E1065" t="s">
        <v>17</v>
      </c>
      <c r="F1065" t="s">
        <v>664</v>
      </c>
      <c r="G1065" t="s">
        <v>665</v>
      </c>
      <c r="H1065" t="s">
        <v>666</v>
      </c>
      <c r="I1065" t="s">
        <v>144</v>
      </c>
      <c r="J1065" t="str">
        <f>IFERROR(VLOOKUP(I1065,[1]AUTOS!$C:$G,2,0),"")</f>
        <v>VERSA</v>
      </c>
      <c r="K1065">
        <f>IFERROR(VLOOKUP(I1065,[1]AUTOS!$C:$G,3,0),"")</f>
        <v>2020</v>
      </c>
      <c r="L1065" t="str">
        <f>IFERROR(VLOOKUP(I1065,[1]AUTOS!$C:$G,4,0),"")</f>
        <v>ROJO</v>
      </c>
      <c r="M1065" t="s">
        <v>43</v>
      </c>
      <c r="N1065" s="3">
        <v>0</v>
      </c>
      <c r="O1065" s="3">
        <v>0</v>
      </c>
      <c r="P1065" s="3">
        <v>-2500</v>
      </c>
    </row>
    <row r="1066" spans="1:16" hidden="1" x14ac:dyDescent="0.3">
      <c r="A1066">
        <v>34</v>
      </c>
      <c r="B1066" t="str">
        <f>VLOOKUP($A1066,[1]LISTA!$B:$C,2,0)</f>
        <v>AGOSTO</v>
      </c>
      <c r="C1066" s="1">
        <v>2025</v>
      </c>
      <c r="D1066" s="1" t="str">
        <f>IF($A1066&lt;=[1]RESULTADOS!$D$6,"YTD","YTG")</f>
        <v>YTD</v>
      </c>
      <c r="E1066" t="s">
        <v>17</v>
      </c>
      <c r="F1066" t="s">
        <v>664</v>
      </c>
      <c r="G1066" t="s">
        <v>665</v>
      </c>
      <c r="H1066" t="s">
        <v>666</v>
      </c>
      <c r="I1066" t="s">
        <v>144</v>
      </c>
      <c r="J1066" t="str">
        <f>IFERROR(VLOOKUP(I1066,[1]AUTOS!$C:$G,2,0),"")</f>
        <v>VERSA</v>
      </c>
      <c r="K1066">
        <f>IFERROR(VLOOKUP(I1066,[1]AUTOS!$C:$G,3,0),"")</f>
        <v>2020</v>
      </c>
      <c r="L1066" t="str">
        <f>IFERROR(VLOOKUP(I1066,[1]AUTOS!$C:$G,4,0),"")</f>
        <v>ROJO</v>
      </c>
      <c r="M1066" t="s">
        <v>43</v>
      </c>
      <c r="N1066" s="3">
        <v>0</v>
      </c>
      <c r="O1066" s="3">
        <v>0</v>
      </c>
      <c r="P1066" s="3">
        <v>-2500</v>
      </c>
    </row>
    <row r="1067" spans="1:16" hidden="1" x14ac:dyDescent="0.3">
      <c r="A1067">
        <v>35</v>
      </c>
      <c r="B1067" t="str">
        <f>VLOOKUP($A1067,[1]LISTA!$B:$C,2,0)</f>
        <v>AGOSTO</v>
      </c>
      <c r="C1067" s="1">
        <v>2025</v>
      </c>
      <c r="D1067" s="1" t="str">
        <f>IF($A1067&lt;=[1]RESULTADOS!$D$6,"YTD","YTG")</f>
        <v>YTD</v>
      </c>
      <c r="E1067" t="s">
        <v>17</v>
      </c>
      <c r="F1067" t="s">
        <v>664</v>
      </c>
      <c r="G1067" t="s">
        <v>665</v>
      </c>
      <c r="H1067" t="s">
        <v>666</v>
      </c>
      <c r="I1067" t="s">
        <v>144</v>
      </c>
      <c r="J1067" t="str">
        <f>IFERROR(VLOOKUP(I1067,[1]AUTOS!$C:$G,2,0),"")</f>
        <v>VERSA</v>
      </c>
      <c r="K1067">
        <f>IFERROR(VLOOKUP(I1067,[1]AUTOS!$C:$G,3,0),"")</f>
        <v>2020</v>
      </c>
      <c r="L1067" t="str">
        <f>IFERROR(VLOOKUP(I1067,[1]AUTOS!$C:$G,4,0),"")</f>
        <v>ROJO</v>
      </c>
      <c r="M1067" t="s">
        <v>43</v>
      </c>
      <c r="N1067" s="3">
        <v>0</v>
      </c>
      <c r="O1067" s="3">
        <v>0</v>
      </c>
      <c r="P1067" s="3">
        <v>-2500</v>
      </c>
    </row>
    <row r="1068" spans="1:16" hidden="1" x14ac:dyDescent="0.3">
      <c r="A1068">
        <v>36</v>
      </c>
      <c r="B1068" t="str">
        <f>VLOOKUP($A1068,[1]LISTA!$B:$C,2,0)</f>
        <v>SEPTIEMBRE</v>
      </c>
      <c r="C1068" s="1">
        <v>2025</v>
      </c>
      <c r="D1068" s="1" t="str">
        <f>IF($A1068&lt;=[1]RESULTADOS!$D$6,"YTD","YTG")</f>
        <v>YTD</v>
      </c>
      <c r="E1068" t="s">
        <v>17</v>
      </c>
      <c r="F1068" t="s">
        <v>664</v>
      </c>
      <c r="G1068" t="s">
        <v>665</v>
      </c>
      <c r="H1068" t="s">
        <v>666</v>
      </c>
      <c r="I1068" t="s">
        <v>144</v>
      </c>
      <c r="J1068" t="str">
        <f>IFERROR(VLOOKUP(I1068,[1]AUTOS!$C:$G,2,0),"")</f>
        <v>VERSA</v>
      </c>
      <c r="K1068">
        <f>IFERROR(VLOOKUP(I1068,[1]AUTOS!$C:$G,3,0),"")</f>
        <v>2020</v>
      </c>
      <c r="L1068" t="str">
        <f>IFERROR(VLOOKUP(I1068,[1]AUTOS!$C:$G,4,0),"")</f>
        <v>ROJO</v>
      </c>
      <c r="M1068" t="s">
        <v>43</v>
      </c>
      <c r="N1068" s="3">
        <v>0</v>
      </c>
      <c r="O1068" s="3">
        <v>0</v>
      </c>
      <c r="P1068" s="3">
        <v>-2500</v>
      </c>
    </row>
    <row r="1069" spans="1:16" hidden="1" x14ac:dyDescent="0.3">
      <c r="A1069">
        <v>37</v>
      </c>
      <c r="B1069" t="str">
        <f>VLOOKUP($A1069,[1]LISTA!$B:$C,2,0)</f>
        <v>SEPTIEMBRE</v>
      </c>
      <c r="C1069" s="1">
        <v>2025</v>
      </c>
      <c r="D1069" s="1" t="str">
        <f>IF($A1069&lt;=[1]RESULTADOS!$D$6,"YTD","YTG")</f>
        <v>YTD</v>
      </c>
      <c r="E1069" t="s">
        <v>17</v>
      </c>
      <c r="F1069" t="s">
        <v>664</v>
      </c>
      <c r="G1069" t="s">
        <v>665</v>
      </c>
      <c r="H1069" t="s">
        <v>666</v>
      </c>
      <c r="I1069" t="s">
        <v>144</v>
      </c>
      <c r="J1069" t="str">
        <f>IFERROR(VLOOKUP(I1069,[1]AUTOS!$C:$G,2,0),"")</f>
        <v>VERSA</v>
      </c>
      <c r="K1069">
        <f>IFERROR(VLOOKUP(I1069,[1]AUTOS!$C:$G,3,0),"")</f>
        <v>2020</v>
      </c>
      <c r="L1069" t="str">
        <f>IFERROR(VLOOKUP(I1069,[1]AUTOS!$C:$G,4,0),"")</f>
        <v>ROJO</v>
      </c>
      <c r="M1069" t="s">
        <v>43</v>
      </c>
      <c r="N1069" s="3">
        <v>0</v>
      </c>
      <c r="O1069" s="3">
        <v>0</v>
      </c>
      <c r="P1069" s="3">
        <v>-2500</v>
      </c>
    </row>
    <row r="1070" spans="1:16" hidden="1" x14ac:dyDescent="0.3">
      <c r="A1070">
        <v>38</v>
      </c>
      <c r="B1070" t="str">
        <f>VLOOKUP($A1070,[1]LISTA!$B:$C,2,0)</f>
        <v>SEPTIEMBRE</v>
      </c>
      <c r="C1070" s="1">
        <v>2025</v>
      </c>
      <c r="D1070" s="1" t="str">
        <f>IF($A1070&lt;=[1]RESULTADOS!$D$6,"YTD","YTG")</f>
        <v>YTD</v>
      </c>
      <c r="E1070" t="s">
        <v>17</v>
      </c>
      <c r="F1070" t="s">
        <v>664</v>
      </c>
      <c r="G1070" t="s">
        <v>665</v>
      </c>
      <c r="H1070" t="s">
        <v>666</v>
      </c>
      <c r="I1070" t="s">
        <v>144</v>
      </c>
      <c r="J1070" t="str">
        <f>IFERROR(VLOOKUP(I1070,[1]AUTOS!$C:$G,2,0),"")</f>
        <v>VERSA</v>
      </c>
      <c r="K1070">
        <f>IFERROR(VLOOKUP(I1070,[1]AUTOS!$C:$G,3,0),"")</f>
        <v>2020</v>
      </c>
      <c r="L1070" t="str">
        <f>IFERROR(VLOOKUP(I1070,[1]AUTOS!$C:$G,4,0),"")</f>
        <v>ROJO</v>
      </c>
      <c r="M1070" t="s">
        <v>43</v>
      </c>
      <c r="N1070" s="3">
        <v>0</v>
      </c>
      <c r="O1070" s="3">
        <v>0</v>
      </c>
      <c r="P1070" s="3">
        <v>-2500</v>
      </c>
    </row>
    <row r="1071" spans="1:16" hidden="1" x14ac:dyDescent="0.3">
      <c r="A1071">
        <v>39</v>
      </c>
      <c r="B1071" t="str">
        <f>VLOOKUP($A1071,[1]LISTA!$B:$C,2,0)</f>
        <v>SEPTIEMBRE</v>
      </c>
      <c r="C1071" s="1">
        <v>2025</v>
      </c>
      <c r="D1071" s="1" t="str">
        <f>IF($A1071&lt;=[1]RESULTADOS!$D$6,"YTD","YTG")</f>
        <v>YTD</v>
      </c>
      <c r="E1071" t="s">
        <v>17</v>
      </c>
      <c r="F1071" t="s">
        <v>664</v>
      </c>
      <c r="G1071" t="s">
        <v>665</v>
      </c>
      <c r="H1071" t="s">
        <v>666</v>
      </c>
      <c r="I1071" t="s">
        <v>144</v>
      </c>
      <c r="J1071" t="str">
        <f>IFERROR(VLOOKUP(I1071,[1]AUTOS!$C:$G,2,0),"")</f>
        <v>VERSA</v>
      </c>
      <c r="K1071">
        <f>IFERROR(VLOOKUP(I1071,[1]AUTOS!$C:$G,3,0),"")</f>
        <v>2020</v>
      </c>
      <c r="L1071" t="str">
        <f>IFERROR(VLOOKUP(I1071,[1]AUTOS!$C:$G,4,0),"")</f>
        <v>ROJO</v>
      </c>
      <c r="M1071" t="s">
        <v>43</v>
      </c>
      <c r="N1071" s="3">
        <v>0</v>
      </c>
      <c r="O1071" s="3">
        <v>0</v>
      </c>
      <c r="P1071" s="3">
        <v>-2500</v>
      </c>
    </row>
    <row r="1072" spans="1:16" hidden="1" x14ac:dyDescent="0.3">
      <c r="A1072">
        <v>40</v>
      </c>
      <c r="B1072" t="str">
        <f>VLOOKUP($A1072,[1]LISTA!$B:$C,2,0)</f>
        <v>OCTUBRE</v>
      </c>
      <c r="C1072" s="1">
        <v>2025</v>
      </c>
      <c r="D1072" s="1" t="str">
        <f>IF($A1072&lt;=[1]RESULTADOS!$D$6,"YTD","YTG")</f>
        <v>YTG</v>
      </c>
      <c r="E1072" t="s">
        <v>17</v>
      </c>
      <c r="F1072" t="s">
        <v>664</v>
      </c>
      <c r="G1072" t="s">
        <v>665</v>
      </c>
      <c r="H1072" t="s">
        <v>666</v>
      </c>
      <c r="I1072" t="s">
        <v>144</v>
      </c>
      <c r="J1072" t="str">
        <f>IFERROR(VLOOKUP(I1072,[1]AUTOS!$C:$G,2,0),"")</f>
        <v>VERSA</v>
      </c>
      <c r="K1072">
        <f>IFERROR(VLOOKUP(I1072,[1]AUTOS!$C:$G,3,0),"")</f>
        <v>2020</v>
      </c>
      <c r="L1072" t="str">
        <f>IFERROR(VLOOKUP(I1072,[1]AUTOS!$C:$G,4,0),"")</f>
        <v>ROJO</v>
      </c>
      <c r="M1072" t="s">
        <v>43</v>
      </c>
      <c r="N1072" s="3">
        <v>0</v>
      </c>
      <c r="O1072" s="3">
        <v>0</v>
      </c>
      <c r="P1072" s="3">
        <v>-2500</v>
      </c>
    </row>
    <row r="1073" spans="1:16" hidden="1" x14ac:dyDescent="0.3">
      <c r="A1073">
        <v>41</v>
      </c>
      <c r="B1073" t="str">
        <f>VLOOKUP($A1073,[1]LISTA!$B:$C,2,0)</f>
        <v>OCTUBRE</v>
      </c>
      <c r="C1073" s="1">
        <v>2025</v>
      </c>
      <c r="D1073" s="1" t="str">
        <f>IF($A1073&lt;=[1]RESULTADOS!$D$6,"YTD","YTG")</f>
        <v>YTG</v>
      </c>
      <c r="E1073" t="s">
        <v>17</v>
      </c>
      <c r="F1073" t="s">
        <v>664</v>
      </c>
      <c r="G1073" t="s">
        <v>665</v>
      </c>
      <c r="H1073" t="s">
        <v>666</v>
      </c>
      <c r="I1073" t="s">
        <v>144</v>
      </c>
      <c r="J1073" t="str">
        <f>IFERROR(VLOOKUP(I1073,[1]AUTOS!$C:$G,2,0),"")</f>
        <v>VERSA</v>
      </c>
      <c r="K1073">
        <f>IFERROR(VLOOKUP(I1073,[1]AUTOS!$C:$G,3,0),"")</f>
        <v>2020</v>
      </c>
      <c r="L1073" t="str">
        <f>IFERROR(VLOOKUP(I1073,[1]AUTOS!$C:$G,4,0),"")</f>
        <v>ROJO</v>
      </c>
      <c r="M1073" t="s">
        <v>43</v>
      </c>
      <c r="N1073" s="3">
        <v>0</v>
      </c>
      <c r="O1073" s="3">
        <v>0</v>
      </c>
      <c r="P1073" s="3">
        <v>-2500</v>
      </c>
    </row>
    <row r="1074" spans="1:16" hidden="1" x14ac:dyDescent="0.3">
      <c r="A1074">
        <v>42</v>
      </c>
      <c r="B1074" t="str">
        <f>VLOOKUP($A1074,[1]LISTA!$B:$C,2,0)</f>
        <v>OCTUBRE</v>
      </c>
      <c r="C1074" s="1">
        <v>2025</v>
      </c>
      <c r="D1074" s="1" t="str">
        <f>IF($A1074&lt;=[1]RESULTADOS!$D$6,"YTD","YTG")</f>
        <v>YTG</v>
      </c>
      <c r="E1074" t="s">
        <v>17</v>
      </c>
      <c r="F1074" t="s">
        <v>664</v>
      </c>
      <c r="G1074" t="s">
        <v>665</v>
      </c>
      <c r="H1074" t="s">
        <v>666</v>
      </c>
      <c r="I1074" t="s">
        <v>144</v>
      </c>
      <c r="J1074" t="str">
        <f>IFERROR(VLOOKUP(I1074,[1]AUTOS!$C:$G,2,0),"")</f>
        <v>VERSA</v>
      </c>
      <c r="K1074">
        <f>IFERROR(VLOOKUP(I1074,[1]AUTOS!$C:$G,3,0),"")</f>
        <v>2020</v>
      </c>
      <c r="L1074" t="str">
        <f>IFERROR(VLOOKUP(I1074,[1]AUTOS!$C:$G,4,0),"")</f>
        <v>ROJO</v>
      </c>
      <c r="M1074" t="s">
        <v>43</v>
      </c>
      <c r="N1074" s="3">
        <v>0</v>
      </c>
      <c r="O1074" s="3">
        <v>0</v>
      </c>
      <c r="P1074" s="3">
        <v>-2500</v>
      </c>
    </row>
    <row r="1075" spans="1:16" hidden="1" x14ac:dyDescent="0.3">
      <c r="A1075">
        <v>43</v>
      </c>
      <c r="B1075" t="str">
        <f>VLOOKUP($A1075,[1]LISTA!$B:$C,2,0)</f>
        <v>OCTUBRE</v>
      </c>
      <c r="C1075" s="1">
        <v>2025</v>
      </c>
      <c r="D1075" s="1" t="str">
        <f>IF($A1075&lt;=[1]RESULTADOS!$D$6,"YTD","YTG")</f>
        <v>YTG</v>
      </c>
      <c r="E1075" t="s">
        <v>17</v>
      </c>
      <c r="F1075" t="s">
        <v>664</v>
      </c>
      <c r="G1075" t="s">
        <v>665</v>
      </c>
      <c r="H1075" t="s">
        <v>666</v>
      </c>
      <c r="I1075" t="s">
        <v>144</v>
      </c>
      <c r="J1075" t="str">
        <f>IFERROR(VLOOKUP(I1075,[1]AUTOS!$C:$G,2,0),"")</f>
        <v>VERSA</v>
      </c>
      <c r="K1075">
        <f>IFERROR(VLOOKUP(I1075,[1]AUTOS!$C:$G,3,0),"")</f>
        <v>2020</v>
      </c>
      <c r="L1075" t="str">
        <f>IFERROR(VLOOKUP(I1075,[1]AUTOS!$C:$G,4,0),"")</f>
        <v>ROJO</v>
      </c>
      <c r="M1075" t="s">
        <v>43</v>
      </c>
      <c r="N1075" s="3">
        <v>0</v>
      </c>
      <c r="O1075" s="3">
        <v>0</v>
      </c>
      <c r="P1075" s="3">
        <v>-2500</v>
      </c>
    </row>
    <row r="1076" spans="1:16" hidden="1" x14ac:dyDescent="0.3">
      <c r="A1076">
        <v>44</v>
      </c>
      <c r="B1076" t="str">
        <f>VLOOKUP($A1076,[1]LISTA!$B:$C,2,0)</f>
        <v>OCTUBRE</v>
      </c>
      <c r="C1076" s="1">
        <v>2025</v>
      </c>
      <c r="D1076" s="1" t="str">
        <f>IF($A1076&lt;=[1]RESULTADOS!$D$6,"YTD","YTG")</f>
        <v>YTG</v>
      </c>
      <c r="E1076" t="s">
        <v>17</v>
      </c>
      <c r="F1076" t="s">
        <v>664</v>
      </c>
      <c r="G1076" t="s">
        <v>665</v>
      </c>
      <c r="H1076" t="s">
        <v>666</v>
      </c>
      <c r="I1076" t="s">
        <v>144</v>
      </c>
      <c r="J1076" t="str">
        <f>IFERROR(VLOOKUP(I1076,[1]AUTOS!$C:$G,2,0),"")</f>
        <v>VERSA</v>
      </c>
      <c r="K1076">
        <f>IFERROR(VLOOKUP(I1076,[1]AUTOS!$C:$G,3,0),"")</f>
        <v>2020</v>
      </c>
      <c r="L1076" t="str">
        <f>IFERROR(VLOOKUP(I1076,[1]AUTOS!$C:$G,4,0),"")</f>
        <v>ROJO</v>
      </c>
      <c r="M1076" t="s">
        <v>43</v>
      </c>
      <c r="N1076" s="3">
        <v>0</v>
      </c>
      <c r="O1076" s="3">
        <v>0</v>
      </c>
      <c r="P1076" s="3">
        <v>-2500</v>
      </c>
    </row>
    <row r="1077" spans="1:16" hidden="1" x14ac:dyDescent="0.3">
      <c r="A1077">
        <v>45</v>
      </c>
      <c r="B1077" t="str">
        <f>VLOOKUP($A1077,[1]LISTA!$B:$C,2,0)</f>
        <v>NOVIEMBRE</v>
      </c>
      <c r="C1077" s="1">
        <v>2025</v>
      </c>
      <c r="D1077" s="1" t="str">
        <f>IF($A1077&lt;=[1]RESULTADOS!$D$6,"YTD","YTG")</f>
        <v>YTG</v>
      </c>
      <c r="E1077" t="s">
        <v>17</v>
      </c>
      <c r="F1077" t="s">
        <v>664</v>
      </c>
      <c r="G1077" t="s">
        <v>665</v>
      </c>
      <c r="H1077" t="s">
        <v>666</v>
      </c>
      <c r="I1077" t="s">
        <v>144</v>
      </c>
      <c r="J1077" t="str">
        <f>IFERROR(VLOOKUP(I1077,[1]AUTOS!$C:$G,2,0),"")</f>
        <v>VERSA</v>
      </c>
      <c r="K1077">
        <f>IFERROR(VLOOKUP(I1077,[1]AUTOS!$C:$G,3,0),"")</f>
        <v>2020</v>
      </c>
      <c r="L1077" t="str">
        <f>IFERROR(VLOOKUP(I1077,[1]AUTOS!$C:$G,4,0),"")</f>
        <v>ROJO</v>
      </c>
      <c r="M1077" t="s">
        <v>43</v>
      </c>
      <c r="N1077" s="3">
        <v>0</v>
      </c>
      <c r="O1077" s="3">
        <v>0</v>
      </c>
      <c r="P1077" s="3">
        <v>-2500</v>
      </c>
    </row>
    <row r="1078" spans="1:16" hidden="1" x14ac:dyDescent="0.3">
      <c r="A1078">
        <v>46</v>
      </c>
      <c r="B1078" t="str">
        <f>VLOOKUP($A1078,[1]LISTA!$B:$C,2,0)</f>
        <v>NOVIEMBRE</v>
      </c>
      <c r="C1078" s="1">
        <v>2025</v>
      </c>
      <c r="D1078" s="1" t="str">
        <f>IF($A1078&lt;=[1]RESULTADOS!$D$6,"YTD","YTG")</f>
        <v>YTG</v>
      </c>
      <c r="E1078" t="s">
        <v>17</v>
      </c>
      <c r="F1078" t="s">
        <v>664</v>
      </c>
      <c r="G1078" t="s">
        <v>665</v>
      </c>
      <c r="H1078" t="s">
        <v>666</v>
      </c>
      <c r="I1078" t="s">
        <v>144</v>
      </c>
      <c r="J1078" t="str">
        <f>IFERROR(VLOOKUP(I1078,[1]AUTOS!$C:$G,2,0),"")</f>
        <v>VERSA</v>
      </c>
      <c r="K1078">
        <f>IFERROR(VLOOKUP(I1078,[1]AUTOS!$C:$G,3,0),"")</f>
        <v>2020</v>
      </c>
      <c r="L1078" t="str">
        <f>IFERROR(VLOOKUP(I1078,[1]AUTOS!$C:$G,4,0),"")</f>
        <v>ROJO</v>
      </c>
      <c r="M1078" t="s">
        <v>43</v>
      </c>
      <c r="N1078" s="3">
        <v>0</v>
      </c>
      <c r="O1078" s="3">
        <v>0</v>
      </c>
      <c r="P1078" s="3">
        <v>-2500</v>
      </c>
    </row>
    <row r="1079" spans="1:16" hidden="1" x14ac:dyDescent="0.3">
      <c r="A1079">
        <v>47</v>
      </c>
      <c r="B1079" t="str">
        <f>VLOOKUP($A1079,[1]LISTA!$B:$C,2,0)</f>
        <v>NOVIEMBRE</v>
      </c>
      <c r="C1079" s="1">
        <v>2025</v>
      </c>
      <c r="D1079" s="1" t="str">
        <f>IF($A1079&lt;=[1]RESULTADOS!$D$6,"YTD","YTG")</f>
        <v>YTG</v>
      </c>
      <c r="E1079" t="s">
        <v>17</v>
      </c>
      <c r="F1079" t="s">
        <v>664</v>
      </c>
      <c r="G1079" t="s">
        <v>665</v>
      </c>
      <c r="H1079" t="s">
        <v>666</v>
      </c>
      <c r="I1079" t="s">
        <v>144</v>
      </c>
      <c r="J1079" t="str">
        <f>IFERROR(VLOOKUP(I1079,[1]AUTOS!$C:$G,2,0),"")</f>
        <v>VERSA</v>
      </c>
      <c r="K1079">
        <f>IFERROR(VLOOKUP(I1079,[1]AUTOS!$C:$G,3,0),"")</f>
        <v>2020</v>
      </c>
      <c r="L1079" t="str">
        <f>IFERROR(VLOOKUP(I1079,[1]AUTOS!$C:$G,4,0),"")</f>
        <v>ROJO</v>
      </c>
      <c r="M1079" t="s">
        <v>43</v>
      </c>
      <c r="N1079" s="3">
        <v>0</v>
      </c>
      <c r="O1079" s="3">
        <v>0</v>
      </c>
      <c r="P1079" s="3">
        <v>-2500</v>
      </c>
    </row>
    <row r="1080" spans="1:16" hidden="1" x14ac:dyDescent="0.3">
      <c r="A1080">
        <v>48</v>
      </c>
      <c r="B1080" t="str">
        <f>VLOOKUP($A1080,[1]LISTA!$B:$C,2,0)</f>
        <v>NOVIEMBRE</v>
      </c>
      <c r="C1080" s="1">
        <v>2025</v>
      </c>
      <c r="D1080" s="1" t="str">
        <f>IF($A1080&lt;=[1]RESULTADOS!$D$6,"YTD","YTG")</f>
        <v>YTG</v>
      </c>
      <c r="E1080" t="s">
        <v>17</v>
      </c>
      <c r="F1080" t="s">
        <v>664</v>
      </c>
      <c r="G1080" t="s">
        <v>665</v>
      </c>
      <c r="H1080" t="s">
        <v>666</v>
      </c>
      <c r="I1080" t="s">
        <v>144</v>
      </c>
      <c r="J1080" t="str">
        <f>IFERROR(VLOOKUP(I1080,[1]AUTOS!$C:$G,2,0),"")</f>
        <v>VERSA</v>
      </c>
      <c r="K1080">
        <f>IFERROR(VLOOKUP(I1080,[1]AUTOS!$C:$G,3,0),"")</f>
        <v>2020</v>
      </c>
      <c r="L1080" t="str">
        <f>IFERROR(VLOOKUP(I1080,[1]AUTOS!$C:$G,4,0),"")</f>
        <v>ROJO</v>
      </c>
      <c r="M1080" t="s">
        <v>43</v>
      </c>
      <c r="N1080" s="3">
        <v>0</v>
      </c>
      <c r="O1080" s="3">
        <v>0</v>
      </c>
      <c r="P1080" s="3">
        <v>-2500</v>
      </c>
    </row>
    <row r="1081" spans="1:16" hidden="1" x14ac:dyDescent="0.3">
      <c r="A1081">
        <v>49</v>
      </c>
      <c r="B1081" t="str">
        <f>VLOOKUP($A1081,[1]LISTA!$B:$C,2,0)</f>
        <v>DICIEMBRE</v>
      </c>
      <c r="C1081" s="1">
        <v>2025</v>
      </c>
      <c r="D1081" s="1" t="str">
        <f>IF($A1081&lt;=[1]RESULTADOS!$D$6,"YTD","YTG")</f>
        <v>YTG</v>
      </c>
      <c r="E1081" t="s">
        <v>17</v>
      </c>
      <c r="F1081" t="s">
        <v>664</v>
      </c>
      <c r="G1081" t="s">
        <v>665</v>
      </c>
      <c r="H1081" t="s">
        <v>666</v>
      </c>
      <c r="I1081" t="s">
        <v>144</v>
      </c>
      <c r="J1081" t="str">
        <f>IFERROR(VLOOKUP(I1081,[1]AUTOS!$C:$G,2,0),"")</f>
        <v>VERSA</v>
      </c>
      <c r="K1081">
        <f>IFERROR(VLOOKUP(I1081,[1]AUTOS!$C:$G,3,0),"")</f>
        <v>2020</v>
      </c>
      <c r="L1081" t="str">
        <f>IFERROR(VLOOKUP(I1081,[1]AUTOS!$C:$G,4,0),"")</f>
        <v>ROJO</v>
      </c>
      <c r="M1081" t="s">
        <v>43</v>
      </c>
      <c r="N1081" s="3">
        <v>0</v>
      </c>
      <c r="O1081" s="3">
        <v>0</v>
      </c>
      <c r="P1081" s="3">
        <v>-2500</v>
      </c>
    </row>
    <row r="1082" spans="1:16" hidden="1" x14ac:dyDescent="0.3">
      <c r="A1082">
        <v>50</v>
      </c>
      <c r="B1082" t="str">
        <f>VLOOKUP($A1082,[1]LISTA!$B:$C,2,0)</f>
        <v>DICIEMBRE</v>
      </c>
      <c r="C1082" s="1">
        <v>2025</v>
      </c>
      <c r="D1082" s="1" t="str">
        <f>IF($A1082&lt;=[1]RESULTADOS!$D$6,"YTD","YTG")</f>
        <v>YTG</v>
      </c>
      <c r="E1082" t="s">
        <v>17</v>
      </c>
      <c r="F1082" t="s">
        <v>664</v>
      </c>
      <c r="G1082" t="s">
        <v>665</v>
      </c>
      <c r="H1082" t="s">
        <v>666</v>
      </c>
      <c r="I1082" t="s">
        <v>144</v>
      </c>
      <c r="J1082" t="str">
        <f>IFERROR(VLOOKUP(I1082,[1]AUTOS!$C:$G,2,0),"")</f>
        <v>VERSA</v>
      </c>
      <c r="K1082">
        <f>IFERROR(VLOOKUP(I1082,[1]AUTOS!$C:$G,3,0),"")</f>
        <v>2020</v>
      </c>
      <c r="L1082" t="str">
        <f>IFERROR(VLOOKUP(I1082,[1]AUTOS!$C:$G,4,0),"")</f>
        <v>ROJO</v>
      </c>
      <c r="M1082" t="s">
        <v>43</v>
      </c>
      <c r="N1082" s="3">
        <v>0</v>
      </c>
      <c r="O1082" s="3">
        <v>0</v>
      </c>
      <c r="P1082" s="3">
        <v>-2500</v>
      </c>
    </row>
    <row r="1083" spans="1:16" hidden="1" x14ac:dyDescent="0.3">
      <c r="A1083">
        <v>51</v>
      </c>
      <c r="B1083" t="str">
        <f>VLOOKUP($A1083,[1]LISTA!$B:$C,2,0)</f>
        <v>DICIEMBRE</v>
      </c>
      <c r="C1083" s="1">
        <v>2025</v>
      </c>
      <c r="D1083" s="1" t="str">
        <f>IF($A1083&lt;=[1]RESULTADOS!$D$6,"YTD","YTG")</f>
        <v>YTG</v>
      </c>
      <c r="E1083" t="s">
        <v>17</v>
      </c>
      <c r="F1083" t="s">
        <v>664</v>
      </c>
      <c r="G1083" t="s">
        <v>665</v>
      </c>
      <c r="H1083" t="s">
        <v>666</v>
      </c>
      <c r="I1083" t="s">
        <v>144</v>
      </c>
      <c r="J1083" t="str">
        <f>IFERROR(VLOOKUP(I1083,[1]AUTOS!$C:$G,2,0),"")</f>
        <v>VERSA</v>
      </c>
      <c r="K1083">
        <f>IFERROR(VLOOKUP(I1083,[1]AUTOS!$C:$G,3,0),"")</f>
        <v>2020</v>
      </c>
      <c r="L1083" t="str">
        <f>IFERROR(VLOOKUP(I1083,[1]AUTOS!$C:$G,4,0),"")</f>
        <v>ROJO</v>
      </c>
      <c r="M1083" t="s">
        <v>43</v>
      </c>
      <c r="N1083" s="3">
        <v>0</v>
      </c>
      <c r="O1083" s="3">
        <v>0</v>
      </c>
      <c r="P1083" s="3">
        <v>-2500</v>
      </c>
    </row>
    <row r="1084" spans="1:16" hidden="1" x14ac:dyDescent="0.3">
      <c r="A1084">
        <v>52</v>
      </c>
      <c r="B1084" t="str">
        <f>VLOOKUP($A1084,[1]LISTA!$B:$C,2,0)</f>
        <v>DICIEMBRE</v>
      </c>
      <c r="C1084" s="1">
        <v>2025</v>
      </c>
      <c r="D1084" s="1" t="str">
        <f>IF($A1084&lt;=[1]RESULTADOS!$D$6,"YTD","YTG")</f>
        <v>YTG</v>
      </c>
      <c r="E1084" t="s">
        <v>17</v>
      </c>
      <c r="F1084" t="s">
        <v>664</v>
      </c>
      <c r="G1084" t="s">
        <v>665</v>
      </c>
      <c r="H1084" t="s">
        <v>666</v>
      </c>
      <c r="I1084" t="s">
        <v>144</v>
      </c>
      <c r="J1084" t="str">
        <f>IFERROR(VLOOKUP(I1084,[1]AUTOS!$C:$G,2,0),"")</f>
        <v>VERSA</v>
      </c>
      <c r="K1084">
        <f>IFERROR(VLOOKUP(I1084,[1]AUTOS!$C:$G,3,0),"")</f>
        <v>2020</v>
      </c>
      <c r="L1084" t="str">
        <f>IFERROR(VLOOKUP(I1084,[1]AUTOS!$C:$G,4,0),"")</f>
        <v>ROJO</v>
      </c>
      <c r="M1084" t="s">
        <v>43</v>
      </c>
      <c r="N1084" s="3">
        <v>0</v>
      </c>
      <c r="O1084" s="3">
        <v>0</v>
      </c>
      <c r="P1084" s="3">
        <v>-2500</v>
      </c>
    </row>
    <row r="1085" spans="1:16" hidden="1" x14ac:dyDescent="0.3">
      <c r="A1085">
        <v>12</v>
      </c>
      <c r="B1085" t="str">
        <f>VLOOKUP($A1085,[1]LISTA!$B:$C,2,0)</f>
        <v>MARZO</v>
      </c>
      <c r="C1085" s="1">
        <v>2025</v>
      </c>
      <c r="D1085" s="1" t="str">
        <f>IF($A1085&lt;=[1]RESULTADOS!$D$6,"YTD","YTG")</f>
        <v>YTD</v>
      </c>
      <c r="E1085" t="s">
        <v>17</v>
      </c>
      <c r="F1085" t="s">
        <v>664</v>
      </c>
      <c r="G1085" t="s">
        <v>665</v>
      </c>
      <c r="H1085" t="s">
        <v>666</v>
      </c>
      <c r="I1085" t="s">
        <v>67</v>
      </c>
      <c r="J1085" t="str">
        <f>IFERROR(VLOOKUP(I1085,[1]AUTOS!$C:$G,2,0),"")</f>
        <v>KIA RIO</v>
      </c>
      <c r="K1085">
        <f>IFERROR(VLOOKUP(I1085,[1]AUTOS!$C:$G,3,0),"")</f>
        <v>2020</v>
      </c>
      <c r="L1085" t="str">
        <f>IFERROR(VLOOKUP(I1085,[1]AUTOS!$C:$G,4,0),"")</f>
        <v>GRIS</v>
      </c>
      <c r="M1085" t="s">
        <v>43</v>
      </c>
      <c r="N1085" s="3">
        <v>0</v>
      </c>
      <c r="O1085" s="3">
        <v>0</v>
      </c>
      <c r="P1085" s="3">
        <v>-2500</v>
      </c>
    </row>
    <row r="1086" spans="1:16" hidden="1" x14ac:dyDescent="0.3">
      <c r="A1086">
        <v>13</v>
      </c>
      <c r="B1086" t="str">
        <f>VLOOKUP($A1086,[1]LISTA!$B:$C,2,0)</f>
        <v>MARZO</v>
      </c>
      <c r="C1086" s="1">
        <v>2025</v>
      </c>
      <c r="D1086" s="1" t="str">
        <f>IF($A1086&lt;=[1]RESULTADOS!$D$6,"YTD","YTG")</f>
        <v>YTD</v>
      </c>
      <c r="E1086" t="s">
        <v>17</v>
      </c>
      <c r="F1086" t="s">
        <v>664</v>
      </c>
      <c r="G1086" t="s">
        <v>665</v>
      </c>
      <c r="H1086" t="s">
        <v>666</v>
      </c>
      <c r="I1086" t="s">
        <v>67</v>
      </c>
      <c r="J1086" t="str">
        <f>IFERROR(VLOOKUP(I1086,[1]AUTOS!$C:$G,2,0),"")</f>
        <v>KIA RIO</v>
      </c>
      <c r="K1086">
        <f>IFERROR(VLOOKUP(I1086,[1]AUTOS!$C:$G,3,0),"")</f>
        <v>2020</v>
      </c>
      <c r="L1086" t="str">
        <f>IFERROR(VLOOKUP(I1086,[1]AUTOS!$C:$G,4,0),"")</f>
        <v>GRIS</v>
      </c>
      <c r="M1086" t="s">
        <v>43</v>
      </c>
      <c r="N1086" s="3">
        <v>0</v>
      </c>
      <c r="O1086" s="3">
        <v>0</v>
      </c>
      <c r="P1086" s="3">
        <v>-2500</v>
      </c>
    </row>
    <row r="1087" spans="1:16" hidden="1" x14ac:dyDescent="0.3">
      <c r="A1087">
        <v>14</v>
      </c>
      <c r="B1087" t="str">
        <f>VLOOKUP($A1087,[1]LISTA!$B:$C,2,0)</f>
        <v>ABRIL</v>
      </c>
      <c r="C1087" s="1">
        <v>2025</v>
      </c>
      <c r="D1087" s="1" t="str">
        <f>IF($A1087&lt;=[1]RESULTADOS!$D$6,"YTD","YTG")</f>
        <v>YTD</v>
      </c>
      <c r="E1087" t="s">
        <v>17</v>
      </c>
      <c r="F1087" t="s">
        <v>664</v>
      </c>
      <c r="G1087" t="s">
        <v>665</v>
      </c>
      <c r="H1087" t="s">
        <v>666</v>
      </c>
      <c r="I1087" t="s">
        <v>67</v>
      </c>
      <c r="J1087" t="str">
        <f>IFERROR(VLOOKUP(I1087,[1]AUTOS!$C:$G,2,0),"")</f>
        <v>KIA RIO</v>
      </c>
      <c r="K1087">
        <f>IFERROR(VLOOKUP(I1087,[1]AUTOS!$C:$G,3,0),"")</f>
        <v>2020</v>
      </c>
      <c r="L1087" t="str">
        <f>IFERROR(VLOOKUP(I1087,[1]AUTOS!$C:$G,4,0),"")</f>
        <v>GRIS</v>
      </c>
      <c r="M1087" t="s">
        <v>43</v>
      </c>
      <c r="N1087" s="3">
        <v>0</v>
      </c>
      <c r="O1087" s="3">
        <v>0</v>
      </c>
      <c r="P1087" s="3">
        <v>-2500</v>
      </c>
    </row>
    <row r="1088" spans="1:16" hidden="1" x14ac:dyDescent="0.3">
      <c r="A1088">
        <v>15</v>
      </c>
      <c r="B1088" t="str">
        <f>VLOOKUP($A1088,[1]LISTA!$B:$C,2,0)</f>
        <v>ABRIL</v>
      </c>
      <c r="C1088" s="1">
        <v>2025</v>
      </c>
      <c r="D1088" s="1" t="str">
        <f>IF($A1088&lt;=[1]RESULTADOS!$D$6,"YTD","YTG")</f>
        <v>YTD</v>
      </c>
      <c r="E1088" t="s">
        <v>17</v>
      </c>
      <c r="F1088" t="s">
        <v>664</v>
      </c>
      <c r="G1088" t="s">
        <v>665</v>
      </c>
      <c r="H1088" t="s">
        <v>666</v>
      </c>
      <c r="I1088" t="s">
        <v>67</v>
      </c>
      <c r="J1088" t="str">
        <f>IFERROR(VLOOKUP(I1088,[1]AUTOS!$C:$G,2,0),"")</f>
        <v>KIA RIO</v>
      </c>
      <c r="K1088">
        <f>IFERROR(VLOOKUP(I1088,[1]AUTOS!$C:$G,3,0),"")</f>
        <v>2020</v>
      </c>
      <c r="L1088" t="str">
        <f>IFERROR(VLOOKUP(I1088,[1]AUTOS!$C:$G,4,0),"")</f>
        <v>GRIS</v>
      </c>
      <c r="M1088" t="s">
        <v>43</v>
      </c>
      <c r="N1088" s="3">
        <v>0</v>
      </c>
      <c r="O1088" s="3">
        <v>0</v>
      </c>
      <c r="P1088" s="3">
        <v>-2500</v>
      </c>
    </row>
    <row r="1089" spans="1:16" hidden="1" x14ac:dyDescent="0.3">
      <c r="A1089">
        <v>16</v>
      </c>
      <c r="B1089" t="str">
        <f>VLOOKUP($A1089,[1]LISTA!$B:$C,2,0)</f>
        <v>ABRIL</v>
      </c>
      <c r="C1089" s="1">
        <v>2025</v>
      </c>
      <c r="D1089" s="1" t="str">
        <f>IF($A1089&lt;=[1]RESULTADOS!$D$6,"YTD","YTG")</f>
        <v>YTD</v>
      </c>
      <c r="E1089" t="s">
        <v>17</v>
      </c>
      <c r="F1089" t="s">
        <v>664</v>
      </c>
      <c r="G1089" t="s">
        <v>665</v>
      </c>
      <c r="H1089" t="s">
        <v>666</v>
      </c>
      <c r="I1089" t="s">
        <v>67</v>
      </c>
      <c r="J1089" t="str">
        <f>IFERROR(VLOOKUP(I1089,[1]AUTOS!$C:$G,2,0),"")</f>
        <v>KIA RIO</v>
      </c>
      <c r="K1089">
        <f>IFERROR(VLOOKUP(I1089,[1]AUTOS!$C:$G,3,0),"")</f>
        <v>2020</v>
      </c>
      <c r="L1089" t="str">
        <f>IFERROR(VLOOKUP(I1089,[1]AUTOS!$C:$G,4,0),"")</f>
        <v>GRIS</v>
      </c>
      <c r="M1089" t="s">
        <v>43</v>
      </c>
      <c r="N1089" s="3">
        <v>0</v>
      </c>
      <c r="O1089" s="3">
        <v>0</v>
      </c>
      <c r="P1089" s="3">
        <v>-2500</v>
      </c>
    </row>
    <row r="1090" spans="1:16" hidden="1" x14ac:dyDescent="0.3">
      <c r="A1090">
        <v>17</v>
      </c>
      <c r="B1090" t="str">
        <f>VLOOKUP($A1090,[1]LISTA!$B:$C,2,0)</f>
        <v>ABRIL</v>
      </c>
      <c r="C1090" s="1">
        <v>2025</v>
      </c>
      <c r="D1090" s="1" t="str">
        <f>IF($A1090&lt;=[1]RESULTADOS!$D$6,"YTD","YTG")</f>
        <v>YTD</v>
      </c>
      <c r="E1090" t="s">
        <v>17</v>
      </c>
      <c r="F1090" t="s">
        <v>664</v>
      </c>
      <c r="G1090" t="s">
        <v>665</v>
      </c>
      <c r="H1090" t="s">
        <v>666</v>
      </c>
      <c r="I1090" t="s">
        <v>67</v>
      </c>
      <c r="J1090" t="str">
        <f>IFERROR(VLOOKUP(I1090,[1]AUTOS!$C:$G,2,0),"")</f>
        <v>KIA RIO</v>
      </c>
      <c r="K1090">
        <f>IFERROR(VLOOKUP(I1090,[1]AUTOS!$C:$G,3,0),"")</f>
        <v>2020</v>
      </c>
      <c r="L1090" t="str">
        <f>IFERROR(VLOOKUP(I1090,[1]AUTOS!$C:$G,4,0),"")</f>
        <v>GRIS</v>
      </c>
      <c r="M1090" t="s">
        <v>43</v>
      </c>
      <c r="N1090" s="3">
        <v>0</v>
      </c>
      <c r="O1090" s="3">
        <v>0</v>
      </c>
      <c r="P1090" s="3">
        <v>-2500</v>
      </c>
    </row>
    <row r="1091" spans="1:16" hidden="1" x14ac:dyDescent="0.3">
      <c r="A1091">
        <v>18</v>
      </c>
      <c r="B1091" t="str">
        <f>VLOOKUP($A1091,[1]LISTA!$B:$C,2,0)</f>
        <v>MAYO</v>
      </c>
      <c r="C1091" s="1">
        <v>2025</v>
      </c>
      <c r="D1091" s="1" t="str">
        <f>IF($A1091&lt;=[1]RESULTADOS!$D$6,"YTD","YTG")</f>
        <v>YTD</v>
      </c>
      <c r="E1091" t="s">
        <v>17</v>
      </c>
      <c r="F1091" t="s">
        <v>664</v>
      </c>
      <c r="G1091" t="s">
        <v>665</v>
      </c>
      <c r="H1091" t="s">
        <v>666</v>
      </c>
      <c r="I1091" t="s">
        <v>67</v>
      </c>
      <c r="J1091" t="str">
        <f>IFERROR(VLOOKUP(I1091,[1]AUTOS!$C:$G,2,0),"")</f>
        <v>KIA RIO</v>
      </c>
      <c r="K1091">
        <f>IFERROR(VLOOKUP(I1091,[1]AUTOS!$C:$G,3,0),"")</f>
        <v>2020</v>
      </c>
      <c r="L1091" t="str">
        <f>IFERROR(VLOOKUP(I1091,[1]AUTOS!$C:$G,4,0),"")</f>
        <v>GRIS</v>
      </c>
      <c r="M1091" t="s">
        <v>43</v>
      </c>
      <c r="N1091" s="3">
        <v>0</v>
      </c>
      <c r="O1091" s="3">
        <v>0</v>
      </c>
      <c r="P1091" s="3">
        <v>-2500</v>
      </c>
    </row>
    <row r="1092" spans="1:16" hidden="1" x14ac:dyDescent="0.3">
      <c r="A1092">
        <v>19</v>
      </c>
      <c r="B1092" t="str">
        <f>VLOOKUP($A1092,[1]LISTA!$B:$C,2,0)</f>
        <v>MAYO</v>
      </c>
      <c r="C1092" s="1">
        <v>2025</v>
      </c>
      <c r="D1092" s="1" t="str">
        <f>IF($A1092&lt;=[1]RESULTADOS!$D$6,"YTD","YTG")</f>
        <v>YTD</v>
      </c>
      <c r="E1092" t="s">
        <v>17</v>
      </c>
      <c r="F1092" t="s">
        <v>664</v>
      </c>
      <c r="G1092" t="s">
        <v>665</v>
      </c>
      <c r="H1092" t="s">
        <v>666</v>
      </c>
      <c r="I1092" t="s">
        <v>67</v>
      </c>
      <c r="J1092" t="str">
        <f>IFERROR(VLOOKUP(I1092,[1]AUTOS!$C:$G,2,0),"")</f>
        <v>KIA RIO</v>
      </c>
      <c r="K1092">
        <f>IFERROR(VLOOKUP(I1092,[1]AUTOS!$C:$G,3,0),"")</f>
        <v>2020</v>
      </c>
      <c r="L1092" t="str">
        <f>IFERROR(VLOOKUP(I1092,[1]AUTOS!$C:$G,4,0),"")</f>
        <v>GRIS</v>
      </c>
      <c r="M1092" t="s">
        <v>43</v>
      </c>
      <c r="N1092" s="3">
        <v>0</v>
      </c>
      <c r="O1092" s="3">
        <v>0</v>
      </c>
      <c r="P1092" s="3">
        <v>-2500</v>
      </c>
    </row>
    <row r="1093" spans="1:16" hidden="1" x14ac:dyDescent="0.3">
      <c r="A1093">
        <v>20</v>
      </c>
      <c r="B1093" t="str">
        <f>VLOOKUP($A1093,[1]LISTA!$B:$C,2,0)</f>
        <v>MAYO</v>
      </c>
      <c r="C1093" s="1">
        <v>2025</v>
      </c>
      <c r="D1093" s="1" t="str">
        <f>IF($A1093&lt;=[1]RESULTADOS!$D$6,"YTD","YTG")</f>
        <v>YTD</v>
      </c>
      <c r="E1093" t="s">
        <v>17</v>
      </c>
      <c r="F1093" t="s">
        <v>664</v>
      </c>
      <c r="G1093" t="s">
        <v>665</v>
      </c>
      <c r="H1093" t="s">
        <v>666</v>
      </c>
      <c r="I1093" t="s">
        <v>67</v>
      </c>
      <c r="J1093" t="str">
        <f>IFERROR(VLOOKUP(I1093,[1]AUTOS!$C:$G,2,0),"")</f>
        <v>KIA RIO</v>
      </c>
      <c r="K1093">
        <f>IFERROR(VLOOKUP(I1093,[1]AUTOS!$C:$G,3,0),"")</f>
        <v>2020</v>
      </c>
      <c r="L1093" t="str">
        <f>IFERROR(VLOOKUP(I1093,[1]AUTOS!$C:$G,4,0),"")</f>
        <v>GRIS</v>
      </c>
      <c r="M1093" t="s">
        <v>43</v>
      </c>
      <c r="N1093" s="3">
        <v>0</v>
      </c>
      <c r="O1093" s="3">
        <v>0</v>
      </c>
      <c r="P1093" s="3">
        <v>-2500</v>
      </c>
    </row>
    <row r="1094" spans="1:16" hidden="1" x14ac:dyDescent="0.3">
      <c r="A1094">
        <v>21</v>
      </c>
      <c r="B1094" t="str">
        <f>VLOOKUP($A1094,[1]LISTA!$B:$C,2,0)</f>
        <v>MAYO</v>
      </c>
      <c r="C1094" s="1">
        <v>2025</v>
      </c>
      <c r="D1094" s="1" t="str">
        <f>IF($A1094&lt;=[1]RESULTADOS!$D$6,"YTD","YTG")</f>
        <v>YTD</v>
      </c>
      <c r="E1094" t="s">
        <v>17</v>
      </c>
      <c r="F1094" t="s">
        <v>664</v>
      </c>
      <c r="G1094" t="s">
        <v>665</v>
      </c>
      <c r="H1094" t="s">
        <v>666</v>
      </c>
      <c r="I1094" t="s">
        <v>67</v>
      </c>
      <c r="J1094" t="str">
        <f>IFERROR(VLOOKUP(I1094,[1]AUTOS!$C:$G,2,0),"")</f>
        <v>KIA RIO</v>
      </c>
      <c r="K1094">
        <f>IFERROR(VLOOKUP(I1094,[1]AUTOS!$C:$G,3,0),"")</f>
        <v>2020</v>
      </c>
      <c r="L1094" t="str">
        <f>IFERROR(VLOOKUP(I1094,[1]AUTOS!$C:$G,4,0),"")</f>
        <v>GRIS</v>
      </c>
      <c r="M1094" t="s">
        <v>43</v>
      </c>
      <c r="N1094" s="3">
        <v>0</v>
      </c>
      <c r="O1094" s="3">
        <v>0</v>
      </c>
      <c r="P1094" s="3">
        <v>-2500</v>
      </c>
    </row>
    <row r="1095" spans="1:16" hidden="1" x14ac:dyDescent="0.3">
      <c r="A1095">
        <v>22</v>
      </c>
      <c r="B1095" t="str">
        <f>VLOOKUP($A1095,[1]LISTA!$B:$C,2,0)</f>
        <v>MAYO</v>
      </c>
      <c r="C1095" s="1">
        <v>2025</v>
      </c>
      <c r="D1095" s="1" t="str">
        <f>IF($A1095&lt;=[1]RESULTADOS!$D$6,"YTD","YTG")</f>
        <v>YTD</v>
      </c>
      <c r="E1095" t="s">
        <v>17</v>
      </c>
      <c r="F1095" t="s">
        <v>664</v>
      </c>
      <c r="G1095" t="s">
        <v>665</v>
      </c>
      <c r="H1095" t="s">
        <v>666</v>
      </c>
      <c r="I1095" t="s">
        <v>67</v>
      </c>
      <c r="J1095" t="str">
        <f>IFERROR(VLOOKUP(I1095,[1]AUTOS!$C:$G,2,0),"")</f>
        <v>KIA RIO</v>
      </c>
      <c r="K1095">
        <f>IFERROR(VLOOKUP(I1095,[1]AUTOS!$C:$G,3,0),"")</f>
        <v>2020</v>
      </c>
      <c r="L1095" t="str">
        <f>IFERROR(VLOOKUP(I1095,[1]AUTOS!$C:$G,4,0),"")</f>
        <v>GRIS</v>
      </c>
      <c r="M1095" t="s">
        <v>43</v>
      </c>
      <c r="N1095" s="3">
        <v>0</v>
      </c>
      <c r="O1095" s="3">
        <v>0</v>
      </c>
      <c r="P1095" s="3">
        <v>-2500</v>
      </c>
    </row>
    <row r="1096" spans="1:16" hidden="1" x14ac:dyDescent="0.3">
      <c r="A1096">
        <v>23</v>
      </c>
      <c r="B1096" t="str">
        <f>VLOOKUP($A1096,[1]LISTA!$B:$C,2,0)</f>
        <v>JUNIO</v>
      </c>
      <c r="C1096" s="1">
        <v>2025</v>
      </c>
      <c r="D1096" s="1" t="str">
        <f>IF($A1096&lt;=[1]RESULTADOS!$D$6,"YTD","YTG")</f>
        <v>YTD</v>
      </c>
      <c r="E1096" t="s">
        <v>17</v>
      </c>
      <c r="F1096" t="s">
        <v>664</v>
      </c>
      <c r="G1096" t="s">
        <v>665</v>
      </c>
      <c r="H1096" t="s">
        <v>666</v>
      </c>
      <c r="I1096" t="s">
        <v>67</v>
      </c>
      <c r="J1096" t="str">
        <f>IFERROR(VLOOKUP(I1096,[1]AUTOS!$C:$G,2,0),"")</f>
        <v>KIA RIO</v>
      </c>
      <c r="K1096">
        <f>IFERROR(VLOOKUP(I1096,[1]AUTOS!$C:$G,3,0),"")</f>
        <v>2020</v>
      </c>
      <c r="L1096" t="str">
        <f>IFERROR(VLOOKUP(I1096,[1]AUTOS!$C:$G,4,0),"")</f>
        <v>GRIS</v>
      </c>
      <c r="M1096" t="s">
        <v>43</v>
      </c>
      <c r="N1096" s="3">
        <v>0</v>
      </c>
      <c r="O1096" s="3">
        <v>0</v>
      </c>
      <c r="P1096" s="3">
        <v>-2500</v>
      </c>
    </row>
    <row r="1097" spans="1:16" hidden="1" x14ac:dyDescent="0.3">
      <c r="A1097">
        <v>24</v>
      </c>
      <c r="B1097" t="str">
        <f>VLOOKUP($A1097,[1]LISTA!$B:$C,2,0)</f>
        <v>JUNIO</v>
      </c>
      <c r="C1097" s="1">
        <v>2025</v>
      </c>
      <c r="D1097" s="1" t="str">
        <f>IF($A1097&lt;=[1]RESULTADOS!$D$6,"YTD","YTG")</f>
        <v>YTD</v>
      </c>
      <c r="E1097" t="s">
        <v>17</v>
      </c>
      <c r="F1097" t="s">
        <v>664</v>
      </c>
      <c r="G1097" t="s">
        <v>665</v>
      </c>
      <c r="H1097" t="s">
        <v>666</v>
      </c>
      <c r="I1097" t="s">
        <v>67</v>
      </c>
      <c r="J1097" t="str">
        <f>IFERROR(VLOOKUP(I1097,[1]AUTOS!$C:$G,2,0),"")</f>
        <v>KIA RIO</v>
      </c>
      <c r="K1097">
        <f>IFERROR(VLOOKUP(I1097,[1]AUTOS!$C:$G,3,0),"")</f>
        <v>2020</v>
      </c>
      <c r="L1097" t="str">
        <f>IFERROR(VLOOKUP(I1097,[1]AUTOS!$C:$G,4,0),"")</f>
        <v>GRIS</v>
      </c>
      <c r="M1097" t="s">
        <v>43</v>
      </c>
      <c r="N1097" s="3">
        <v>0</v>
      </c>
      <c r="O1097" s="3">
        <v>0</v>
      </c>
      <c r="P1097" s="3">
        <v>-2500</v>
      </c>
    </row>
    <row r="1098" spans="1:16" hidden="1" x14ac:dyDescent="0.3">
      <c r="A1098">
        <v>25</v>
      </c>
      <c r="B1098" t="str">
        <f>VLOOKUP($A1098,[1]LISTA!$B:$C,2,0)</f>
        <v>JUNIO</v>
      </c>
      <c r="C1098" s="1">
        <v>2025</v>
      </c>
      <c r="D1098" s="1" t="str">
        <f>IF($A1098&lt;=[1]RESULTADOS!$D$6,"YTD","YTG")</f>
        <v>YTD</v>
      </c>
      <c r="E1098" t="s">
        <v>17</v>
      </c>
      <c r="F1098" t="s">
        <v>664</v>
      </c>
      <c r="G1098" t="s">
        <v>665</v>
      </c>
      <c r="H1098" t="s">
        <v>666</v>
      </c>
      <c r="I1098" t="s">
        <v>67</v>
      </c>
      <c r="J1098" t="str">
        <f>IFERROR(VLOOKUP(I1098,[1]AUTOS!$C:$G,2,0),"")</f>
        <v>KIA RIO</v>
      </c>
      <c r="K1098">
        <f>IFERROR(VLOOKUP(I1098,[1]AUTOS!$C:$G,3,0),"")</f>
        <v>2020</v>
      </c>
      <c r="L1098" t="str">
        <f>IFERROR(VLOOKUP(I1098,[1]AUTOS!$C:$G,4,0),"")</f>
        <v>GRIS</v>
      </c>
      <c r="M1098" t="s">
        <v>43</v>
      </c>
      <c r="N1098" s="3">
        <v>0</v>
      </c>
      <c r="O1098" s="3">
        <v>0</v>
      </c>
      <c r="P1098" s="3">
        <v>-2500</v>
      </c>
    </row>
    <row r="1099" spans="1:16" hidden="1" x14ac:dyDescent="0.3">
      <c r="A1099">
        <v>26</v>
      </c>
      <c r="B1099" t="str">
        <f>VLOOKUP($A1099,[1]LISTA!$B:$C,2,0)</f>
        <v>JUNIO</v>
      </c>
      <c r="C1099" s="1">
        <v>2025</v>
      </c>
      <c r="D1099" s="1" t="str">
        <f>IF($A1099&lt;=[1]RESULTADOS!$D$6,"YTD","YTG")</f>
        <v>YTD</v>
      </c>
      <c r="E1099" t="s">
        <v>17</v>
      </c>
      <c r="F1099" t="s">
        <v>664</v>
      </c>
      <c r="G1099" t="s">
        <v>665</v>
      </c>
      <c r="H1099" t="s">
        <v>666</v>
      </c>
      <c r="I1099" t="s">
        <v>67</v>
      </c>
      <c r="J1099" t="str">
        <f>IFERROR(VLOOKUP(I1099,[1]AUTOS!$C:$G,2,0),"")</f>
        <v>KIA RIO</v>
      </c>
      <c r="K1099">
        <f>IFERROR(VLOOKUP(I1099,[1]AUTOS!$C:$G,3,0),"")</f>
        <v>2020</v>
      </c>
      <c r="L1099" t="str">
        <f>IFERROR(VLOOKUP(I1099,[1]AUTOS!$C:$G,4,0),"")</f>
        <v>GRIS</v>
      </c>
      <c r="M1099" t="s">
        <v>43</v>
      </c>
      <c r="N1099" s="3">
        <v>0</v>
      </c>
      <c r="O1099" s="3">
        <v>0</v>
      </c>
      <c r="P1099" s="3">
        <v>-2500</v>
      </c>
    </row>
    <row r="1100" spans="1:16" hidden="1" x14ac:dyDescent="0.3">
      <c r="A1100">
        <v>27</v>
      </c>
      <c r="B1100" t="str">
        <f>VLOOKUP($A1100,[1]LISTA!$B:$C,2,0)</f>
        <v>JULIO</v>
      </c>
      <c r="C1100" s="1">
        <v>2025</v>
      </c>
      <c r="D1100" s="1" t="str">
        <f>IF($A1100&lt;=[1]RESULTADOS!$D$6,"YTD","YTG")</f>
        <v>YTD</v>
      </c>
      <c r="E1100" t="s">
        <v>17</v>
      </c>
      <c r="F1100" t="s">
        <v>664</v>
      </c>
      <c r="G1100" t="s">
        <v>665</v>
      </c>
      <c r="H1100" t="s">
        <v>666</v>
      </c>
      <c r="I1100" t="s">
        <v>67</v>
      </c>
      <c r="J1100" t="str">
        <f>IFERROR(VLOOKUP(I1100,[1]AUTOS!$C:$G,2,0),"")</f>
        <v>KIA RIO</v>
      </c>
      <c r="K1100">
        <f>IFERROR(VLOOKUP(I1100,[1]AUTOS!$C:$G,3,0),"")</f>
        <v>2020</v>
      </c>
      <c r="L1100" t="str">
        <f>IFERROR(VLOOKUP(I1100,[1]AUTOS!$C:$G,4,0),"")</f>
        <v>GRIS</v>
      </c>
      <c r="M1100" t="s">
        <v>43</v>
      </c>
      <c r="N1100" s="3">
        <v>0</v>
      </c>
      <c r="O1100" s="3">
        <v>0</v>
      </c>
      <c r="P1100" s="3">
        <v>-2500</v>
      </c>
    </row>
    <row r="1101" spans="1:16" hidden="1" x14ac:dyDescent="0.3">
      <c r="A1101">
        <v>28</v>
      </c>
      <c r="B1101" t="str">
        <f>VLOOKUP($A1101,[1]LISTA!$B:$C,2,0)</f>
        <v>JULIO</v>
      </c>
      <c r="C1101" s="1">
        <v>2025</v>
      </c>
      <c r="D1101" s="1" t="str">
        <f>IF($A1101&lt;=[1]RESULTADOS!$D$6,"YTD","YTG")</f>
        <v>YTD</v>
      </c>
      <c r="E1101" t="s">
        <v>17</v>
      </c>
      <c r="F1101" t="s">
        <v>664</v>
      </c>
      <c r="G1101" t="s">
        <v>665</v>
      </c>
      <c r="H1101" t="s">
        <v>666</v>
      </c>
      <c r="I1101" t="s">
        <v>67</v>
      </c>
      <c r="J1101" t="str">
        <f>IFERROR(VLOOKUP(I1101,[1]AUTOS!$C:$G,2,0),"")</f>
        <v>KIA RIO</v>
      </c>
      <c r="K1101">
        <f>IFERROR(VLOOKUP(I1101,[1]AUTOS!$C:$G,3,0),"")</f>
        <v>2020</v>
      </c>
      <c r="L1101" t="str">
        <f>IFERROR(VLOOKUP(I1101,[1]AUTOS!$C:$G,4,0),"")</f>
        <v>GRIS</v>
      </c>
      <c r="M1101" t="s">
        <v>43</v>
      </c>
      <c r="N1101" s="3">
        <v>0</v>
      </c>
      <c r="O1101" s="3">
        <v>0</v>
      </c>
      <c r="P1101" s="3">
        <v>-2500</v>
      </c>
    </row>
    <row r="1102" spans="1:16" hidden="1" x14ac:dyDescent="0.3">
      <c r="A1102">
        <v>29</v>
      </c>
      <c r="B1102" t="str">
        <f>VLOOKUP($A1102,[1]LISTA!$B:$C,2,0)</f>
        <v>JULIO</v>
      </c>
      <c r="C1102" s="1">
        <v>2025</v>
      </c>
      <c r="D1102" s="1" t="str">
        <f>IF($A1102&lt;=[1]RESULTADOS!$D$6,"YTD","YTG")</f>
        <v>YTD</v>
      </c>
      <c r="E1102" t="s">
        <v>17</v>
      </c>
      <c r="F1102" t="s">
        <v>664</v>
      </c>
      <c r="G1102" t="s">
        <v>665</v>
      </c>
      <c r="H1102" t="s">
        <v>666</v>
      </c>
      <c r="I1102" t="s">
        <v>67</v>
      </c>
      <c r="J1102" t="str">
        <f>IFERROR(VLOOKUP(I1102,[1]AUTOS!$C:$G,2,0),"")</f>
        <v>KIA RIO</v>
      </c>
      <c r="K1102">
        <f>IFERROR(VLOOKUP(I1102,[1]AUTOS!$C:$G,3,0),"")</f>
        <v>2020</v>
      </c>
      <c r="L1102" t="str">
        <f>IFERROR(VLOOKUP(I1102,[1]AUTOS!$C:$G,4,0),"")</f>
        <v>GRIS</v>
      </c>
      <c r="M1102" t="s">
        <v>43</v>
      </c>
      <c r="N1102" s="3">
        <v>0</v>
      </c>
      <c r="O1102" s="3">
        <v>0</v>
      </c>
      <c r="P1102" s="3">
        <v>-2500</v>
      </c>
    </row>
    <row r="1103" spans="1:16" hidden="1" x14ac:dyDescent="0.3">
      <c r="A1103">
        <v>30</v>
      </c>
      <c r="B1103" t="str">
        <f>VLOOKUP($A1103,[1]LISTA!$B:$C,2,0)</f>
        <v>JULIO</v>
      </c>
      <c r="C1103" s="1">
        <v>2025</v>
      </c>
      <c r="D1103" s="1" t="str">
        <f>IF($A1103&lt;=[1]RESULTADOS!$D$6,"YTD","YTG")</f>
        <v>YTD</v>
      </c>
      <c r="E1103" t="s">
        <v>17</v>
      </c>
      <c r="F1103" t="s">
        <v>664</v>
      </c>
      <c r="G1103" t="s">
        <v>665</v>
      </c>
      <c r="H1103" t="s">
        <v>666</v>
      </c>
      <c r="I1103" t="s">
        <v>67</v>
      </c>
      <c r="J1103" t="str">
        <f>IFERROR(VLOOKUP(I1103,[1]AUTOS!$C:$G,2,0),"")</f>
        <v>KIA RIO</v>
      </c>
      <c r="K1103">
        <f>IFERROR(VLOOKUP(I1103,[1]AUTOS!$C:$G,3,0),"")</f>
        <v>2020</v>
      </c>
      <c r="L1103" t="str">
        <f>IFERROR(VLOOKUP(I1103,[1]AUTOS!$C:$G,4,0),"")</f>
        <v>GRIS</v>
      </c>
      <c r="M1103" t="s">
        <v>43</v>
      </c>
      <c r="N1103" s="3">
        <v>0</v>
      </c>
      <c r="O1103" s="3">
        <v>0</v>
      </c>
      <c r="P1103" s="3">
        <v>-2500</v>
      </c>
    </row>
    <row r="1104" spans="1:16" hidden="1" x14ac:dyDescent="0.3">
      <c r="A1104">
        <v>31</v>
      </c>
      <c r="B1104" t="str">
        <f>VLOOKUP($A1104,[1]LISTA!$B:$C,2,0)</f>
        <v>JULIO</v>
      </c>
      <c r="C1104" s="1">
        <v>2025</v>
      </c>
      <c r="D1104" s="1" t="str">
        <f>IF($A1104&lt;=[1]RESULTADOS!$D$6,"YTD","YTG")</f>
        <v>YTD</v>
      </c>
      <c r="E1104" t="s">
        <v>17</v>
      </c>
      <c r="F1104" t="s">
        <v>664</v>
      </c>
      <c r="G1104" t="s">
        <v>665</v>
      </c>
      <c r="H1104" t="s">
        <v>666</v>
      </c>
      <c r="I1104" t="s">
        <v>67</v>
      </c>
      <c r="J1104" t="str">
        <f>IFERROR(VLOOKUP(I1104,[1]AUTOS!$C:$G,2,0),"")</f>
        <v>KIA RIO</v>
      </c>
      <c r="K1104">
        <f>IFERROR(VLOOKUP(I1104,[1]AUTOS!$C:$G,3,0),"")</f>
        <v>2020</v>
      </c>
      <c r="L1104" t="str">
        <f>IFERROR(VLOOKUP(I1104,[1]AUTOS!$C:$G,4,0),"")</f>
        <v>GRIS</v>
      </c>
      <c r="M1104" t="s">
        <v>43</v>
      </c>
      <c r="N1104" s="3">
        <v>0</v>
      </c>
      <c r="O1104" s="3">
        <v>0</v>
      </c>
      <c r="P1104" s="3">
        <v>-2500</v>
      </c>
    </row>
    <row r="1105" spans="1:16" hidden="1" x14ac:dyDescent="0.3">
      <c r="A1105">
        <v>32</v>
      </c>
      <c r="B1105" t="str">
        <f>VLOOKUP($A1105,[1]LISTA!$B:$C,2,0)</f>
        <v>AGOSTO</v>
      </c>
      <c r="C1105" s="1">
        <v>2025</v>
      </c>
      <c r="D1105" s="1" t="str">
        <f>IF($A1105&lt;=[1]RESULTADOS!$D$6,"YTD","YTG")</f>
        <v>YTD</v>
      </c>
      <c r="E1105" t="s">
        <v>17</v>
      </c>
      <c r="F1105" t="s">
        <v>664</v>
      </c>
      <c r="G1105" t="s">
        <v>665</v>
      </c>
      <c r="H1105" t="s">
        <v>666</v>
      </c>
      <c r="I1105" t="s">
        <v>67</v>
      </c>
      <c r="J1105" t="str">
        <f>IFERROR(VLOOKUP(I1105,[1]AUTOS!$C:$G,2,0),"")</f>
        <v>KIA RIO</v>
      </c>
      <c r="K1105">
        <f>IFERROR(VLOOKUP(I1105,[1]AUTOS!$C:$G,3,0),"")</f>
        <v>2020</v>
      </c>
      <c r="L1105" t="str">
        <f>IFERROR(VLOOKUP(I1105,[1]AUTOS!$C:$G,4,0),"")</f>
        <v>GRIS</v>
      </c>
      <c r="M1105" t="s">
        <v>43</v>
      </c>
      <c r="N1105" s="3">
        <v>0</v>
      </c>
      <c r="O1105" s="3">
        <v>0</v>
      </c>
      <c r="P1105" s="3">
        <v>-2500</v>
      </c>
    </row>
    <row r="1106" spans="1:16" hidden="1" x14ac:dyDescent="0.3">
      <c r="A1106">
        <v>33</v>
      </c>
      <c r="B1106" t="str">
        <f>VLOOKUP($A1106,[1]LISTA!$B:$C,2,0)</f>
        <v>AGOSTO</v>
      </c>
      <c r="C1106" s="1">
        <v>2025</v>
      </c>
      <c r="D1106" s="1" t="str">
        <f>IF($A1106&lt;=[1]RESULTADOS!$D$6,"YTD","YTG")</f>
        <v>YTD</v>
      </c>
      <c r="E1106" t="s">
        <v>17</v>
      </c>
      <c r="F1106" t="s">
        <v>664</v>
      </c>
      <c r="G1106" t="s">
        <v>665</v>
      </c>
      <c r="H1106" t="s">
        <v>666</v>
      </c>
      <c r="I1106" t="s">
        <v>67</v>
      </c>
      <c r="J1106" t="str">
        <f>IFERROR(VLOOKUP(I1106,[1]AUTOS!$C:$G,2,0),"")</f>
        <v>KIA RIO</v>
      </c>
      <c r="K1106">
        <f>IFERROR(VLOOKUP(I1106,[1]AUTOS!$C:$G,3,0),"")</f>
        <v>2020</v>
      </c>
      <c r="L1106" t="str">
        <f>IFERROR(VLOOKUP(I1106,[1]AUTOS!$C:$G,4,0),"")</f>
        <v>GRIS</v>
      </c>
      <c r="M1106" t="s">
        <v>43</v>
      </c>
      <c r="N1106" s="3">
        <v>0</v>
      </c>
      <c r="O1106" s="3">
        <v>0</v>
      </c>
      <c r="P1106" s="3">
        <v>-2500</v>
      </c>
    </row>
    <row r="1107" spans="1:16" hidden="1" x14ac:dyDescent="0.3">
      <c r="A1107">
        <v>34</v>
      </c>
      <c r="B1107" t="str">
        <f>VLOOKUP($A1107,[1]LISTA!$B:$C,2,0)</f>
        <v>AGOSTO</v>
      </c>
      <c r="C1107" s="1">
        <v>2025</v>
      </c>
      <c r="D1107" s="1" t="str">
        <f>IF($A1107&lt;=[1]RESULTADOS!$D$6,"YTD","YTG")</f>
        <v>YTD</v>
      </c>
      <c r="E1107" t="s">
        <v>17</v>
      </c>
      <c r="F1107" t="s">
        <v>664</v>
      </c>
      <c r="G1107" t="s">
        <v>665</v>
      </c>
      <c r="H1107" t="s">
        <v>666</v>
      </c>
      <c r="I1107" t="s">
        <v>67</v>
      </c>
      <c r="J1107" t="str">
        <f>IFERROR(VLOOKUP(I1107,[1]AUTOS!$C:$G,2,0),"")</f>
        <v>KIA RIO</v>
      </c>
      <c r="K1107">
        <f>IFERROR(VLOOKUP(I1107,[1]AUTOS!$C:$G,3,0),"")</f>
        <v>2020</v>
      </c>
      <c r="L1107" t="str">
        <f>IFERROR(VLOOKUP(I1107,[1]AUTOS!$C:$G,4,0),"")</f>
        <v>GRIS</v>
      </c>
      <c r="M1107" t="s">
        <v>43</v>
      </c>
      <c r="N1107" s="3">
        <v>0</v>
      </c>
      <c r="O1107" s="3">
        <v>0</v>
      </c>
      <c r="P1107" s="3">
        <v>-2500</v>
      </c>
    </row>
    <row r="1108" spans="1:16" hidden="1" x14ac:dyDescent="0.3">
      <c r="A1108">
        <v>35</v>
      </c>
      <c r="B1108" t="str">
        <f>VLOOKUP($A1108,[1]LISTA!$B:$C,2,0)</f>
        <v>AGOSTO</v>
      </c>
      <c r="C1108" s="1">
        <v>2025</v>
      </c>
      <c r="D1108" s="1" t="str">
        <f>IF($A1108&lt;=[1]RESULTADOS!$D$6,"YTD","YTG")</f>
        <v>YTD</v>
      </c>
      <c r="E1108" t="s">
        <v>17</v>
      </c>
      <c r="F1108" t="s">
        <v>664</v>
      </c>
      <c r="G1108" t="s">
        <v>665</v>
      </c>
      <c r="H1108" t="s">
        <v>666</v>
      </c>
      <c r="I1108" t="s">
        <v>67</v>
      </c>
      <c r="J1108" t="str">
        <f>IFERROR(VLOOKUP(I1108,[1]AUTOS!$C:$G,2,0),"")</f>
        <v>KIA RIO</v>
      </c>
      <c r="K1108">
        <f>IFERROR(VLOOKUP(I1108,[1]AUTOS!$C:$G,3,0),"")</f>
        <v>2020</v>
      </c>
      <c r="L1108" t="str">
        <f>IFERROR(VLOOKUP(I1108,[1]AUTOS!$C:$G,4,0),"")</f>
        <v>GRIS</v>
      </c>
      <c r="M1108" t="s">
        <v>43</v>
      </c>
      <c r="N1108" s="3">
        <v>0</v>
      </c>
      <c r="O1108" s="3">
        <v>0</v>
      </c>
      <c r="P1108" s="3">
        <v>-2500</v>
      </c>
    </row>
    <row r="1109" spans="1:16" hidden="1" x14ac:dyDescent="0.3">
      <c r="A1109">
        <v>36</v>
      </c>
      <c r="B1109" t="str">
        <f>VLOOKUP($A1109,[1]LISTA!$B:$C,2,0)</f>
        <v>SEPTIEMBRE</v>
      </c>
      <c r="C1109" s="1">
        <v>2025</v>
      </c>
      <c r="D1109" s="1" t="str">
        <f>IF($A1109&lt;=[1]RESULTADOS!$D$6,"YTD","YTG")</f>
        <v>YTD</v>
      </c>
      <c r="E1109" t="s">
        <v>17</v>
      </c>
      <c r="F1109" t="s">
        <v>664</v>
      </c>
      <c r="G1109" t="s">
        <v>665</v>
      </c>
      <c r="H1109" t="s">
        <v>666</v>
      </c>
      <c r="I1109" t="s">
        <v>67</v>
      </c>
      <c r="J1109" t="str">
        <f>IFERROR(VLOOKUP(I1109,[1]AUTOS!$C:$G,2,0),"")</f>
        <v>KIA RIO</v>
      </c>
      <c r="K1109">
        <f>IFERROR(VLOOKUP(I1109,[1]AUTOS!$C:$G,3,0),"")</f>
        <v>2020</v>
      </c>
      <c r="L1109" t="str">
        <f>IFERROR(VLOOKUP(I1109,[1]AUTOS!$C:$G,4,0),"")</f>
        <v>GRIS</v>
      </c>
      <c r="M1109" t="s">
        <v>43</v>
      </c>
      <c r="N1109" s="3">
        <v>0</v>
      </c>
      <c r="O1109" s="3">
        <v>0</v>
      </c>
      <c r="P1109" s="3">
        <v>-2500</v>
      </c>
    </row>
    <row r="1110" spans="1:16" hidden="1" x14ac:dyDescent="0.3">
      <c r="A1110">
        <v>37</v>
      </c>
      <c r="B1110" t="str">
        <f>VLOOKUP($A1110,[1]LISTA!$B:$C,2,0)</f>
        <v>SEPTIEMBRE</v>
      </c>
      <c r="C1110" s="1">
        <v>2025</v>
      </c>
      <c r="D1110" s="1" t="str">
        <f>IF($A1110&lt;=[1]RESULTADOS!$D$6,"YTD","YTG")</f>
        <v>YTD</v>
      </c>
      <c r="E1110" t="s">
        <v>17</v>
      </c>
      <c r="F1110" t="s">
        <v>664</v>
      </c>
      <c r="G1110" t="s">
        <v>665</v>
      </c>
      <c r="H1110" t="s">
        <v>666</v>
      </c>
      <c r="I1110" t="s">
        <v>67</v>
      </c>
      <c r="J1110" t="str">
        <f>IFERROR(VLOOKUP(I1110,[1]AUTOS!$C:$G,2,0),"")</f>
        <v>KIA RIO</v>
      </c>
      <c r="K1110">
        <f>IFERROR(VLOOKUP(I1110,[1]AUTOS!$C:$G,3,0),"")</f>
        <v>2020</v>
      </c>
      <c r="L1110" t="str">
        <f>IFERROR(VLOOKUP(I1110,[1]AUTOS!$C:$G,4,0),"")</f>
        <v>GRIS</v>
      </c>
      <c r="M1110" t="s">
        <v>43</v>
      </c>
      <c r="N1110" s="3">
        <v>0</v>
      </c>
      <c r="O1110" s="3">
        <v>0</v>
      </c>
      <c r="P1110" s="3">
        <v>-2500</v>
      </c>
    </row>
    <row r="1111" spans="1:16" hidden="1" x14ac:dyDescent="0.3">
      <c r="A1111">
        <v>38</v>
      </c>
      <c r="B1111" t="str">
        <f>VLOOKUP($A1111,[1]LISTA!$B:$C,2,0)</f>
        <v>SEPTIEMBRE</v>
      </c>
      <c r="C1111" s="1">
        <v>2025</v>
      </c>
      <c r="D1111" s="1" t="str">
        <f>IF($A1111&lt;=[1]RESULTADOS!$D$6,"YTD","YTG")</f>
        <v>YTD</v>
      </c>
      <c r="E1111" t="s">
        <v>17</v>
      </c>
      <c r="F1111" t="s">
        <v>664</v>
      </c>
      <c r="G1111" t="s">
        <v>665</v>
      </c>
      <c r="H1111" t="s">
        <v>666</v>
      </c>
      <c r="I1111" t="s">
        <v>67</v>
      </c>
      <c r="J1111" t="str">
        <f>IFERROR(VLOOKUP(I1111,[1]AUTOS!$C:$G,2,0),"")</f>
        <v>KIA RIO</v>
      </c>
      <c r="K1111">
        <f>IFERROR(VLOOKUP(I1111,[1]AUTOS!$C:$G,3,0),"")</f>
        <v>2020</v>
      </c>
      <c r="L1111" t="str">
        <f>IFERROR(VLOOKUP(I1111,[1]AUTOS!$C:$G,4,0),"")</f>
        <v>GRIS</v>
      </c>
      <c r="M1111" t="s">
        <v>43</v>
      </c>
      <c r="N1111" s="3">
        <v>0</v>
      </c>
      <c r="O1111" s="3">
        <v>0</v>
      </c>
      <c r="P1111" s="3">
        <v>-2500</v>
      </c>
    </row>
    <row r="1112" spans="1:16" hidden="1" x14ac:dyDescent="0.3">
      <c r="A1112">
        <v>39</v>
      </c>
      <c r="B1112" t="str">
        <f>VLOOKUP($A1112,[1]LISTA!$B:$C,2,0)</f>
        <v>SEPTIEMBRE</v>
      </c>
      <c r="C1112" s="1">
        <v>2025</v>
      </c>
      <c r="D1112" s="1" t="str">
        <f>IF($A1112&lt;=[1]RESULTADOS!$D$6,"YTD","YTG")</f>
        <v>YTD</v>
      </c>
      <c r="E1112" t="s">
        <v>17</v>
      </c>
      <c r="F1112" t="s">
        <v>664</v>
      </c>
      <c r="G1112" t="s">
        <v>665</v>
      </c>
      <c r="H1112" t="s">
        <v>666</v>
      </c>
      <c r="I1112" t="s">
        <v>67</v>
      </c>
      <c r="J1112" t="str">
        <f>IFERROR(VLOOKUP(I1112,[1]AUTOS!$C:$G,2,0),"")</f>
        <v>KIA RIO</v>
      </c>
      <c r="K1112">
        <f>IFERROR(VLOOKUP(I1112,[1]AUTOS!$C:$G,3,0),"")</f>
        <v>2020</v>
      </c>
      <c r="L1112" t="str">
        <f>IFERROR(VLOOKUP(I1112,[1]AUTOS!$C:$G,4,0),"")</f>
        <v>GRIS</v>
      </c>
      <c r="M1112" t="s">
        <v>43</v>
      </c>
      <c r="N1112" s="3">
        <v>0</v>
      </c>
      <c r="O1112" s="3">
        <v>0</v>
      </c>
      <c r="P1112" s="3">
        <v>-2500</v>
      </c>
    </row>
    <row r="1113" spans="1:16" hidden="1" x14ac:dyDescent="0.3">
      <c r="A1113">
        <v>40</v>
      </c>
      <c r="B1113" t="str">
        <f>VLOOKUP($A1113,[1]LISTA!$B:$C,2,0)</f>
        <v>OCTUBRE</v>
      </c>
      <c r="C1113" s="1">
        <v>2025</v>
      </c>
      <c r="D1113" s="1" t="str">
        <f>IF($A1113&lt;=[1]RESULTADOS!$D$6,"YTD","YTG")</f>
        <v>YTG</v>
      </c>
      <c r="E1113" t="s">
        <v>17</v>
      </c>
      <c r="F1113" t="s">
        <v>664</v>
      </c>
      <c r="G1113" t="s">
        <v>665</v>
      </c>
      <c r="H1113" t="s">
        <v>666</v>
      </c>
      <c r="I1113" t="s">
        <v>67</v>
      </c>
      <c r="J1113" t="str">
        <f>IFERROR(VLOOKUP(I1113,[1]AUTOS!$C:$G,2,0),"")</f>
        <v>KIA RIO</v>
      </c>
      <c r="K1113">
        <f>IFERROR(VLOOKUP(I1113,[1]AUTOS!$C:$G,3,0),"")</f>
        <v>2020</v>
      </c>
      <c r="L1113" t="str">
        <f>IFERROR(VLOOKUP(I1113,[1]AUTOS!$C:$G,4,0),"")</f>
        <v>GRIS</v>
      </c>
      <c r="M1113" t="s">
        <v>43</v>
      </c>
      <c r="N1113" s="3">
        <v>0</v>
      </c>
      <c r="O1113" s="3">
        <v>0</v>
      </c>
      <c r="P1113" s="3">
        <v>-2500</v>
      </c>
    </row>
    <row r="1114" spans="1:16" hidden="1" x14ac:dyDescent="0.3">
      <c r="A1114">
        <v>41</v>
      </c>
      <c r="B1114" t="str">
        <f>VLOOKUP($A1114,[1]LISTA!$B:$C,2,0)</f>
        <v>OCTUBRE</v>
      </c>
      <c r="C1114" s="1">
        <v>2025</v>
      </c>
      <c r="D1114" s="1" t="str">
        <f>IF($A1114&lt;=[1]RESULTADOS!$D$6,"YTD","YTG")</f>
        <v>YTG</v>
      </c>
      <c r="E1114" t="s">
        <v>17</v>
      </c>
      <c r="F1114" t="s">
        <v>664</v>
      </c>
      <c r="G1114" t="s">
        <v>665</v>
      </c>
      <c r="H1114" t="s">
        <v>666</v>
      </c>
      <c r="I1114" t="s">
        <v>67</v>
      </c>
      <c r="J1114" t="str">
        <f>IFERROR(VLOOKUP(I1114,[1]AUTOS!$C:$G,2,0),"")</f>
        <v>KIA RIO</v>
      </c>
      <c r="K1114">
        <f>IFERROR(VLOOKUP(I1114,[1]AUTOS!$C:$G,3,0),"")</f>
        <v>2020</v>
      </c>
      <c r="L1114" t="str">
        <f>IFERROR(VLOOKUP(I1114,[1]AUTOS!$C:$G,4,0),"")</f>
        <v>GRIS</v>
      </c>
      <c r="M1114" t="s">
        <v>43</v>
      </c>
      <c r="N1114" s="3">
        <v>0</v>
      </c>
      <c r="O1114" s="3">
        <v>0</v>
      </c>
      <c r="P1114" s="3">
        <v>-2500</v>
      </c>
    </row>
    <row r="1115" spans="1:16" hidden="1" x14ac:dyDescent="0.3">
      <c r="A1115">
        <v>42</v>
      </c>
      <c r="B1115" t="str">
        <f>VLOOKUP($A1115,[1]LISTA!$B:$C,2,0)</f>
        <v>OCTUBRE</v>
      </c>
      <c r="C1115" s="1">
        <v>2025</v>
      </c>
      <c r="D1115" s="1" t="str">
        <f>IF($A1115&lt;=[1]RESULTADOS!$D$6,"YTD","YTG")</f>
        <v>YTG</v>
      </c>
      <c r="E1115" t="s">
        <v>17</v>
      </c>
      <c r="F1115" t="s">
        <v>664</v>
      </c>
      <c r="G1115" t="s">
        <v>665</v>
      </c>
      <c r="H1115" t="s">
        <v>666</v>
      </c>
      <c r="I1115" t="s">
        <v>67</v>
      </c>
      <c r="J1115" t="str">
        <f>IFERROR(VLOOKUP(I1115,[1]AUTOS!$C:$G,2,0),"")</f>
        <v>KIA RIO</v>
      </c>
      <c r="K1115">
        <f>IFERROR(VLOOKUP(I1115,[1]AUTOS!$C:$G,3,0),"")</f>
        <v>2020</v>
      </c>
      <c r="L1115" t="str">
        <f>IFERROR(VLOOKUP(I1115,[1]AUTOS!$C:$G,4,0),"")</f>
        <v>GRIS</v>
      </c>
      <c r="M1115" t="s">
        <v>43</v>
      </c>
      <c r="N1115" s="3">
        <v>0</v>
      </c>
      <c r="O1115" s="3">
        <v>0</v>
      </c>
      <c r="P1115" s="3">
        <v>-2500</v>
      </c>
    </row>
    <row r="1116" spans="1:16" hidden="1" x14ac:dyDescent="0.3">
      <c r="A1116">
        <v>43</v>
      </c>
      <c r="B1116" t="str">
        <f>VLOOKUP($A1116,[1]LISTA!$B:$C,2,0)</f>
        <v>OCTUBRE</v>
      </c>
      <c r="C1116" s="1">
        <v>2025</v>
      </c>
      <c r="D1116" s="1" t="str">
        <f>IF($A1116&lt;=[1]RESULTADOS!$D$6,"YTD","YTG")</f>
        <v>YTG</v>
      </c>
      <c r="E1116" t="s">
        <v>17</v>
      </c>
      <c r="F1116" t="s">
        <v>664</v>
      </c>
      <c r="G1116" t="s">
        <v>665</v>
      </c>
      <c r="H1116" t="s">
        <v>666</v>
      </c>
      <c r="I1116" t="s">
        <v>67</v>
      </c>
      <c r="J1116" t="str">
        <f>IFERROR(VLOOKUP(I1116,[1]AUTOS!$C:$G,2,0),"")</f>
        <v>KIA RIO</v>
      </c>
      <c r="K1116">
        <f>IFERROR(VLOOKUP(I1116,[1]AUTOS!$C:$G,3,0),"")</f>
        <v>2020</v>
      </c>
      <c r="L1116" t="str">
        <f>IFERROR(VLOOKUP(I1116,[1]AUTOS!$C:$G,4,0),"")</f>
        <v>GRIS</v>
      </c>
      <c r="M1116" t="s">
        <v>43</v>
      </c>
      <c r="N1116" s="3">
        <v>0</v>
      </c>
      <c r="O1116" s="3">
        <v>0</v>
      </c>
      <c r="P1116" s="3">
        <v>-2500</v>
      </c>
    </row>
    <row r="1117" spans="1:16" hidden="1" x14ac:dyDescent="0.3">
      <c r="A1117">
        <v>44</v>
      </c>
      <c r="B1117" t="str">
        <f>VLOOKUP($A1117,[1]LISTA!$B:$C,2,0)</f>
        <v>OCTUBRE</v>
      </c>
      <c r="C1117" s="1">
        <v>2025</v>
      </c>
      <c r="D1117" s="1" t="str">
        <f>IF($A1117&lt;=[1]RESULTADOS!$D$6,"YTD","YTG")</f>
        <v>YTG</v>
      </c>
      <c r="E1117" t="s">
        <v>17</v>
      </c>
      <c r="F1117" t="s">
        <v>664</v>
      </c>
      <c r="G1117" t="s">
        <v>665</v>
      </c>
      <c r="H1117" t="s">
        <v>666</v>
      </c>
      <c r="I1117" t="s">
        <v>67</v>
      </c>
      <c r="J1117" t="str">
        <f>IFERROR(VLOOKUP(I1117,[1]AUTOS!$C:$G,2,0),"")</f>
        <v>KIA RIO</v>
      </c>
      <c r="K1117">
        <f>IFERROR(VLOOKUP(I1117,[1]AUTOS!$C:$G,3,0),"")</f>
        <v>2020</v>
      </c>
      <c r="L1117" t="str">
        <f>IFERROR(VLOOKUP(I1117,[1]AUTOS!$C:$G,4,0),"")</f>
        <v>GRIS</v>
      </c>
      <c r="M1117" t="s">
        <v>43</v>
      </c>
      <c r="N1117" s="3">
        <v>0</v>
      </c>
      <c r="O1117" s="3">
        <v>0</v>
      </c>
      <c r="P1117" s="3">
        <v>-2500</v>
      </c>
    </row>
    <row r="1118" spans="1:16" hidden="1" x14ac:dyDescent="0.3">
      <c r="A1118">
        <v>45</v>
      </c>
      <c r="B1118" t="str">
        <f>VLOOKUP($A1118,[1]LISTA!$B:$C,2,0)</f>
        <v>NOVIEMBRE</v>
      </c>
      <c r="C1118" s="1">
        <v>2025</v>
      </c>
      <c r="D1118" s="1" t="str">
        <f>IF($A1118&lt;=[1]RESULTADOS!$D$6,"YTD","YTG")</f>
        <v>YTG</v>
      </c>
      <c r="E1118" t="s">
        <v>17</v>
      </c>
      <c r="F1118" t="s">
        <v>664</v>
      </c>
      <c r="G1118" t="s">
        <v>665</v>
      </c>
      <c r="H1118" t="s">
        <v>666</v>
      </c>
      <c r="I1118" t="s">
        <v>67</v>
      </c>
      <c r="J1118" t="str">
        <f>IFERROR(VLOOKUP(I1118,[1]AUTOS!$C:$G,2,0),"")</f>
        <v>KIA RIO</v>
      </c>
      <c r="K1118">
        <f>IFERROR(VLOOKUP(I1118,[1]AUTOS!$C:$G,3,0),"")</f>
        <v>2020</v>
      </c>
      <c r="L1118" t="str">
        <f>IFERROR(VLOOKUP(I1118,[1]AUTOS!$C:$G,4,0),"")</f>
        <v>GRIS</v>
      </c>
      <c r="M1118" t="s">
        <v>43</v>
      </c>
      <c r="N1118" s="3">
        <v>0</v>
      </c>
      <c r="O1118" s="3">
        <v>0</v>
      </c>
      <c r="P1118" s="3">
        <v>-2500</v>
      </c>
    </row>
    <row r="1119" spans="1:16" hidden="1" x14ac:dyDescent="0.3">
      <c r="A1119">
        <v>46</v>
      </c>
      <c r="B1119" t="str">
        <f>VLOOKUP($A1119,[1]LISTA!$B:$C,2,0)</f>
        <v>NOVIEMBRE</v>
      </c>
      <c r="C1119" s="1">
        <v>2025</v>
      </c>
      <c r="D1119" s="1" t="str">
        <f>IF($A1119&lt;=[1]RESULTADOS!$D$6,"YTD","YTG")</f>
        <v>YTG</v>
      </c>
      <c r="E1119" t="s">
        <v>17</v>
      </c>
      <c r="F1119" t="s">
        <v>664</v>
      </c>
      <c r="G1119" t="s">
        <v>665</v>
      </c>
      <c r="H1119" t="s">
        <v>666</v>
      </c>
      <c r="I1119" t="s">
        <v>67</v>
      </c>
      <c r="J1119" t="str">
        <f>IFERROR(VLOOKUP(I1119,[1]AUTOS!$C:$G,2,0),"")</f>
        <v>KIA RIO</v>
      </c>
      <c r="K1119">
        <f>IFERROR(VLOOKUP(I1119,[1]AUTOS!$C:$G,3,0),"")</f>
        <v>2020</v>
      </c>
      <c r="L1119" t="str">
        <f>IFERROR(VLOOKUP(I1119,[1]AUTOS!$C:$G,4,0),"")</f>
        <v>GRIS</v>
      </c>
      <c r="M1119" t="s">
        <v>43</v>
      </c>
      <c r="N1119" s="3">
        <v>0</v>
      </c>
      <c r="O1119" s="3">
        <v>0</v>
      </c>
      <c r="P1119" s="3">
        <v>-2500</v>
      </c>
    </row>
    <row r="1120" spans="1:16" hidden="1" x14ac:dyDescent="0.3">
      <c r="A1120">
        <v>47</v>
      </c>
      <c r="B1120" t="str">
        <f>VLOOKUP($A1120,[1]LISTA!$B:$C,2,0)</f>
        <v>NOVIEMBRE</v>
      </c>
      <c r="C1120" s="1">
        <v>2025</v>
      </c>
      <c r="D1120" s="1" t="str">
        <f>IF($A1120&lt;=[1]RESULTADOS!$D$6,"YTD","YTG")</f>
        <v>YTG</v>
      </c>
      <c r="E1120" t="s">
        <v>17</v>
      </c>
      <c r="F1120" t="s">
        <v>664</v>
      </c>
      <c r="G1120" t="s">
        <v>665</v>
      </c>
      <c r="H1120" t="s">
        <v>666</v>
      </c>
      <c r="I1120" t="s">
        <v>67</v>
      </c>
      <c r="J1120" t="str">
        <f>IFERROR(VLOOKUP(I1120,[1]AUTOS!$C:$G,2,0),"")</f>
        <v>KIA RIO</v>
      </c>
      <c r="K1120">
        <f>IFERROR(VLOOKUP(I1120,[1]AUTOS!$C:$G,3,0),"")</f>
        <v>2020</v>
      </c>
      <c r="L1120" t="str">
        <f>IFERROR(VLOOKUP(I1120,[1]AUTOS!$C:$G,4,0),"")</f>
        <v>GRIS</v>
      </c>
      <c r="M1120" t="s">
        <v>43</v>
      </c>
      <c r="N1120" s="3">
        <v>0</v>
      </c>
      <c r="O1120" s="3">
        <v>0</v>
      </c>
      <c r="P1120" s="3">
        <v>-2500</v>
      </c>
    </row>
    <row r="1121" spans="1:16" hidden="1" x14ac:dyDescent="0.3">
      <c r="A1121">
        <v>48</v>
      </c>
      <c r="B1121" t="str">
        <f>VLOOKUP($A1121,[1]LISTA!$B:$C,2,0)</f>
        <v>NOVIEMBRE</v>
      </c>
      <c r="C1121" s="1">
        <v>2025</v>
      </c>
      <c r="D1121" s="1" t="str">
        <f>IF($A1121&lt;=[1]RESULTADOS!$D$6,"YTD","YTG")</f>
        <v>YTG</v>
      </c>
      <c r="E1121" t="s">
        <v>17</v>
      </c>
      <c r="F1121" t="s">
        <v>664</v>
      </c>
      <c r="G1121" t="s">
        <v>665</v>
      </c>
      <c r="H1121" t="s">
        <v>666</v>
      </c>
      <c r="I1121" t="s">
        <v>67</v>
      </c>
      <c r="J1121" t="str">
        <f>IFERROR(VLOOKUP(I1121,[1]AUTOS!$C:$G,2,0),"")</f>
        <v>KIA RIO</v>
      </c>
      <c r="K1121">
        <f>IFERROR(VLOOKUP(I1121,[1]AUTOS!$C:$G,3,0),"")</f>
        <v>2020</v>
      </c>
      <c r="L1121" t="str">
        <f>IFERROR(VLOOKUP(I1121,[1]AUTOS!$C:$G,4,0),"")</f>
        <v>GRIS</v>
      </c>
      <c r="M1121" t="s">
        <v>43</v>
      </c>
      <c r="N1121" s="3">
        <v>0</v>
      </c>
      <c r="O1121" s="3">
        <v>0</v>
      </c>
      <c r="P1121" s="3">
        <v>-2500</v>
      </c>
    </row>
    <row r="1122" spans="1:16" hidden="1" x14ac:dyDescent="0.3">
      <c r="A1122">
        <v>49</v>
      </c>
      <c r="B1122" t="str">
        <f>VLOOKUP($A1122,[1]LISTA!$B:$C,2,0)</f>
        <v>DICIEMBRE</v>
      </c>
      <c r="C1122" s="1">
        <v>2025</v>
      </c>
      <c r="D1122" s="1" t="str">
        <f>IF($A1122&lt;=[1]RESULTADOS!$D$6,"YTD","YTG")</f>
        <v>YTG</v>
      </c>
      <c r="E1122" t="s">
        <v>17</v>
      </c>
      <c r="F1122" t="s">
        <v>664</v>
      </c>
      <c r="G1122" t="s">
        <v>665</v>
      </c>
      <c r="H1122" t="s">
        <v>666</v>
      </c>
      <c r="I1122" t="s">
        <v>67</v>
      </c>
      <c r="J1122" t="str">
        <f>IFERROR(VLOOKUP(I1122,[1]AUTOS!$C:$G,2,0),"")</f>
        <v>KIA RIO</v>
      </c>
      <c r="K1122">
        <f>IFERROR(VLOOKUP(I1122,[1]AUTOS!$C:$G,3,0),"")</f>
        <v>2020</v>
      </c>
      <c r="L1122" t="str">
        <f>IFERROR(VLOOKUP(I1122,[1]AUTOS!$C:$G,4,0),"")</f>
        <v>GRIS</v>
      </c>
      <c r="M1122" t="s">
        <v>43</v>
      </c>
      <c r="N1122" s="3">
        <v>0</v>
      </c>
      <c r="O1122" s="3">
        <v>0</v>
      </c>
      <c r="P1122" s="3">
        <v>-2500</v>
      </c>
    </row>
    <row r="1123" spans="1:16" hidden="1" x14ac:dyDescent="0.3">
      <c r="A1123">
        <v>50</v>
      </c>
      <c r="B1123" t="str">
        <f>VLOOKUP($A1123,[1]LISTA!$B:$C,2,0)</f>
        <v>DICIEMBRE</v>
      </c>
      <c r="C1123" s="1">
        <v>2025</v>
      </c>
      <c r="D1123" s="1" t="str">
        <f>IF($A1123&lt;=[1]RESULTADOS!$D$6,"YTD","YTG")</f>
        <v>YTG</v>
      </c>
      <c r="E1123" t="s">
        <v>17</v>
      </c>
      <c r="F1123" t="s">
        <v>664</v>
      </c>
      <c r="G1123" t="s">
        <v>665</v>
      </c>
      <c r="H1123" t="s">
        <v>666</v>
      </c>
      <c r="I1123" t="s">
        <v>67</v>
      </c>
      <c r="J1123" t="str">
        <f>IFERROR(VLOOKUP(I1123,[1]AUTOS!$C:$G,2,0),"")</f>
        <v>KIA RIO</v>
      </c>
      <c r="K1123">
        <f>IFERROR(VLOOKUP(I1123,[1]AUTOS!$C:$G,3,0),"")</f>
        <v>2020</v>
      </c>
      <c r="L1123" t="str">
        <f>IFERROR(VLOOKUP(I1123,[1]AUTOS!$C:$G,4,0),"")</f>
        <v>GRIS</v>
      </c>
      <c r="M1123" t="s">
        <v>43</v>
      </c>
      <c r="N1123" s="3">
        <v>0</v>
      </c>
      <c r="O1123" s="3">
        <v>0</v>
      </c>
      <c r="P1123" s="3">
        <v>-2500</v>
      </c>
    </row>
    <row r="1124" spans="1:16" hidden="1" x14ac:dyDescent="0.3">
      <c r="A1124">
        <v>51</v>
      </c>
      <c r="B1124" t="str">
        <f>VLOOKUP($A1124,[1]LISTA!$B:$C,2,0)</f>
        <v>DICIEMBRE</v>
      </c>
      <c r="C1124" s="1">
        <v>2025</v>
      </c>
      <c r="D1124" s="1" t="str">
        <f>IF($A1124&lt;=[1]RESULTADOS!$D$6,"YTD","YTG")</f>
        <v>YTG</v>
      </c>
      <c r="E1124" t="s">
        <v>17</v>
      </c>
      <c r="F1124" t="s">
        <v>664</v>
      </c>
      <c r="G1124" t="s">
        <v>665</v>
      </c>
      <c r="H1124" t="s">
        <v>666</v>
      </c>
      <c r="I1124" t="s">
        <v>67</v>
      </c>
      <c r="J1124" t="str">
        <f>IFERROR(VLOOKUP(I1124,[1]AUTOS!$C:$G,2,0),"")</f>
        <v>KIA RIO</v>
      </c>
      <c r="K1124">
        <f>IFERROR(VLOOKUP(I1124,[1]AUTOS!$C:$G,3,0),"")</f>
        <v>2020</v>
      </c>
      <c r="L1124" t="str">
        <f>IFERROR(VLOOKUP(I1124,[1]AUTOS!$C:$G,4,0),"")</f>
        <v>GRIS</v>
      </c>
      <c r="M1124" t="s">
        <v>43</v>
      </c>
      <c r="N1124" s="3">
        <v>0</v>
      </c>
      <c r="O1124" s="3">
        <v>0</v>
      </c>
      <c r="P1124" s="3">
        <v>-2500</v>
      </c>
    </row>
    <row r="1125" spans="1:16" hidden="1" x14ac:dyDescent="0.3">
      <c r="A1125">
        <v>52</v>
      </c>
      <c r="B1125" t="str">
        <f>VLOOKUP($A1125,[1]LISTA!$B:$C,2,0)</f>
        <v>DICIEMBRE</v>
      </c>
      <c r="C1125" s="1">
        <v>2025</v>
      </c>
      <c r="D1125" s="1" t="str">
        <f>IF($A1125&lt;=[1]RESULTADOS!$D$6,"YTD","YTG")</f>
        <v>YTG</v>
      </c>
      <c r="E1125" t="s">
        <v>17</v>
      </c>
      <c r="F1125" t="s">
        <v>664</v>
      </c>
      <c r="G1125" t="s">
        <v>665</v>
      </c>
      <c r="H1125" t="s">
        <v>666</v>
      </c>
      <c r="I1125" t="s">
        <v>67</v>
      </c>
      <c r="J1125" t="str">
        <f>IFERROR(VLOOKUP(I1125,[1]AUTOS!$C:$G,2,0),"")</f>
        <v>KIA RIO</v>
      </c>
      <c r="K1125">
        <f>IFERROR(VLOOKUP(I1125,[1]AUTOS!$C:$G,3,0),"")</f>
        <v>2020</v>
      </c>
      <c r="L1125" t="str">
        <f>IFERROR(VLOOKUP(I1125,[1]AUTOS!$C:$G,4,0),"")</f>
        <v>GRIS</v>
      </c>
      <c r="M1125" t="s">
        <v>43</v>
      </c>
      <c r="N1125" s="3">
        <v>0</v>
      </c>
      <c r="O1125" s="3">
        <v>0</v>
      </c>
      <c r="P1125" s="3">
        <v>-2500</v>
      </c>
    </row>
    <row r="1126" spans="1:16" hidden="1" x14ac:dyDescent="0.3">
      <c r="A1126">
        <v>1</v>
      </c>
      <c r="B1126" t="str">
        <f>VLOOKUP($A1126,[1]LISTA!$B:$C,2,0)</f>
        <v>ENERO</v>
      </c>
      <c r="C1126" s="1">
        <v>2025</v>
      </c>
      <c r="D1126" s="1" t="str">
        <f>IF($A1126&lt;=[1]RESULTADOS!$D$6,"YTD","YTG")</f>
        <v>YTD</v>
      </c>
      <c r="E1126" t="s">
        <v>17</v>
      </c>
      <c r="F1126" t="s">
        <v>664</v>
      </c>
      <c r="G1126" t="s">
        <v>665</v>
      </c>
      <c r="H1126" t="s">
        <v>666</v>
      </c>
      <c r="I1126" t="s">
        <v>42</v>
      </c>
      <c r="J1126" t="str">
        <f>IFERROR(VLOOKUP(I1126,[1]AUTOS!$C:$G,2,0),"")</f>
        <v>VENTO</v>
      </c>
      <c r="K1126">
        <f>IFERROR(VLOOKUP(I1126,[1]AUTOS!$C:$G,3,0),"")</f>
        <v>2018</v>
      </c>
      <c r="L1126" t="str">
        <f>IFERROR(VLOOKUP(I1126,[1]AUTOS!$C:$G,4,0),"")</f>
        <v>AMARILLO</v>
      </c>
      <c r="M1126" t="s">
        <v>43</v>
      </c>
      <c r="N1126" s="3">
        <v>0</v>
      </c>
      <c r="O1126" s="3">
        <v>0</v>
      </c>
      <c r="P1126" s="3">
        <v>-2500</v>
      </c>
    </row>
    <row r="1127" spans="1:16" hidden="1" x14ac:dyDescent="0.3">
      <c r="A1127">
        <v>2</v>
      </c>
      <c r="B1127" t="str">
        <f>VLOOKUP($A1127,[1]LISTA!$B:$C,2,0)</f>
        <v>ENERO</v>
      </c>
      <c r="C1127" s="1">
        <v>2025</v>
      </c>
      <c r="D1127" s="1" t="str">
        <f>IF($A1127&lt;=[1]RESULTADOS!$D$6,"YTD","YTG")</f>
        <v>YTD</v>
      </c>
      <c r="E1127" t="s">
        <v>17</v>
      </c>
      <c r="F1127" t="s">
        <v>664</v>
      </c>
      <c r="G1127" t="s">
        <v>665</v>
      </c>
      <c r="H1127" t="s">
        <v>666</v>
      </c>
      <c r="I1127" t="s">
        <v>42</v>
      </c>
      <c r="J1127" t="str">
        <f>IFERROR(VLOOKUP(I1127,[1]AUTOS!$C:$G,2,0),"")</f>
        <v>VENTO</v>
      </c>
      <c r="K1127">
        <f>IFERROR(VLOOKUP(I1127,[1]AUTOS!$C:$G,3,0),"")</f>
        <v>2018</v>
      </c>
      <c r="L1127" t="str">
        <f>IFERROR(VLOOKUP(I1127,[1]AUTOS!$C:$G,4,0),"")</f>
        <v>AMARILLO</v>
      </c>
      <c r="M1127" t="s">
        <v>43</v>
      </c>
      <c r="N1127" s="3">
        <v>0</v>
      </c>
      <c r="O1127" s="3">
        <v>0</v>
      </c>
      <c r="P1127" s="3">
        <v>-2500</v>
      </c>
    </row>
    <row r="1128" spans="1:16" hidden="1" x14ac:dyDescent="0.3">
      <c r="A1128">
        <v>3</v>
      </c>
      <c r="B1128" t="str">
        <f>VLOOKUP($A1128,[1]LISTA!$B:$C,2,0)</f>
        <v>ENERO</v>
      </c>
      <c r="C1128" s="1">
        <v>2025</v>
      </c>
      <c r="D1128" s="1" t="str">
        <f>IF($A1128&lt;=[1]RESULTADOS!$D$6,"YTD","YTG")</f>
        <v>YTD</v>
      </c>
      <c r="E1128" t="s">
        <v>17</v>
      </c>
      <c r="F1128" t="s">
        <v>664</v>
      </c>
      <c r="G1128" t="s">
        <v>665</v>
      </c>
      <c r="H1128" t="s">
        <v>666</v>
      </c>
      <c r="I1128" t="s">
        <v>42</v>
      </c>
      <c r="J1128" t="str">
        <f>IFERROR(VLOOKUP(I1128,[1]AUTOS!$C:$G,2,0),"")</f>
        <v>VENTO</v>
      </c>
      <c r="K1128">
        <f>IFERROR(VLOOKUP(I1128,[1]AUTOS!$C:$G,3,0),"")</f>
        <v>2018</v>
      </c>
      <c r="L1128" t="str">
        <f>IFERROR(VLOOKUP(I1128,[1]AUTOS!$C:$G,4,0),"")</f>
        <v>AMARILLO</v>
      </c>
      <c r="M1128" t="s">
        <v>43</v>
      </c>
      <c r="N1128" s="3">
        <v>0</v>
      </c>
      <c r="O1128" s="3">
        <v>0</v>
      </c>
      <c r="P1128" s="3">
        <v>-2500</v>
      </c>
    </row>
    <row r="1129" spans="1:16" hidden="1" x14ac:dyDescent="0.3">
      <c r="A1129">
        <v>4</v>
      </c>
      <c r="B1129" t="str">
        <f>VLOOKUP($A1129,[1]LISTA!$B:$C,2,0)</f>
        <v>ENERO</v>
      </c>
      <c r="C1129" s="1">
        <v>2025</v>
      </c>
      <c r="D1129" s="1" t="str">
        <f>IF($A1129&lt;=[1]RESULTADOS!$D$6,"YTD","YTG")</f>
        <v>YTD</v>
      </c>
      <c r="E1129" t="s">
        <v>17</v>
      </c>
      <c r="F1129" t="s">
        <v>664</v>
      </c>
      <c r="G1129" t="s">
        <v>665</v>
      </c>
      <c r="H1129" t="s">
        <v>666</v>
      </c>
      <c r="I1129" t="s">
        <v>42</v>
      </c>
      <c r="J1129" t="str">
        <f>IFERROR(VLOOKUP(I1129,[1]AUTOS!$C:$G,2,0),"")</f>
        <v>VENTO</v>
      </c>
      <c r="K1129">
        <f>IFERROR(VLOOKUP(I1129,[1]AUTOS!$C:$G,3,0),"")</f>
        <v>2018</v>
      </c>
      <c r="L1129" t="str">
        <f>IFERROR(VLOOKUP(I1129,[1]AUTOS!$C:$G,4,0),"")</f>
        <v>AMARILLO</v>
      </c>
      <c r="M1129" t="s">
        <v>43</v>
      </c>
      <c r="N1129" s="3">
        <v>0</v>
      </c>
      <c r="O1129" s="3">
        <v>0</v>
      </c>
      <c r="P1129" s="3">
        <v>-2500</v>
      </c>
    </row>
    <row r="1130" spans="1:16" hidden="1" x14ac:dyDescent="0.3">
      <c r="A1130">
        <v>5</v>
      </c>
      <c r="B1130" t="str">
        <f>VLOOKUP($A1130,[1]LISTA!$B:$C,2,0)</f>
        <v>ENERO</v>
      </c>
      <c r="C1130" s="1">
        <v>2025</v>
      </c>
      <c r="D1130" s="1" t="str">
        <f>IF($A1130&lt;=[1]RESULTADOS!$D$6,"YTD","YTG")</f>
        <v>YTD</v>
      </c>
      <c r="E1130" t="s">
        <v>17</v>
      </c>
      <c r="F1130" t="s">
        <v>664</v>
      </c>
      <c r="G1130" t="s">
        <v>665</v>
      </c>
      <c r="H1130" t="s">
        <v>666</v>
      </c>
      <c r="I1130" t="s">
        <v>42</v>
      </c>
      <c r="J1130" t="str">
        <f>IFERROR(VLOOKUP(I1130,[1]AUTOS!$C:$G,2,0),"")</f>
        <v>VENTO</v>
      </c>
      <c r="K1130">
        <f>IFERROR(VLOOKUP(I1130,[1]AUTOS!$C:$G,3,0),"")</f>
        <v>2018</v>
      </c>
      <c r="L1130" t="str">
        <f>IFERROR(VLOOKUP(I1130,[1]AUTOS!$C:$G,4,0),"")</f>
        <v>AMARILLO</v>
      </c>
      <c r="M1130" t="s">
        <v>43</v>
      </c>
      <c r="N1130" s="3">
        <v>0</v>
      </c>
      <c r="O1130" s="3">
        <v>0</v>
      </c>
      <c r="P1130" s="3">
        <v>-2500</v>
      </c>
    </row>
    <row r="1131" spans="1:16" hidden="1" x14ac:dyDescent="0.3">
      <c r="A1131">
        <v>6</v>
      </c>
      <c r="B1131" t="str">
        <f>VLOOKUP($A1131,[1]LISTA!$B:$C,2,0)</f>
        <v>FEBRERO</v>
      </c>
      <c r="C1131" s="1">
        <v>2025</v>
      </c>
      <c r="D1131" s="1" t="str">
        <f>IF($A1131&lt;=[1]RESULTADOS!$D$6,"YTD","YTG")</f>
        <v>YTD</v>
      </c>
      <c r="E1131" t="s">
        <v>17</v>
      </c>
      <c r="F1131" t="s">
        <v>664</v>
      </c>
      <c r="G1131" t="s">
        <v>665</v>
      </c>
      <c r="H1131" t="s">
        <v>666</v>
      </c>
      <c r="I1131" t="s">
        <v>42</v>
      </c>
      <c r="J1131" t="str">
        <f>IFERROR(VLOOKUP(I1131,[1]AUTOS!$C:$G,2,0),"")</f>
        <v>VENTO</v>
      </c>
      <c r="K1131">
        <f>IFERROR(VLOOKUP(I1131,[1]AUTOS!$C:$G,3,0),"")</f>
        <v>2018</v>
      </c>
      <c r="L1131" t="str">
        <f>IFERROR(VLOOKUP(I1131,[1]AUTOS!$C:$G,4,0),"")</f>
        <v>AMARILLO</v>
      </c>
      <c r="M1131" t="s">
        <v>43</v>
      </c>
      <c r="N1131" s="3">
        <v>0</v>
      </c>
      <c r="O1131" s="3">
        <v>0</v>
      </c>
      <c r="P1131" s="3">
        <v>-2500</v>
      </c>
    </row>
    <row r="1132" spans="1:16" hidden="1" x14ac:dyDescent="0.3">
      <c r="A1132">
        <v>7</v>
      </c>
      <c r="B1132" t="str">
        <f>VLOOKUP($A1132,[1]LISTA!$B:$C,2,0)</f>
        <v>FEBRERO</v>
      </c>
      <c r="C1132" s="1">
        <v>2025</v>
      </c>
      <c r="D1132" s="1" t="str">
        <f>IF($A1132&lt;=[1]RESULTADOS!$D$6,"YTD","YTG")</f>
        <v>YTD</v>
      </c>
      <c r="E1132" t="s">
        <v>17</v>
      </c>
      <c r="F1132" t="s">
        <v>664</v>
      </c>
      <c r="G1132" t="s">
        <v>665</v>
      </c>
      <c r="H1132" t="s">
        <v>666</v>
      </c>
      <c r="I1132" t="s">
        <v>42</v>
      </c>
      <c r="J1132" t="str">
        <f>IFERROR(VLOOKUP(I1132,[1]AUTOS!$C:$G,2,0),"")</f>
        <v>VENTO</v>
      </c>
      <c r="K1132">
        <f>IFERROR(VLOOKUP(I1132,[1]AUTOS!$C:$G,3,0),"")</f>
        <v>2018</v>
      </c>
      <c r="L1132" t="str">
        <f>IFERROR(VLOOKUP(I1132,[1]AUTOS!$C:$G,4,0),"")</f>
        <v>AMARILLO</v>
      </c>
      <c r="M1132" t="s">
        <v>43</v>
      </c>
      <c r="N1132" s="3">
        <v>0</v>
      </c>
      <c r="O1132" s="3">
        <v>0</v>
      </c>
      <c r="P1132" s="3">
        <v>-2500</v>
      </c>
    </row>
    <row r="1133" spans="1:16" hidden="1" x14ac:dyDescent="0.3">
      <c r="A1133">
        <v>8</v>
      </c>
      <c r="B1133" t="str">
        <f>VLOOKUP($A1133,[1]LISTA!$B:$C,2,0)</f>
        <v>FEBRERO</v>
      </c>
      <c r="C1133" s="1">
        <v>2025</v>
      </c>
      <c r="D1133" s="1" t="str">
        <f>IF($A1133&lt;=[1]RESULTADOS!$D$6,"YTD","YTG")</f>
        <v>YTD</v>
      </c>
      <c r="E1133" t="s">
        <v>17</v>
      </c>
      <c r="F1133" t="s">
        <v>664</v>
      </c>
      <c r="G1133" t="s">
        <v>665</v>
      </c>
      <c r="H1133" t="s">
        <v>666</v>
      </c>
      <c r="I1133" t="s">
        <v>42</v>
      </c>
      <c r="J1133" t="str">
        <f>IFERROR(VLOOKUP(I1133,[1]AUTOS!$C:$G,2,0),"")</f>
        <v>VENTO</v>
      </c>
      <c r="K1133">
        <f>IFERROR(VLOOKUP(I1133,[1]AUTOS!$C:$G,3,0),"")</f>
        <v>2018</v>
      </c>
      <c r="L1133" t="str">
        <f>IFERROR(VLOOKUP(I1133,[1]AUTOS!$C:$G,4,0),"")</f>
        <v>AMARILLO</v>
      </c>
      <c r="M1133" t="s">
        <v>43</v>
      </c>
      <c r="N1133" s="3">
        <v>0</v>
      </c>
      <c r="O1133" s="3">
        <v>0</v>
      </c>
      <c r="P1133" s="3">
        <v>-2500</v>
      </c>
    </row>
    <row r="1134" spans="1:16" hidden="1" x14ac:dyDescent="0.3">
      <c r="A1134">
        <v>9</v>
      </c>
      <c r="B1134" t="str">
        <f>VLOOKUP($A1134,[1]LISTA!$B:$C,2,0)</f>
        <v>FEBRERO</v>
      </c>
      <c r="C1134" s="1">
        <v>2025</v>
      </c>
      <c r="D1134" s="1" t="str">
        <f>IF($A1134&lt;=[1]RESULTADOS!$D$6,"YTD","YTG")</f>
        <v>YTD</v>
      </c>
      <c r="E1134" t="s">
        <v>17</v>
      </c>
      <c r="F1134" t="s">
        <v>664</v>
      </c>
      <c r="G1134" t="s">
        <v>665</v>
      </c>
      <c r="H1134" t="s">
        <v>666</v>
      </c>
      <c r="I1134" t="s">
        <v>42</v>
      </c>
      <c r="J1134" t="str">
        <f>IFERROR(VLOOKUP(I1134,[1]AUTOS!$C:$G,2,0),"")</f>
        <v>VENTO</v>
      </c>
      <c r="K1134">
        <f>IFERROR(VLOOKUP(I1134,[1]AUTOS!$C:$G,3,0),"")</f>
        <v>2018</v>
      </c>
      <c r="L1134" t="str">
        <f>IFERROR(VLOOKUP(I1134,[1]AUTOS!$C:$G,4,0),"")</f>
        <v>AMARILLO</v>
      </c>
      <c r="M1134" t="s">
        <v>43</v>
      </c>
      <c r="N1134" s="3">
        <v>0</v>
      </c>
      <c r="O1134" s="3">
        <v>0</v>
      </c>
      <c r="P1134" s="3">
        <v>-2500</v>
      </c>
    </row>
    <row r="1135" spans="1:16" hidden="1" x14ac:dyDescent="0.3">
      <c r="A1135">
        <v>10</v>
      </c>
      <c r="B1135" t="str">
        <f>VLOOKUP($A1135,[1]LISTA!$B:$C,2,0)</f>
        <v>MARZO</v>
      </c>
      <c r="C1135" s="1">
        <v>2025</v>
      </c>
      <c r="D1135" s="1" t="str">
        <f>IF($A1135&lt;=[1]RESULTADOS!$D$6,"YTD","YTG")</f>
        <v>YTD</v>
      </c>
      <c r="E1135" t="s">
        <v>17</v>
      </c>
      <c r="F1135" t="s">
        <v>664</v>
      </c>
      <c r="G1135" t="s">
        <v>665</v>
      </c>
      <c r="H1135" t="s">
        <v>666</v>
      </c>
      <c r="I1135" t="s">
        <v>42</v>
      </c>
      <c r="J1135" t="str">
        <f>IFERROR(VLOOKUP(I1135,[1]AUTOS!$C:$G,2,0),"")</f>
        <v>VENTO</v>
      </c>
      <c r="K1135">
        <f>IFERROR(VLOOKUP(I1135,[1]AUTOS!$C:$G,3,0),"")</f>
        <v>2018</v>
      </c>
      <c r="L1135" t="str">
        <f>IFERROR(VLOOKUP(I1135,[1]AUTOS!$C:$G,4,0),"")</f>
        <v>AMARILLO</v>
      </c>
      <c r="M1135" t="s">
        <v>43</v>
      </c>
      <c r="N1135" s="3">
        <v>0</v>
      </c>
      <c r="O1135" s="3">
        <v>0</v>
      </c>
      <c r="P1135" s="3">
        <v>-2500</v>
      </c>
    </row>
    <row r="1136" spans="1:16" hidden="1" x14ac:dyDescent="0.3">
      <c r="A1136">
        <v>5</v>
      </c>
      <c r="B1136" t="str">
        <f>VLOOKUP($A1136,[1]LISTA!$B:$C,2,0)</f>
        <v>ENERO</v>
      </c>
      <c r="C1136" s="1">
        <v>2025</v>
      </c>
      <c r="D1136" s="1" t="str">
        <f>IF($A1136&lt;=[1]RESULTADOS!$D$6,"YTD","YTG")</f>
        <v>YTD</v>
      </c>
      <c r="E1136" t="s">
        <v>17</v>
      </c>
      <c r="F1136" t="s">
        <v>664</v>
      </c>
      <c r="G1136" t="s">
        <v>665</v>
      </c>
      <c r="H1136" t="s">
        <v>666</v>
      </c>
      <c r="I1136" t="s">
        <v>131</v>
      </c>
      <c r="J1136" t="str">
        <f>IFERROR(VLOOKUP(I1136,[1]AUTOS!$C:$G,2,0),"")</f>
        <v>AVEO</v>
      </c>
      <c r="K1136">
        <f>IFERROR(VLOOKUP(I1136,[1]AUTOS!$C:$G,3,0),"")</f>
        <v>2024</v>
      </c>
      <c r="L1136" t="str">
        <f>IFERROR(VLOOKUP(I1136,[1]AUTOS!$C:$G,4,0),"")</f>
        <v>GRIS</v>
      </c>
      <c r="M1136" t="s">
        <v>43</v>
      </c>
      <c r="N1136" s="3">
        <v>0</v>
      </c>
      <c r="O1136" s="3">
        <v>0</v>
      </c>
      <c r="P1136" s="3">
        <v>-2500</v>
      </c>
    </row>
    <row r="1137" spans="1:16" hidden="1" x14ac:dyDescent="0.3">
      <c r="A1137">
        <v>6</v>
      </c>
      <c r="B1137" t="str">
        <f>VLOOKUP($A1137,[1]LISTA!$B:$C,2,0)</f>
        <v>FEBRERO</v>
      </c>
      <c r="C1137" s="1">
        <v>2025</v>
      </c>
      <c r="D1137" s="1" t="str">
        <f>IF($A1137&lt;=[1]RESULTADOS!$D$6,"YTD","YTG")</f>
        <v>YTD</v>
      </c>
      <c r="E1137" t="s">
        <v>17</v>
      </c>
      <c r="F1137" t="s">
        <v>664</v>
      </c>
      <c r="G1137" t="s">
        <v>665</v>
      </c>
      <c r="H1137" t="s">
        <v>666</v>
      </c>
      <c r="I1137" t="s">
        <v>131</v>
      </c>
      <c r="J1137" t="str">
        <f>IFERROR(VLOOKUP(I1137,[1]AUTOS!$C:$G,2,0),"")</f>
        <v>AVEO</v>
      </c>
      <c r="K1137">
        <f>IFERROR(VLOOKUP(I1137,[1]AUTOS!$C:$G,3,0),"")</f>
        <v>2024</v>
      </c>
      <c r="L1137" t="str">
        <f>IFERROR(VLOOKUP(I1137,[1]AUTOS!$C:$G,4,0),"")</f>
        <v>GRIS</v>
      </c>
      <c r="M1137" t="s">
        <v>43</v>
      </c>
      <c r="N1137" s="3">
        <v>0</v>
      </c>
      <c r="O1137" s="3">
        <v>0</v>
      </c>
      <c r="P1137" s="3">
        <v>-2500</v>
      </c>
    </row>
    <row r="1138" spans="1:16" hidden="1" x14ac:dyDescent="0.3">
      <c r="A1138">
        <v>7</v>
      </c>
      <c r="B1138" t="str">
        <f>VLOOKUP($A1138,[1]LISTA!$B:$C,2,0)</f>
        <v>FEBRERO</v>
      </c>
      <c r="C1138" s="1">
        <v>2025</v>
      </c>
      <c r="D1138" s="1" t="str">
        <f>IF($A1138&lt;=[1]RESULTADOS!$D$6,"YTD","YTG")</f>
        <v>YTD</v>
      </c>
      <c r="E1138" t="s">
        <v>17</v>
      </c>
      <c r="F1138" t="s">
        <v>664</v>
      </c>
      <c r="G1138" t="s">
        <v>665</v>
      </c>
      <c r="H1138" t="s">
        <v>666</v>
      </c>
      <c r="I1138" t="s">
        <v>131</v>
      </c>
      <c r="J1138" t="str">
        <f>IFERROR(VLOOKUP(I1138,[1]AUTOS!$C:$G,2,0),"")</f>
        <v>AVEO</v>
      </c>
      <c r="K1138">
        <f>IFERROR(VLOOKUP(I1138,[1]AUTOS!$C:$G,3,0),"")</f>
        <v>2024</v>
      </c>
      <c r="L1138" t="str">
        <f>IFERROR(VLOOKUP(I1138,[1]AUTOS!$C:$G,4,0),"")</f>
        <v>GRIS</v>
      </c>
      <c r="M1138" t="s">
        <v>43</v>
      </c>
      <c r="N1138" s="3">
        <v>0</v>
      </c>
      <c r="O1138" s="3">
        <v>0</v>
      </c>
      <c r="P1138" s="3">
        <v>-2500</v>
      </c>
    </row>
    <row r="1139" spans="1:16" hidden="1" x14ac:dyDescent="0.3">
      <c r="A1139">
        <v>8</v>
      </c>
      <c r="B1139" t="str">
        <f>VLOOKUP($A1139,[1]LISTA!$B:$C,2,0)</f>
        <v>FEBRERO</v>
      </c>
      <c r="C1139" s="1">
        <v>2025</v>
      </c>
      <c r="D1139" s="1" t="str">
        <f>IF($A1139&lt;=[1]RESULTADOS!$D$6,"YTD","YTG")</f>
        <v>YTD</v>
      </c>
      <c r="E1139" t="s">
        <v>17</v>
      </c>
      <c r="F1139" t="s">
        <v>664</v>
      </c>
      <c r="G1139" t="s">
        <v>665</v>
      </c>
      <c r="H1139" t="s">
        <v>666</v>
      </c>
      <c r="I1139" t="s">
        <v>131</v>
      </c>
      <c r="J1139" t="str">
        <f>IFERROR(VLOOKUP(I1139,[1]AUTOS!$C:$G,2,0),"")</f>
        <v>AVEO</v>
      </c>
      <c r="K1139">
        <f>IFERROR(VLOOKUP(I1139,[1]AUTOS!$C:$G,3,0),"")</f>
        <v>2024</v>
      </c>
      <c r="L1139" t="str">
        <f>IFERROR(VLOOKUP(I1139,[1]AUTOS!$C:$G,4,0),"")</f>
        <v>GRIS</v>
      </c>
      <c r="M1139" t="s">
        <v>43</v>
      </c>
      <c r="N1139" s="3">
        <v>0</v>
      </c>
      <c r="O1139" s="3">
        <v>0</v>
      </c>
      <c r="P1139" s="3">
        <v>-2500</v>
      </c>
    </row>
    <row r="1140" spans="1:16" hidden="1" x14ac:dyDescent="0.3">
      <c r="A1140">
        <v>9</v>
      </c>
      <c r="B1140" t="str">
        <f>VLOOKUP($A1140,[1]LISTA!$B:$C,2,0)</f>
        <v>FEBRERO</v>
      </c>
      <c r="C1140" s="1">
        <v>2025</v>
      </c>
      <c r="D1140" s="1" t="str">
        <f>IF($A1140&lt;=[1]RESULTADOS!$D$6,"YTD","YTG")</f>
        <v>YTD</v>
      </c>
      <c r="E1140" t="s">
        <v>17</v>
      </c>
      <c r="F1140" t="s">
        <v>664</v>
      </c>
      <c r="G1140" t="s">
        <v>665</v>
      </c>
      <c r="H1140" t="s">
        <v>666</v>
      </c>
      <c r="I1140" t="s">
        <v>131</v>
      </c>
      <c r="J1140" t="str">
        <f>IFERROR(VLOOKUP(I1140,[1]AUTOS!$C:$G,2,0),"")</f>
        <v>AVEO</v>
      </c>
      <c r="K1140">
        <f>IFERROR(VLOOKUP(I1140,[1]AUTOS!$C:$G,3,0),"")</f>
        <v>2024</v>
      </c>
      <c r="L1140" t="str">
        <f>IFERROR(VLOOKUP(I1140,[1]AUTOS!$C:$G,4,0),"")</f>
        <v>GRIS</v>
      </c>
      <c r="M1140" t="s">
        <v>43</v>
      </c>
      <c r="N1140" s="3">
        <v>0</v>
      </c>
      <c r="O1140" s="3">
        <v>0</v>
      </c>
      <c r="P1140" s="3">
        <v>-2500</v>
      </c>
    </row>
    <row r="1141" spans="1:16" hidden="1" x14ac:dyDescent="0.3">
      <c r="A1141">
        <v>10</v>
      </c>
      <c r="B1141" t="str">
        <f>VLOOKUP($A1141,[1]LISTA!$B:$C,2,0)</f>
        <v>MARZO</v>
      </c>
      <c r="C1141" s="1">
        <v>2025</v>
      </c>
      <c r="D1141" s="1" t="str">
        <f>IF($A1141&lt;=[1]RESULTADOS!$D$6,"YTD","YTG")</f>
        <v>YTD</v>
      </c>
      <c r="E1141" t="s">
        <v>17</v>
      </c>
      <c r="F1141" t="s">
        <v>664</v>
      </c>
      <c r="G1141" t="s">
        <v>665</v>
      </c>
      <c r="H1141" t="s">
        <v>666</v>
      </c>
      <c r="I1141" t="s">
        <v>131</v>
      </c>
      <c r="J1141" t="str">
        <f>IFERROR(VLOOKUP(I1141,[1]AUTOS!$C:$G,2,0),"")</f>
        <v>AVEO</v>
      </c>
      <c r="K1141">
        <f>IFERROR(VLOOKUP(I1141,[1]AUTOS!$C:$G,3,0),"")</f>
        <v>2024</v>
      </c>
      <c r="L1141" t="str">
        <f>IFERROR(VLOOKUP(I1141,[1]AUTOS!$C:$G,4,0),"")</f>
        <v>GRIS</v>
      </c>
      <c r="M1141" t="s">
        <v>43</v>
      </c>
      <c r="N1141" s="3">
        <v>0</v>
      </c>
      <c r="O1141" s="3">
        <v>0</v>
      </c>
      <c r="P1141" s="3">
        <v>-2500</v>
      </c>
    </row>
    <row r="1142" spans="1:16" hidden="1" x14ac:dyDescent="0.3">
      <c r="A1142">
        <v>11</v>
      </c>
      <c r="B1142" t="str">
        <f>VLOOKUP($A1142,[1]LISTA!$B:$C,2,0)</f>
        <v>MARZO</v>
      </c>
      <c r="C1142" s="1">
        <v>2025</v>
      </c>
      <c r="D1142" s="1" t="str">
        <f>IF($A1142&lt;=[1]RESULTADOS!$D$6,"YTD","YTG")</f>
        <v>YTD</v>
      </c>
      <c r="E1142" t="s">
        <v>17</v>
      </c>
      <c r="F1142" t="s">
        <v>664</v>
      </c>
      <c r="G1142" t="s">
        <v>665</v>
      </c>
      <c r="H1142" t="s">
        <v>666</v>
      </c>
      <c r="I1142" t="s">
        <v>131</v>
      </c>
      <c r="J1142" t="str">
        <f>IFERROR(VLOOKUP(I1142,[1]AUTOS!$C:$G,2,0),"")</f>
        <v>AVEO</v>
      </c>
      <c r="K1142">
        <f>IFERROR(VLOOKUP(I1142,[1]AUTOS!$C:$G,3,0),"")</f>
        <v>2024</v>
      </c>
      <c r="L1142" t="str">
        <f>IFERROR(VLOOKUP(I1142,[1]AUTOS!$C:$G,4,0),"")</f>
        <v>GRIS</v>
      </c>
      <c r="M1142" t="s">
        <v>43</v>
      </c>
      <c r="N1142" s="3">
        <v>0</v>
      </c>
      <c r="O1142" s="3">
        <v>0</v>
      </c>
      <c r="P1142" s="3">
        <v>-2500</v>
      </c>
    </row>
    <row r="1143" spans="1:16" hidden="1" x14ac:dyDescent="0.3">
      <c r="A1143">
        <v>12</v>
      </c>
      <c r="B1143" t="str">
        <f>VLOOKUP($A1143,[1]LISTA!$B:$C,2,0)</f>
        <v>MARZO</v>
      </c>
      <c r="C1143" s="1">
        <v>2025</v>
      </c>
      <c r="D1143" s="1" t="str">
        <f>IF($A1143&lt;=[1]RESULTADOS!$D$6,"YTD","YTG")</f>
        <v>YTD</v>
      </c>
      <c r="E1143" t="s">
        <v>17</v>
      </c>
      <c r="F1143" t="s">
        <v>664</v>
      </c>
      <c r="G1143" t="s">
        <v>665</v>
      </c>
      <c r="H1143" t="s">
        <v>666</v>
      </c>
      <c r="I1143" t="s">
        <v>131</v>
      </c>
      <c r="J1143" t="str">
        <f>IFERROR(VLOOKUP(I1143,[1]AUTOS!$C:$G,2,0),"")</f>
        <v>AVEO</v>
      </c>
      <c r="K1143">
        <f>IFERROR(VLOOKUP(I1143,[1]AUTOS!$C:$G,3,0),"")</f>
        <v>2024</v>
      </c>
      <c r="L1143" t="str">
        <f>IFERROR(VLOOKUP(I1143,[1]AUTOS!$C:$G,4,0),"")</f>
        <v>GRIS</v>
      </c>
      <c r="M1143" t="s">
        <v>43</v>
      </c>
      <c r="N1143" s="3">
        <v>0</v>
      </c>
      <c r="O1143" s="3">
        <v>0</v>
      </c>
      <c r="P1143" s="3">
        <v>-2500</v>
      </c>
    </row>
    <row r="1144" spans="1:16" hidden="1" x14ac:dyDescent="0.3">
      <c r="A1144">
        <v>13</v>
      </c>
      <c r="B1144" t="str">
        <f>VLOOKUP($A1144,[1]LISTA!$B:$C,2,0)</f>
        <v>MARZO</v>
      </c>
      <c r="C1144" s="1">
        <v>2025</v>
      </c>
      <c r="D1144" s="1" t="str">
        <f>IF($A1144&lt;=[1]RESULTADOS!$D$6,"YTD","YTG")</f>
        <v>YTD</v>
      </c>
      <c r="E1144" t="s">
        <v>17</v>
      </c>
      <c r="F1144" t="s">
        <v>664</v>
      </c>
      <c r="G1144" t="s">
        <v>665</v>
      </c>
      <c r="H1144" t="s">
        <v>666</v>
      </c>
      <c r="I1144" t="s">
        <v>131</v>
      </c>
      <c r="J1144" t="str">
        <f>IFERROR(VLOOKUP(I1144,[1]AUTOS!$C:$G,2,0),"")</f>
        <v>AVEO</v>
      </c>
      <c r="K1144">
        <f>IFERROR(VLOOKUP(I1144,[1]AUTOS!$C:$G,3,0),"")</f>
        <v>2024</v>
      </c>
      <c r="L1144" t="str">
        <f>IFERROR(VLOOKUP(I1144,[1]AUTOS!$C:$G,4,0),"")</f>
        <v>GRIS</v>
      </c>
      <c r="M1144" t="s">
        <v>43</v>
      </c>
      <c r="N1144" s="3">
        <v>0</v>
      </c>
      <c r="O1144" s="3">
        <v>0</v>
      </c>
      <c r="P1144" s="3">
        <v>-2500</v>
      </c>
    </row>
    <row r="1145" spans="1:16" hidden="1" x14ac:dyDescent="0.3">
      <c r="A1145">
        <v>14</v>
      </c>
      <c r="B1145" t="str">
        <f>VLOOKUP($A1145,[1]LISTA!$B:$C,2,0)</f>
        <v>ABRIL</v>
      </c>
      <c r="C1145" s="1">
        <v>2025</v>
      </c>
      <c r="D1145" s="1" t="str">
        <f>IF($A1145&lt;=[1]RESULTADOS!$D$6,"YTD","YTG")</f>
        <v>YTD</v>
      </c>
      <c r="E1145" t="s">
        <v>17</v>
      </c>
      <c r="F1145" t="s">
        <v>664</v>
      </c>
      <c r="G1145" t="s">
        <v>665</v>
      </c>
      <c r="H1145" t="s">
        <v>666</v>
      </c>
      <c r="I1145" t="s">
        <v>131</v>
      </c>
      <c r="J1145" t="str">
        <f>IFERROR(VLOOKUP(I1145,[1]AUTOS!$C:$G,2,0),"")</f>
        <v>AVEO</v>
      </c>
      <c r="K1145">
        <f>IFERROR(VLOOKUP(I1145,[1]AUTOS!$C:$G,3,0),"")</f>
        <v>2024</v>
      </c>
      <c r="L1145" t="str">
        <f>IFERROR(VLOOKUP(I1145,[1]AUTOS!$C:$G,4,0),"")</f>
        <v>GRIS</v>
      </c>
      <c r="M1145" t="s">
        <v>43</v>
      </c>
      <c r="N1145" s="3">
        <v>0</v>
      </c>
      <c r="O1145" s="3">
        <v>0</v>
      </c>
      <c r="P1145" s="3">
        <v>-2500</v>
      </c>
    </row>
    <row r="1146" spans="1:16" hidden="1" x14ac:dyDescent="0.3">
      <c r="A1146">
        <v>15</v>
      </c>
      <c r="B1146" t="str">
        <f>VLOOKUP($A1146,[1]LISTA!$B:$C,2,0)</f>
        <v>ABRIL</v>
      </c>
      <c r="C1146" s="1">
        <v>2025</v>
      </c>
      <c r="D1146" s="1" t="str">
        <f>IF($A1146&lt;=[1]RESULTADOS!$D$6,"YTD","YTG")</f>
        <v>YTD</v>
      </c>
      <c r="E1146" t="s">
        <v>17</v>
      </c>
      <c r="F1146" t="s">
        <v>664</v>
      </c>
      <c r="G1146" t="s">
        <v>665</v>
      </c>
      <c r="H1146" t="s">
        <v>666</v>
      </c>
      <c r="I1146" t="s">
        <v>131</v>
      </c>
      <c r="J1146" t="str">
        <f>IFERROR(VLOOKUP(I1146,[1]AUTOS!$C:$G,2,0),"")</f>
        <v>AVEO</v>
      </c>
      <c r="K1146">
        <f>IFERROR(VLOOKUP(I1146,[1]AUTOS!$C:$G,3,0),"")</f>
        <v>2024</v>
      </c>
      <c r="L1146" t="str">
        <f>IFERROR(VLOOKUP(I1146,[1]AUTOS!$C:$G,4,0),"")</f>
        <v>GRIS</v>
      </c>
      <c r="M1146" t="s">
        <v>43</v>
      </c>
      <c r="N1146" s="3">
        <v>0</v>
      </c>
      <c r="O1146" s="3">
        <v>0</v>
      </c>
      <c r="P1146" s="3">
        <v>-2500</v>
      </c>
    </row>
    <row r="1147" spans="1:16" hidden="1" x14ac:dyDescent="0.3">
      <c r="A1147">
        <v>16</v>
      </c>
      <c r="B1147" t="str">
        <f>VLOOKUP($A1147,[1]LISTA!$B:$C,2,0)</f>
        <v>ABRIL</v>
      </c>
      <c r="C1147" s="1">
        <v>2025</v>
      </c>
      <c r="D1147" s="1" t="str">
        <f>IF($A1147&lt;=[1]RESULTADOS!$D$6,"YTD","YTG")</f>
        <v>YTD</v>
      </c>
      <c r="E1147" t="s">
        <v>17</v>
      </c>
      <c r="F1147" t="s">
        <v>664</v>
      </c>
      <c r="G1147" t="s">
        <v>665</v>
      </c>
      <c r="H1147" t="s">
        <v>666</v>
      </c>
      <c r="I1147" t="s">
        <v>131</v>
      </c>
      <c r="J1147" t="str">
        <f>IFERROR(VLOOKUP(I1147,[1]AUTOS!$C:$G,2,0),"")</f>
        <v>AVEO</v>
      </c>
      <c r="K1147">
        <f>IFERROR(VLOOKUP(I1147,[1]AUTOS!$C:$G,3,0),"")</f>
        <v>2024</v>
      </c>
      <c r="L1147" t="str">
        <f>IFERROR(VLOOKUP(I1147,[1]AUTOS!$C:$G,4,0),"")</f>
        <v>GRIS</v>
      </c>
      <c r="M1147" t="s">
        <v>43</v>
      </c>
      <c r="N1147" s="3">
        <v>0</v>
      </c>
      <c r="O1147" s="3">
        <v>0</v>
      </c>
      <c r="P1147" s="3">
        <v>-2500</v>
      </c>
    </row>
    <row r="1148" spans="1:16" hidden="1" x14ac:dyDescent="0.3">
      <c r="A1148">
        <v>17</v>
      </c>
      <c r="B1148" t="str">
        <f>VLOOKUP($A1148,[1]LISTA!$B:$C,2,0)</f>
        <v>ABRIL</v>
      </c>
      <c r="C1148" s="1">
        <v>2025</v>
      </c>
      <c r="D1148" s="1" t="str">
        <f>IF($A1148&lt;=[1]RESULTADOS!$D$6,"YTD","YTG")</f>
        <v>YTD</v>
      </c>
      <c r="E1148" t="s">
        <v>17</v>
      </c>
      <c r="F1148" t="s">
        <v>664</v>
      </c>
      <c r="G1148" t="s">
        <v>665</v>
      </c>
      <c r="H1148" t="s">
        <v>666</v>
      </c>
      <c r="I1148" t="s">
        <v>131</v>
      </c>
      <c r="J1148" t="str">
        <f>IFERROR(VLOOKUP(I1148,[1]AUTOS!$C:$G,2,0),"")</f>
        <v>AVEO</v>
      </c>
      <c r="K1148">
        <f>IFERROR(VLOOKUP(I1148,[1]AUTOS!$C:$G,3,0),"")</f>
        <v>2024</v>
      </c>
      <c r="L1148" t="str">
        <f>IFERROR(VLOOKUP(I1148,[1]AUTOS!$C:$G,4,0),"")</f>
        <v>GRIS</v>
      </c>
      <c r="M1148" t="s">
        <v>43</v>
      </c>
      <c r="N1148" s="3">
        <v>0</v>
      </c>
      <c r="O1148" s="3">
        <v>0</v>
      </c>
      <c r="P1148" s="3">
        <v>-2500</v>
      </c>
    </row>
    <row r="1149" spans="1:16" hidden="1" x14ac:dyDescent="0.3">
      <c r="A1149">
        <v>18</v>
      </c>
      <c r="B1149" t="str">
        <f>VLOOKUP($A1149,[1]LISTA!$B:$C,2,0)</f>
        <v>MAYO</v>
      </c>
      <c r="C1149" s="1">
        <v>2025</v>
      </c>
      <c r="D1149" s="1" t="str">
        <f>IF($A1149&lt;=[1]RESULTADOS!$D$6,"YTD","YTG")</f>
        <v>YTD</v>
      </c>
      <c r="E1149" t="s">
        <v>17</v>
      </c>
      <c r="F1149" t="s">
        <v>664</v>
      </c>
      <c r="G1149" t="s">
        <v>665</v>
      </c>
      <c r="H1149" t="s">
        <v>666</v>
      </c>
      <c r="I1149" t="s">
        <v>131</v>
      </c>
      <c r="J1149" t="str">
        <f>IFERROR(VLOOKUP(I1149,[1]AUTOS!$C:$G,2,0),"")</f>
        <v>AVEO</v>
      </c>
      <c r="K1149">
        <f>IFERROR(VLOOKUP(I1149,[1]AUTOS!$C:$G,3,0),"")</f>
        <v>2024</v>
      </c>
      <c r="L1149" t="str">
        <f>IFERROR(VLOOKUP(I1149,[1]AUTOS!$C:$G,4,0),"")</f>
        <v>GRIS</v>
      </c>
      <c r="M1149" t="s">
        <v>43</v>
      </c>
      <c r="N1149" s="3">
        <v>0</v>
      </c>
      <c r="O1149" s="3">
        <v>0</v>
      </c>
      <c r="P1149" s="3">
        <v>-2500</v>
      </c>
    </row>
    <row r="1150" spans="1:16" hidden="1" x14ac:dyDescent="0.3">
      <c r="A1150">
        <v>19</v>
      </c>
      <c r="B1150" t="str">
        <f>VLOOKUP($A1150,[1]LISTA!$B:$C,2,0)</f>
        <v>MAYO</v>
      </c>
      <c r="C1150" s="1">
        <v>2025</v>
      </c>
      <c r="D1150" s="1" t="str">
        <f>IF($A1150&lt;=[1]RESULTADOS!$D$6,"YTD","YTG")</f>
        <v>YTD</v>
      </c>
      <c r="E1150" t="s">
        <v>17</v>
      </c>
      <c r="F1150" t="s">
        <v>664</v>
      </c>
      <c r="G1150" t="s">
        <v>665</v>
      </c>
      <c r="H1150" t="s">
        <v>666</v>
      </c>
      <c r="I1150" t="s">
        <v>131</v>
      </c>
      <c r="J1150" t="str">
        <f>IFERROR(VLOOKUP(I1150,[1]AUTOS!$C:$G,2,0),"")</f>
        <v>AVEO</v>
      </c>
      <c r="K1150">
        <f>IFERROR(VLOOKUP(I1150,[1]AUTOS!$C:$G,3,0),"")</f>
        <v>2024</v>
      </c>
      <c r="L1150" t="str">
        <f>IFERROR(VLOOKUP(I1150,[1]AUTOS!$C:$G,4,0),"")</f>
        <v>GRIS</v>
      </c>
      <c r="M1150" t="s">
        <v>43</v>
      </c>
      <c r="N1150" s="3">
        <v>0</v>
      </c>
      <c r="O1150" s="3">
        <v>0</v>
      </c>
      <c r="P1150" s="3">
        <v>-2500</v>
      </c>
    </row>
    <row r="1151" spans="1:16" hidden="1" x14ac:dyDescent="0.3">
      <c r="A1151">
        <v>20</v>
      </c>
      <c r="B1151" t="str">
        <f>VLOOKUP($A1151,[1]LISTA!$B:$C,2,0)</f>
        <v>MAYO</v>
      </c>
      <c r="C1151" s="1">
        <v>2025</v>
      </c>
      <c r="D1151" s="1" t="str">
        <f>IF($A1151&lt;=[1]RESULTADOS!$D$6,"YTD","YTG")</f>
        <v>YTD</v>
      </c>
      <c r="E1151" t="s">
        <v>17</v>
      </c>
      <c r="F1151" t="s">
        <v>664</v>
      </c>
      <c r="G1151" t="s">
        <v>665</v>
      </c>
      <c r="H1151" t="s">
        <v>666</v>
      </c>
      <c r="I1151" t="s">
        <v>131</v>
      </c>
      <c r="J1151" t="str">
        <f>IFERROR(VLOOKUP(I1151,[1]AUTOS!$C:$G,2,0),"")</f>
        <v>AVEO</v>
      </c>
      <c r="K1151">
        <f>IFERROR(VLOOKUP(I1151,[1]AUTOS!$C:$G,3,0),"")</f>
        <v>2024</v>
      </c>
      <c r="L1151" t="str">
        <f>IFERROR(VLOOKUP(I1151,[1]AUTOS!$C:$G,4,0),"")</f>
        <v>GRIS</v>
      </c>
      <c r="M1151" t="s">
        <v>43</v>
      </c>
      <c r="N1151" s="3">
        <v>0</v>
      </c>
      <c r="O1151" s="3">
        <v>0</v>
      </c>
      <c r="P1151" s="3">
        <v>-2500</v>
      </c>
    </row>
    <row r="1152" spans="1:16" hidden="1" x14ac:dyDescent="0.3">
      <c r="A1152">
        <v>21</v>
      </c>
      <c r="B1152" t="str">
        <f>VLOOKUP($A1152,[1]LISTA!$B:$C,2,0)</f>
        <v>MAYO</v>
      </c>
      <c r="C1152" s="1">
        <v>2025</v>
      </c>
      <c r="D1152" s="1" t="str">
        <f>IF($A1152&lt;=[1]RESULTADOS!$D$6,"YTD","YTG")</f>
        <v>YTD</v>
      </c>
      <c r="E1152" t="s">
        <v>17</v>
      </c>
      <c r="F1152" t="s">
        <v>664</v>
      </c>
      <c r="G1152" t="s">
        <v>665</v>
      </c>
      <c r="H1152" t="s">
        <v>666</v>
      </c>
      <c r="I1152" t="s">
        <v>131</v>
      </c>
      <c r="J1152" t="str">
        <f>IFERROR(VLOOKUP(I1152,[1]AUTOS!$C:$G,2,0),"")</f>
        <v>AVEO</v>
      </c>
      <c r="K1152">
        <f>IFERROR(VLOOKUP(I1152,[1]AUTOS!$C:$G,3,0),"")</f>
        <v>2024</v>
      </c>
      <c r="L1152" t="str">
        <f>IFERROR(VLOOKUP(I1152,[1]AUTOS!$C:$G,4,0),"")</f>
        <v>GRIS</v>
      </c>
      <c r="M1152" t="s">
        <v>43</v>
      </c>
      <c r="N1152" s="3">
        <v>0</v>
      </c>
      <c r="O1152" s="3">
        <v>0</v>
      </c>
      <c r="P1152" s="3">
        <v>-2500</v>
      </c>
    </row>
    <row r="1153" spans="1:16" hidden="1" x14ac:dyDescent="0.3">
      <c r="A1153">
        <v>22</v>
      </c>
      <c r="B1153" t="str">
        <f>VLOOKUP($A1153,[1]LISTA!$B:$C,2,0)</f>
        <v>MAYO</v>
      </c>
      <c r="C1153" s="1">
        <v>2025</v>
      </c>
      <c r="D1153" s="1" t="str">
        <f>IF($A1153&lt;=[1]RESULTADOS!$D$6,"YTD","YTG")</f>
        <v>YTD</v>
      </c>
      <c r="E1153" t="s">
        <v>17</v>
      </c>
      <c r="F1153" t="s">
        <v>664</v>
      </c>
      <c r="G1153" t="s">
        <v>665</v>
      </c>
      <c r="H1153" t="s">
        <v>666</v>
      </c>
      <c r="I1153" t="s">
        <v>131</v>
      </c>
      <c r="J1153" t="str">
        <f>IFERROR(VLOOKUP(I1153,[1]AUTOS!$C:$G,2,0),"")</f>
        <v>AVEO</v>
      </c>
      <c r="K1153">
        <f>IFERROR(VLOOKUP(I1153,[1]AUTOS!$C:$G,3,0),"")</f>
        <v>2024</v>
      </c>
      <c r="L1153" t="str">
        <f>IFERROR(VLOOKUP(I1153,[1]AUTOS!$C:$G,4,0),"")</f>
        <v>GRIS</v>
      </c>
      <c r="M1153" t="s">
        <v>43</v>
      </c>
      <c r="N1153" s="3">
        <v>0</v>
      </c>
      <c r="O1153" s="3">
        <v>0</v>
      </c>
      <c r="P1153" s="3">
        <v>-2500</v>
      </c>
    </row>
    <row r="1154" spans="1:16" hidden="1" x14ac:dyDescent="0.3">
      <c r="A1154">
        <v>23</v>
      </c>
      <c r="B1154" t="str">
        <f>VLOOKUP($A1154,[1]LISTA!$B:$C,2,0)</f>
        <v>JUNIO</v>
      </c>
      <c r="C1154" s="1">
        <v>2025</v>
      </c>
      <c r="D1154" s="1" t="str">
        <f>IF($A1154&lt;=[1]RESULTADOS!$D$6,"YTD","YTG")</f>
        <v>YTD</v>
      </c>
      <c r="E1154" t="s">
        <v>17</v>
      </c>
      <c r="F1154" t="s">
        <v>664</v>
      </c>
      <c r="G1154" t="s">
        <v>665</v>
      </c>
      <c r="H1154" t="s">
        <v>666</v>
      </c>
      <c r="I1154" t="s">
        <v>131</v>
      </c>
      <c r="J1154" t="str">
        <f>IFERROR(VLOOKUP(I1154,[1]AUTOS!$C:$G,2,0),"")</f>
        <v>AVEO</v>
      </c>
      <c r="K1154">
        <f>IFERROR(VLOOKUP(I1154,[1]AUTOS!$C:$G,3,0),"")</f>
        <v>2024</v>
      </c>
      <c r="L1154" t="str">
        <f>IFERROR(VLOOKUP(I1154,[1]AUTOS!$C:$G,4,0),"")</f>
        <v>GRIS</v>
      </c>
      <c r="M1154" t="s">
        <v>43</v>
      </c>
      <c r="N1154" s="3">
        <v>0</v>
      </c>
      <c r="O1154" s="3">
        <v>0</v>
      </c>
      <c r="P1154" s="3">
        <v>-2500</v>
      </c>
    </row>
    <row r="1155" spans="1:16" hidden="1" x14ac:dyDescent="0.3">
      <c r="A1155">
        <v>24</v>
      </c>
      <c r="B1155" t="str">
        <f>VLOOKUP($A1155,[1]LISTA!$B:$C,2,0)</f>
        <v>JUNIO</v>
      </c>
      <c r="C1155" s="1">
        <v>2025</v>
      </c>
      <c r="D1155" s="1" t="str">
        <f>IF($A1155&lt;=[1]RESULTADOS!$D$6,"YTD","YTG")</f>
        <v>YTD</v>
      </c>
      <c r="E1155" t="s">
        <v>17</v>
      </c>
      <c r="F1155" t="s">
        <v>664</v>
      </c>
      <c r="G1155" t="s">
        <v>665</v>
      </c>
      <c r="H1155" t="s">
        <v>666</v>
      </c>
      <c r="I1155" t="s">
        <v>131</v>
      </c>
      <c r="J1155" t="str">
        <f>IFERROR(VLOOKUP(I1155,[1]AUTOS!$C:$G,2,0),"")</f>
        <v>AVEO</v>
      </c>
      <c r="K1155">
        <f>IFERROR(VLOOKUP(I1155,[1]AUTOS!$C:$G,3,0),"")</f>
        <v>2024</v>
      </c>
      <c r="L1155" t="str">
        <f>IFERROR(VLOOKUP(I1155,[1]AUTOS!$C:$G,4,0),"")</f>
        <v>GRIS</v>
      </c>
      <c r="M1155" t="s">
        <v>43</v>
      </c>
      <c r="N1155" s="3">
        <v>0</v>
      </c>
      <c r="O1155" s="3">
        <v>0</v>
      </c>
      <c r="P1155" s="3">
        <v>-2500</v>
      </c>
    </row>
    <row r="1156" spans="1:16" hidden="1" x14ac:dyDescent="0.3">
      <c r="A1156">
        <v>25</v>
      </c>
      <c r="B1156" t="str">
        <f>VLOOKUP($A1156,[1]LISTA!$B:$C,2,0)</f>
        <v>JUNIO</v>
      </c>
      <c r="C1156" s="1">
        <v>2025</v>
      </c>
      <c r="D1156" s="1" t="str">
        <f>IF($A1156&lt;=[1]RESULTADOS!$D$6,"YTD","YTG")</f>
        <v>YTD</v>
      </c>
      <c r="E1156" t="s">
        <v>17</v>
      </c>
      <c r="F1156" t="s">
        <v>664</v>
      </c>
      <c r="G1156" t="s">
        <v>665</v>
      </c>
      <c r="H1156" t="s">
        <v>666</v>
      </c>
      <c r="I1156" t="s">
        <v>131</v>
      </c>
      <c r="J1156" t="str">
        <f>IFERROR(VLOOKUP(I1156,[1]AUTOS!$C:$G,2,0),"")</f>
        <v>AVEO</v>
      </c>
      <c r="K1156">
        <f>IFERROR(VLOOKUP(I1156,[1]AUTOS!$C:$G,3,0),"")</f>
        <v>2024</v>
      </c>
      <c r="L1156" t="str">
        <f>IFERROR(VLOOKUP(I1156,[1]AUTOS!$C:$G,4,0),"")</f>
        <v>GRIS</v>
      </c>
      <c r="M1156" t="s">
        <v>43</v>
      </c>
      <c r="N1156" s="3">
        <v>0</v>
      </c>
      <c r="O1156" s="3">
        <v>0</v>
      </c>
      <c r="P1156" s="3">
        <v>-2500</v>
      </c>
    </row>
    <row r="1157" spans="1:16" hidden="1" x14ac:dyDescent="0.3">
      <c r="A1157">
        <v>26</v>
      </c>
      <c r="B1157" t="str">
        <f>VLOOKUP($A1157,[1]LISTA!$B:$C,2,0)</f>
        <v>JUNIO</v>
      </c>
      <c r="C1157" s="1">
        <v>2025</v>
      </c>
      <c r="D1157" s="1" t="str">
        <f>IF($A1157&lt;=[1]RESULTADOS!$D$6,"YTD","YTG")</f>
        <v>YTD</v>
      </c>
      <c r="E1157" t="s">
        <v>17</v>
      </c>
      <c r="F1157" t="s">
        <v>664</v>
      </c>
      <c r="G1157" t="s">
        <v>665</v>
      </c>
      <c r="H1157" t="s">
        <v>666</v>
      </c>
      <c r="I1157" t="s">
        <v>131</v>
      </c>
      <c r="J1157" t="str">
        <f>IFERROR(VLOOKUP(I1157,[1]AUTOS!$C:$G,2,0),"")</f>
        <v>AVEO</v>
      </c>
      <c r="K1157">
        <f>IFERROR(VLOOKUP(I1157,[1]AUTOS!$C:$G,3,0),"")</f>
        <v>2024</v>
      </c>
      <c r="L1157" t="str">
        <f>IFERROR(VLOOKUP(I1157,[1]AUTOS!$C:$G,4,0),"")</f>
        <v>GRIS</v>
      </c>
      <c r="M1157" t="s">
        <v>43</v>
      </c>
      <c r="N1157" s="3">
        <v>0</v>
      </c>
      <c r="O1157" s="3">
        <v>0</v>
      </c>
      <c r="P1157" s="3">
        <v>-2500</v>
      </c>
    </row>
    <row r="1158" spans="1:16" hidden="1" x14ac:dyDescent="0.3">
      <c r="A1158">
        <v>27</v>
      </c>
      <c r="B1158" t="str">
        <f>VLOOKUP($A1158,[1]LISTA!$B:$C,2,0)</f>
        <v>JULIO</v>
      </c>
      <c r="C1158" s="1">
        <v>2025</v>
      </c>
      <c r="D1158" s="1" t="str">
        <f>IF($A1158&lt;=[1]RESULTADOS!$D$6,"YTD","YTG")</f>
        <v>YTD</v>
      </c>
      <c r="E1158" t="s">
        <v>17</v>
      </c>
      <c r="F1158" t="s">
        <v>664</v>
      </c>
      <c r="G1158" t="s">
        <v>665</v>
      </c>
      <c r="H1158" t="s">
        <v>666</v>
      </c>
      <c r="I1158" t="s">
        <v>131</v>
      </c>
      <c r="J1158" t="str">
        <f>IFERROR(VLOOKUP(I1158,[1]AUTOS!$C:$G,2,0),"")</f>
        <v>AVEO</v>
      </c>
      <c r="K1158">
        <f>IFERROR(VLOOKUP(I1158,[1]AUTOS!$C:$G,3,0),"")</f>
        <v>2024</v>
      </c>
      <c r="L1158" t="str">
        <f>IFERROR(VLOOKUP(I1158,[1]AUTOS!$C:$G,4,0),"")</f>
        <v>GRIS</v>
      </c>
      <c r="M1158" t="s">
        <v>43</v>
      </c>
      <c r="N1158" s="3">
        <v>0</v>
      </c>
      <c r="O1158" s="3">
        <v>0</v>
      </c>
      <c r="P1158" s="3">
        <v>-2500</v>
      </c>
    </row>
    <row r="1159" spans="1:16" hidden="1" x14ac:dyDescent="0.3">
      <c r="A1159">
        <v>28</v>
      </c>
      <c r="B1159" t="str">
        <f>VLOOKUP($A1159,[1]LISTA!$B:$C,2,0)</f>
        <v>JULIO</v>
      </c>
      <c r="C1159" s="1">
        <v>2025</v>
      </c>
      <c r="D1159" s="1" t="str">
        <f>IF($A1159&lt;=[1]RESULTADOS!$D$6,"YTD","YTG")</f>
        <v>YTD</v>
      </c>
      <c r="E1159" t="s">
        <v>17</v>
      </c>
      <c r="F1159" t="s">
        <v>664</v>
      </c>
      <c r="G1159" t="s">
        <v>665</v>
      </c>
      <c r="H1159" t="s">
        <v>666</v>
      </c>
      <c r="I1159" t="s">
        <v>131</v>
      </c>
      <c r="J1159" t="str">
        <f>IFERROR(VLOOKUP(I1159,[1]AUTOS!$C:$G,2,0),"")</f>
        <v>AVEO</v>
      </c>
      <c r="K1159">
        <f>IFERROR(VLOOKUP(I1159,[1]AUTOS!$C:$G,3,0),"")</f>
        <v>2024</v>
      </c>
      <c r="L1159" t="str">
        <f>IFERROR(VLOOKUP(I1159,[1]AUTOS!$C:$G,4,0),"")</f>
        <v>GRIS</v>
      </c>
      <c r="M1159" t="s">
        <v>43</v>
      </c>
      <c r="N1159" s="3">
        <v>0</v>
      </c>
      <c r="O1159" s="3">
        <v>0</v>
      </c>
      <c r="P1159" s="3">
        <v>-2500</v>
      </c>
    </row>
    <row r="1160" spans="1:16" hidden="1" x14ac:dyDescent="0.3">
      <c r="A1160">
        <v>29</v>
      </c>
      <c r="B1160" t="str">
        <f>VLOOKUP($A1160,[1]LISTA!$B:$C,2,0)</f>
        <v>JULIO</v>
      </c>
      <c r="C1160" s="1">
        <v>2025</v>
      </c>
      <c r="D1160" s="1" t="str">
        <f>IF($A1160&lt;=[1]RESULTADOS!$D$6,"YTD","YTG")</f>
        <v>YTD</v>
      </c>
      <c r="E1160" t="s">
        <v>17</v>
      </c>
      <c r="F1160" t="s">
        <v>664</v>
      </c>
      <c r="G1160" t="s">
        <v>665</v>
      </c>
      <c r="H1160" t="s">
        <v>666</v>
      </c>
      <c r="I1160" t="s">
        <v>131</v>
      </c>
      <c r="J1160" t="str">
        <f>IFERROR(VLOOKUP(I1160,[1]AUTOS!$C:$G,2,0),"")</f>
        <v>AVEO</v>
      </c>
      <c r="K1160">
        <f>IFERROR(VLOOKUP(I1160,[1]AUTOS!$C:$G,3,0),"")</f>
        <v>2024</v>
      </c>
      <c r="L1160" t="str">
        <f>IFERROR(VLOOKUP(I1160,[1]AUTOS!$C:$G,4,0),"")</f>
        <v>GRIS</v>
      </c>
      <c r="M1160" t="s">
        <v>43</v>
      </c>
      <c r="N1160" s="3">
        <v>0</v>
      </c>
      <c r="O1160" s="3">
        <v>0</v>
      </c>
      <c r="P1160" s="3">
        <v>-2500</v>
      </c>
    </row>
    <row r="1161" spans="1:16" hidden="1" x14ac:dyDescent="0.3">
      <c r="A1161">
        <v>30</v>
      </c>
      <c r="B1161" t="str">
        <f>VLOOKUP($A1161,[1]LISTA!$B:$C,2,0)</f>
        <v>JULIO</v>
      </c>
      <c r="C1161" s="1">
        <v>2025</v>
      </c>
      <c r="D1161" s="1" t="str">
        <f>IF($A1161&lt;=[1]RESULTADOS!$D$6,"YTD","YTG")</f>
        <v>YTD</v>
      </c>
      <c r="E1161" t="s">
        <v>17</v>
      </c>
      <c r="F1161" t="s">
        <v>664</v>
      </c>
      <c r="G1161" t="s">
        <v>665</v>
      </c>
      <c r="H1161" t="s">
        <v>666</v>
      </c>
      <c r="I1161" t="s">
        <v>131</v>
      </c>
      <c r="J1161" t="str">
        <f>IFERROR(VLOOKUP(I1161,[1]AUTOS!$C:$G,2,0),"")</f>
        <v>AVEO</v>
      </c>
      <c r="K1161">
        <f>IFERROR(VLOOKUP(I1161,[1]AUTOS!$C:$G,3,0),"")</f>
        <v>2024</v>
      </c>
      <c r="L1161" t="str">
        <f>IFERROR(VLOOKUP(I1161,[1]AUTOS!$C:$G,4,0),"")</f>
        <v>GRIS</v>
      </c>
      <c r="M1161" t="s">
        <v>43</v>
      </c>
      <c r="N1161" s="3">
        <v>0</v>
      </c>
      <c r="O1161" s="3">
        <v>0</v>
      </c>
      <c r="P1161" s="3">
        <v>-2500</v>
      </c>
    </row>
    <row r="1162" spans="1:16" hidden="1" x14ac:dyDescent="0.3">
      <c r="A1162">
        <v>31</v>
      </c>
      <c r="B1162" t="str">
        <f>VLOOKUP($A1162,[1]LISTA!$B:$C,2,0)</f>
        <v>JULIO</v>
      </c>
      <c r="C1162" s="1">
        <v>2025</v>
      </c>
      <c r="D1162" s="1" t="str">
        <f>IF($A1162&lt;=[1]RESULTADOS!$D$6,"YTD","YTG")</f>
        <v>YTD</v>
      </c>
      <c r="E1162" t="s">
        <v>17</v>
      </c>
      <c r="F1162" t="s">
        <v>664</v>
      </c>
      <c r="G1162" t="s">
        <v>665</v>
      </c>
      <c r="H1162" t="s">
        <v>666</v>
      </c>
      <c r="I1162" t="s">
        <v>131</v>
      </c>
      <c r="J1162" t="str">
        <f>IFERROR(VLOOKUP(I1162,[1]AUTOS!$C:$G,2,0),"")</f>
        <v>AVEO</v>
      </c>
      <c r="K1162">
        <f>IFERROR(VLOOKUP(I1162,[1]AUTOS!$C:$G,3,0),"")</f>
        <v>2024</v>
      </c>
      <c r="L1162" t="str">
        <f>IFERROR(VLOOKUP(I1162,[1]AUTOS!$C:$G,4,0),"")</f>
        <v>GRIS</v>
      </c>
      <c r="M1162" t="s">
        <v>43</v>
      </c>
      <c r="N1162" s="3">
        <v>0</v>
      </c>
      <c r="O1162" s="3">
        <v>0</v>
      </c>
      <c r="P1162" s="3">
        <v>-2500</v>
      </c>
    </row>
    <row r="1163" spans="1:16" hidden="1" x14ac:dyDescent="0.3">
      <c r="A1163">
        <v>32</v>
      </c>
      <c r="B1163" t="str">
        <f>VLOOKUP($A1163,[1]LISTA!$B:$C,2,0)</f>
        <v>AGOSTO</v>
      </c>
      <c r="C1163" s="1">
        <v>2025</v>
      </c>
      <c r="D1163" s="1" t="str">
        <f>IF($A1163&lt;=[1]RESULTADOS!$D$6,"YTD","YTG")</f>
        <v>YTD</v>
      </c>
      <c r="E1163" t="s">
        <v>17</v>
      </c>
      <c r="F1163" t="s">
        <v>664</v>
      </c>
      <c r="G1163" t="s">
        <v>665</v>
      </c>
      <c r="H1163" t="s">
        <v>666</v>
      </c>
      <c r="I1163" t="s">
        <v>131</v>
      </c>
      <c r="J1163" t="str">
        <f>IFERROR(VLOOKUP(I1163,[1]AUTOS!$C:$G,2,0),"")</f>
        <v>AVEO</v>
      </c>
      <c r="K1163">
        <f>IFERROR(VLOOKUP(I1163,[1]AUTOS!$C:$G,3,0),"")</f>
        <v>2024</v>
      </c>
      <c r="L1163" t="str">
        <f>IFERROR(VLOOKUP(I1163,[1]AUTOS!$C:$G,4,0),"")</f>
        <v>GRIS</v>
      </c>
      <c r="M1163" t="s">
        <v>43</v>
      </c>
      <c r="N1163" s="3">
        <v>0</v>
      </c>
      <c r="O1163" s="3">
        <v>0</v>
      </c>
      <c r="P1163" s="3">
        <v>-2500</v>
      </c>
    </row>
    <row r="1164" spans="1:16" hidden="1" x14ac:dyDescent="0.3">
      <c r="A1164">
        <v>33</v>
      </c>
      <c r="B1164" t="str">
        <f>VLOOKUP($A1164,[1]LISTA!$B:$C,2,0)</f>
        <v>AGOSTO</v>
      </c>
      <c r="C1164" s="1">
        <v>2025</v>
      </c>
      <c r="D1164" s="1" t="str">
        <f>IF($A1164&lt;=[1]RESULTADOS!$D$6,"YTD","YTG")</f>
        <v>YTD</v>
      </c>
      <c r="E1164" t="s">
        <v>17</v>
      </c>
      <c r="F1164" t="s">
        <v>664</v>
      </c>
      <c r="G1164" t="s">
        <v>665</v>
      </c>
      <c r="H1164" t="s">
        <v>666</v>
      </c>
      <c r="I1164" t="s">
        <v>131</v>
      </c>
      <c r="J1164" t="str">
        <f>IFERROR(VLOOKUP(I1164,[1]AUTOS!$C:$G,2,0),"")</f>
        <v>AVEO</v>
      </c>
      <c r="K1164">
        <f>IFERROR(VLOOKUP(I1164,[1]AUTOS!$C:$G,3,0),"")</f>
        <v>2024</v>
      </c>
      <c r="L1164" t="str">
        <f>IFERROR(VLOOKUP(I1164,[1]AUTOS!$C:$G,4,0),"")</f>
        <v>GRIS</v>
      </c>
      <c r="M1164" t="s">
        <v>43</v>
      </c>
      <c r="N1164" s="3">
        <v>0</v>
      </c>
      <c r="O1164" s="3">
        <v>0</v>
      </c>
      <c r="P1164" s="3">
        <v>-2500</v>
      </c>
    </row>
    <row r="1165" spans="1:16" hidden="1" x14ac:dyDescent="0.3">
      <c r="A1165">
        <v>34</v>
      </c>
      <c r="B1165" t="str">
        <f>VLOOKUP($A1165,[1]LISTA!$B:$C,2,0)</f>
        <v>AGOSTO</v>
      </c>
      <c r="C1165" s="1">
        <v>2025</v>
      </c>
      <c r="D1165" s="1" t="str">
        <f>IF($A1165&lt;=[1]RESULTADOS!$D$6,"YTD","YTG")</f>
        <v>YTD</v>
      </c>
      <c r="E1165" t="s">
        <v>17</v>
      </c>
      <c r="F1165" t="s">
        <v>664</v>
      </c>
      <c r="G1165" t="s">
        <v>665</v>
      </c>
      <c r="H1165" t="s">
        <v>666</v>
      </c>
      <c r="I1165" t="s">
        <v>131</v>
      </c>
      <c r="J1165" t="str">
        <f>IFERROR(VLOOKUP(I1165,[1]AUTOS!$C:$G,2,0),"")</f>
        <v>AVEO</v>
      </c>
      <c r="K1165">
        <f>IFERROR(VLOOKUP(I1165,[1]AUTOS!$C:$G,3,0),"")</f>
        <v>2024</v>
      </c>
      <c r="L1165" t="str">
        <f>IFERROR(VLOOKUP(I1165,[1]AUTOS!$C:$G,4,0),"")</f>
        <v>GRIS</v>
      </c>
      <c r="M1165" t="s">
        <v>43</v>
      </c>
      <c r="N1165" s="3">
        <v>0</v>
      </c>
      <c r="O1165" s="3">
        <v>0</v>
      </c>
      <c r="P1165" s="3">
        <v>-2500</v>
      </c>
    </row>
    <row r="1166" spans="1:16" hidden="1" x14ac:dyDescent="0.3">
      <c r="A1166">
        <v>35</v>
      </c>
      <c r="B1166" t="str">
        <f>VLOOKUP($A1166,[1]LISTA!$B:$C,2,0)</f>
        <v>AGOSTO</v>
      </c>
      <c r="C1166" s="1">
        <v>2025</v>
      </c>
      <c r="D1166" s="1" t="str">
        <f>IF($A1166&lt;=[1]RESULTADOS!$D$6,"YTD","YTG")</f>
        <v>YTD</v>
      </c>
      <c r="E1166" t="s">
        <v>17</v>
      </c>
      <c r="F1166" t="s">
        <v>664</v>
      </c>
      <c r="G1166" t="s">
        <v>665</v>
      </c>
      <c r="H1166" t="s">
        <v>666</v>
      </c>
      <c r="I1166" t="s">
        <v>131</v>
      </c>
      <c r="J1166" t="str">
        <f>IFERROR(VLOOKUP(I1166,[1]AUTOS!$C:$G,2,0),"")</f>
        <v>AVEO</v>
      </c>
      <c r="K1166">
        <f>IFERROR(VLOOKUP(I1166,[1]AUTOS!$C:$G,3,0),"")</f>
        <v>2024</v>
      </c>
      <c r="L1166" t="str">
        <f>IFERROR(VLOOKUP(I1166,[1]AUTOS!$C:$G,4,0),"")</f>
        <v>GRIS</v>
      </c>
      <c r="M1166" t="s">
        <v>43</v>
      </c>
      <c r="N1166" s="3">
        <v>0</v>
      </c>
      <c r="O1166" s="3">
        <v>0</v>
      </c>
      <c r="P1166" s="3">
        <v>-2500</v>
      </c>
    </row>
    <row r="1167" spans="1:16" hidden="1" x14ac:dyDescent="0.3">
      <c r="A1167">
        <v>36</v>
      </c>
      <c r="B1167" t="str">
        <f>VLOOKUP($A1167,[1]LISTA!$B:$C,2,0)</f>
        <v>SEPTIEMBRE</v>
      </c>
      <c r="C1167" s="1">
        <v>2025</v>
      </c>
      <c r="D1167" s="1" t="str">
        <f>IF($A1167&lt;=[1]RESULTADOS!$D$6,"YTD","YTG")</f>
        <v>YTD</v>
      </c>
      <c r="E1167" t="s">
        <v>17</v>
      </c>
      <c r="F1167" t="s">
        <v>664</v>
      </c>
      <c r="G1167" t="s">
        <v>665</v>
      </c>
      <c r="H1167" t="s">
        <v>666</v>
      </c>
      <c r="I1167" t="s">
        <v>131</v>
      </c>
      <c r="J1167" t="str">
        <f>IFERROR(VLOOKUP(I1167,[1]AUTOS!$C:$G,2,0),"")</f>
        <v>AVEO</v>
      </c>
      <c r="K1167">
        <f>IFERROR(VLOOKUP(I1167,[1]AUTOS!$C:$G,3,0),"")</f>
        <v>2024</v>
      </c>
      <c r="L1167" t="str">
        <f>IFERROR(VLOOKUP(I1167,[1]AUTOS!$C:$G,4,0),"")</f>
        <v>GRIS</v>
      </c>
      <c r="M1167" t="s">
        <v>43</v>
      </c>
      <c r="N1167" s="3">
        <v>0</v>
      </c>
      <c r="O1167" s="3">
        <v>0</v>
      </c>
      <c r="P1167" s="3">
        <v>-2500</v>
      </c>
    </row>
    <row r="1168" spans="1:16" hidden="1" x14ac:dyDescent="0.3">
      <c r="A1168">
        <v>37</v>
      </c>
      <c r="B1168" t="str">
        <f>VLOOKUP($A1168,[1]LISTA!$B:$C,2,0)</f>
        <v>SEPTIEMBRE</v>
      </c>
      <c r="C1168" s="1">
        <v>2025</v>
      </c>
      <c r="D1168" s="1" t="str">
        <f>IF($A1168&lt;=[1]RESULTADOS!$D$6,"YTD","YTG")</f>
        <v>YTD</v>
      </c>
      <c r="E1168" t="s">
        <v>17</v>
      </c>
      <c r="F1168" t="s">
        <v>664</v>
      </c>
      <c r="G1168" t="s">
        <v>665</v>
      </c>
      <c r="H1168" t="s">
        <v>666</v>
      </c>
      <c r="I1168" t="s">
        <v>131</v>
      </c>
      <c r="J1168" t="str">
        <f>IFERROR(VLOOKUP(I1168,[1]AUTOS!$C:$G,2,0),"")</f>
        <v>AVEO</v>
      </c>
      <c r="K1168">
        <f>IFERROR(VLOOKUP(I1168,[1]AUTOS!$C:$G,3,0),"")</f>
        <v>2024</v>
      </c>
      <c r="L1168" t="str">
        <f>IFERROR(VLOOKUP(I1168,[1]AUTOS!$C:$G,4,0),"")</f>
        <v>GRIS</v>
      </c>
      <c r="M1168" t="s">
        <v>43</v>
      </c>
      <c r="N1168" s="3">
        <v>0</v>
      </c>
      <c r="O1168" s="3">
        <v>0</v>
      </c>
      <c r="P1168" s="3">
        <v>-2500</v>
      </c>
    </row>
    <row r="1169" spans="1:16" hidden="1" x14ac:dyDescent="0.3">
      <c r="A1169">
        <v>38</v>
      </c>
      <c r="B1169" t="str">
        <f>VLOOKUP($A1169,[1]LISTA!$B:$C,2,0)</f>
        <v>SEPTIEMBRE</v>
      </c>
      <c r="C1169" s="1">
        <v>2025</v>
      </c>
      <c r="D1169" s="1" t="str">
        <f>IF($A1169&lt;=[1]RESULTADOS!$D$6,"YTD","YTG")</f>
        <v>YTD</v>
      </c>
      <c r="E1169" t="s">
        <v>17</v>
      </c>
      <c r="F1169" t="s">
        <v>664</v>
      </c>
      <c r="G1169" t="s">
        <v>665</v>
      </c>
      <c r="H1169" t="s">
        <v>666</v>
      </c>
      <c r="I1169" t="s">
        <v>131</v>
      </c>
      <c r="J1169" t="str">
        <f>IFERROR(VLOOKUP(I1169,[1]AUTOS!$C:$G,2,0),"")</f>
        <v>AVEO</v>
      </c>
      <c r="K1169">
        <f>IFERROR(VLOOKUP(I1169,[1]AUTOS!$C:$G,3,0),"")</f>
        <v>2024</v>
      </c>
      <c r="L1169" t="str">
        <f>IFERROR(VLOOKUP(I1169,[1]AUTOS!$C:$G,4,0),"")</f>
        <v>GRIS</v>
      </c>
      <c r="M1169" t="s">
        <v>43</v>
      </c>
      <c r="N1169" s="3">
        <v>0</v>
      </c>
      <c r="O1169" s="3">
        <v>0</v>
      </c>
      <c r="P1169" s="3">
        <v>-2500</v>
      </c>
    </row>
    <row r="1170" spans="1:16" hidden="1" x14ac:dyDescent="0.3">
      <c r="A1170">
        <v>39</v>
      </c>
      <c r="B1170" t="str">
        <f>VLOOKUP($A1170,[1]LISTA!$B:$C,2,0)</f>
        <v>SEPTIEMBRE</v>
      </c>
      <c r="C1170" s="1">
        <v>2025</v>
      </c>
      <c r="D1170" s="1" t="str">
        <f>IF($A1170&lt;=[1]RESULTADOS!$D$6,"YTD","YTG")</f>
        <v>YTD</v>
      </c>
      <c r="E1170" t="s">
        <v>17</v>
      </c>
      <c r="F1170" t="s">
        <v>664</v>
      </c>
      <c r="G1170" t="s">
        <v>665</v>
      </c>
      <c r="H1170" t="s">
        <v>666</v>
      </c>
      <c r="I1170" t="s">
        <v>131</v>
      </c>
      <c r="J1170" t="str">
        <f>IFERROR(VLOOKUP(I1170,[1]AUTOS!$C:$G,2,0),"")</f>
        <v>AVEO</v>
      </c>
      <c r="K1170">
        <f>IFERROR(VLOOKUP(I1170,[1]AUTOS!$C:$G,3,0),"")</f>
        <v>2024</v>
      </c>
      <c r="L1170" t="str">
        <f>IFERROR(VLOOKUP(I1170,[1]AUTOS!$C:$G,4,0),"")</f>
        <v>GRIS</v>
      </c>
      <c r="M1170" t="s">
        <v>43</v>
      </c>
      <c r="N1170" s="3">
        <v>0</v>
      </c>
      <c r="O1170" s="3">
        <v>0</v>
      </c>
      <c r="P1170" s="3">
        <v>-2500</v>
      </c>
    </row>
    <row r="1171" spans="1:16" hidden="1" x14ac:dyDescent="0.3">
      <c r="A1171">
        <v>40</v>
      </c>
      <c r="B1171" t="str">
        <f>VLOOKUP($A1171,[1]LISTA!$B:$C,2,0)</f>
        <v>OCTUBRE</v>
      </c>
      <c r="C1171" s="1">
        <v>2025</v>
      </c>
      <c r="D1171" s="1" t="str">
        <f>IF($A1171&lt;=[1]RESULTADOS!$D$6,"YTD","YTG")</f>
        <v>YTG</v>
      </c>
      <c r="E1171" t="s">
        <v>17</v>
      </c>
      <c r="F1171" t="s">
        <v>664</v>
      </c>
      <c r="G1171" t="s">
        <v>665</v>
      </c>
      <c r="H1171" t="s">
        <v>666</v>
      </c>
      <c r="I1171" t="s">
        <v>131</v>
      </c>
      <c r="J1171" t="str">
        <f>IFERROR(VLOOKUP(I1171,[1]AUTOS!$C:$G,2,0),"")</f>
        <v>AVEO</v>
      </c>
      <c r="K1171">
        <f>IFERROR(VLOOKUP(I1171,[1]AUTOS!$C:$G,3,0),"")</f>
        <v>2024</v>
      </c>
      <c r="L1171" t="str">
        <f>IFERROR(VLOOKUP(I1171,[1]AUTOS!$C:$G,4,0),"")</f>
        <v>GRIS</v>
      </c>
      <c r="M1171" t="s">
        <v>43</v>
      </c>
      <c r="N1171" s="3">
        <v>0</v>
      </c>
      <c r="O1171" s="3">
        <v>0</v>
      </c>
      <c r="P1171" s="3">
        <v>-2500</v>
      </c>
    </row>
    <row r="1172" spans="1:16" hidden="1" x14ac:dyDescent="0.3">
      <c r="A1172">
        <v>41</v>
      </c>
      <c r="B1172" t="str">
        <f>VLOOKUP($A1172,[1]LISTA!$B:$C,2,0)</f>
        <v>OCTUBRE</v>
      </c>
      <c r="C1172" s="1">
        <v>2025</v>
      </c>
      <c r="D1172" s="1" t="str">
        <f>IF($A1172&lt;=[1]RESULTADOS!$D$6,"YTD","YTG")</f>
        <v>YTG</v>
      </c>
      <c r="E1172" t="s">
        <v>17</v>
      </c>
      <c r="F1172" t="s">
        <v>664</v>
      </c>
      <c r="G1172" t="s">
        <v>665</v>
      </c>
      <c r="H1172" t="s">
        <v>666</v>
      </c>
      <c r="I1172" t="s">
        <v>131</v>
      </c>
      <c r="J1172" t="str">
        <f>IFERROR(VLOOKUP(I1172,[1]AUTOS!$C:$G,2,0),"")</f>
        <v>AVEO</v>
      </c>
      <c r="K1172">
        <f>IFERROR(VLOOKUP(I1172,[1]AUTOS!$C:$G,3,0),"")</f>
        <v>2024</v>
      </c>
      <c r="L1172" t="str">
        <f>IFERROR(VLOOKUP(I1172,[1]AUTOS!$C:$G,4,0),"")</f>
        <v>GRIS</v>
      </c>
      <c r="M1172" t="s">
        <v>43</v>
      </c>
      <c r="N1172" s="3">
        <v>0</v>
      </c>
      <c r="O1172" s="3">
        <v>0</v>
      </c>
      <c r="P1172" s="3">
        <v>-2500</v>
      </c>
    </row>
    <row r="1173" spans="1:16" hidden="1" x14ac:dyDescent="0.3">
      <c r="A1173">
        <v>42</v>
      </c>
      <c r="B1173" t="str">
        <f>VLOOKUP($A1173,[1]LISTA!$B:$C,2,0)</f>
        <v>OCTUBRE</v>
      </c>
      <c r="C1173" s="1">
        <v>2025</v>
      </c>
      <c r="D1173" s="1" t="str">
        <f>IF($A1173&lt;=[1]RESULTADOS!$D$6,"YTD","YTG")</f>
        <v>YTG</v>
      </c>
      <c r="E1173" t="s">
        <v>17</v>
      </c>
      <c r="F1173" t="s">
        <v>664</v>
      </c>
      <c r="G1173" t="s">
        <v>665</v>
      </c>
      <c r="H1173" t="s">
        <v>666</v>
      </c>
      <c r="I1173" t="s">
        <v>131</v>
      </c>
      <c r="J1173" t="str">
        <f>IFERROR(VLOOKUP(I1173,[1]AUTOS!$C:$G,2,0),"")</f>
        <v>AVEO</v>
      </c>
      <c r="K1173">
        <f>IFERROR(VLOOKUP(I1173,[1]AUTOS!$C:$G,3,0),"")</f>
        <v>2024</v>
      </c>
      <c r="L1173" t="str">
        <f>IFERROR(VLOOKUP(I1173,[1]AUTOS!$C:$G,4,0),"")</f>
        <v>GRIS</v>
      </c>
      <c r="M1173" t="s">
        <v>43</v>
      </c>
      <c r="N1173" s="3">
        <v>0</v>
      </c>
      <c r="O1173" s="3">
        <v>0</v>
      </c>
      <c r="P1173" s="3">
        <v>-2500</v>
      </c>
    </row>
    <row r="1174" spans="1:16" hidden="1" x14ac:dyDescent="0.3">
      <c r="A1174">
        <v>43</v>
      </c>
      <c r="B1174" t="str">
        <f>VLOOKUP($A1174,[1]LISTA!$B:$C,2,0)</f>
        <v>OCTUBRE</v>
      </c>
      <c r="C1174" s="1">
        <v>2025</v>
      </c>
      <c r="D1174" s="1" t="str">
        <f>IF($A1174&lt;=[1]RESULTADOS!$D$6,"YTD","YTG")</f>
        <v>YTG</v>
      </c>
      <c r="E1174" t="s">
        <v>17</v>
      </c>
      <c r="F1174" t="s">
        <v>664</v>
      </c>
      <c r="G1174" t="s">
        <v>665</v>
      </c>
      <c r="H1174" t="s">
        <v>666</v>
      </c>
      <c r="I1174" t="s">
        <v>131</v>
      </c>
      <c r="J1174" t="str">
        <f>IFERROR(VLOOKUP(I1174,[1]AUTOS!$C:$G,2,0),"")</f>
        <v>AVEO</v>
      </c>
      <c r="K1174">
        <f>IFERROR(VLOOKUP(I1174,[1]AUTOS!$C:$G,3,0),"")</f>
        <v>2024</v>
      </c>
      <c r="L1174" t="str">
        <f>IFERROR(VLOOKUP(I1174,[1]AUTOS!$C:$G,4,0),"")</f>
        <v>GRIS</v>
      </c>
      <c r="M1174" t="s">
        <v>43</v>
      </c>
      <c r="N1174" s="3">
        <v>0</v>
      </c>
      <c r="O1174" s="3">
        <v>0</v>
      </c>
      <c r="P1174" s="3">
        <v>-2500</v>
      </c>
    </row>
    <row r="1175" spans="1:16" hidden="1" x14ac:dyDescent="0.3">
      <c r="A1175">
        <v>44</v>
      </c>
      <c r="B1175" t="str">
        <f>VLOOKUP($A1175,[1]LISTA!$B:$C,2,0)</f>
        <v>OCTUBRE</v>
      </c>
      <c r="C1175" s="1">
        <v>2025</v>
      </c>
      <c r="D1175" s="1" t="str">
        <f>IF($A1175&lt;=[1]RESULTADOS!$D$6,"YTD","YTG")</f>
        <v>YTG</v>
      </c>
      <c r="E1175" t="s">
        <v>17</v>
      </c>
      <c r="F1175" t="s">
        <v>664</v>
      </c>
      <c r="G1175" t="s">
        <v>665</v>
      </c>
      <c r="H1175" t="s">
        <v>666</v>
      </c>
      <c r="I1175" t="s">
        <v>131</v>
      </c>
      <c r="J1175" t="str">
        <f>IFERROR(VLOOKUP(I1175,[1]AUTOS!$C:$G,2,0),"")</f>
        <v>AVEO</v>
      </c>
      <c r="K1175">
        <f>IFERROR(VLOOKUP(I1175,[1]AUTOS!$C:$G,3,0),"")</f>
        <v>2024</v>
      </c>
      <c r="L1175" t="str">
        <f>IFERROR(VLOOKUP(I1175,[1]AUTOS!$C:$G,4,0),"")</f>
        <v>GRIS</v>
      </c>
      <c r="M1175" t="s">
        <v>43</v>
      </c>
      <c r="N1175" s="3">
        <v>0</v>
      </c>
      <c r="O1175" s="3">
        <v>0</v>
      </c>
      <c r="P1175" s="3">
        <v>-2500</v>
      </c>
    </row>
    <row r="1176" spans="1:16" hidden="1" x14ac:dyDescent="0.3">
      <c r="A1176">
        <v>45</v>
      </c>
      <c r="B1176" t="str">
        <f>VLOOKUP($A1176,[1]LISTA!$B:$C,2,0)</f>
        <v>NOVIEMBRE</v>
      </c>
      <c r="C1176" s="1">
        <v>2025</v>
      </c>
      <c r="D1176" s="1" t="str">
        <f>IF($A1176&lt;=[1]RESULTADOS!$D$6,"YTD","YTG")</f>
        <v>YTG</v>
      </c>
      <c r="E1176" t="s">
        <v>17</v>
      </c>
      <c r="F1176" t="s">
        <v>664</v>
      </c>
      <c r="G1176" t="s">
        <v>665</v>
      </c>
      <c r="H1176" t="s">
        <v>666</v>
      </c>
      <c r="I1176" t="s">
        <v>131</v>
      </c>
      <c r="J1176" t="str">
        <f>IFERROR(VLOOKUP(I1176,[1]AUTOS!$C:$G,2,0),"")</f>
        <v>AVEO</v>
      </c>
      <c r="K1176">
        <f>IFERROR(VLOOKUP(I1176,[1]AUTOS!$C:$G,3,0),"")</f>
        <v>2024</v>
      </c>
      <c r="L1176" t="str">
        <f>IFERROR(VLOOKUP(I1176,[1]AUTOS!$C:$G,4,0),"")</f>
        <v>GRIS</v>
      </c>
      <c r="M1176" t="s">
        <v>43</v>
      </c>
      <c r="N1176" s="3">
        <v>0</v>
      </c>
      <c r="O1176" s="3">
        <v>0</v>
      </c>
      <c r="P1176" s="3">
        <v>-2500</v>
      </c>
    </row>
    <row r="1177" spans="1:16" hidden="1" x14ac:dyDescent="0.3">
      <c r="A1177">
        <v>46</v>
      </c>
      <c r="B1177" t="str">
        <f>VLOOKUP($A1177,[1]LISTA!$B:$C,2,0)</f>
        <v>NOVIEMBRE</v>
      </c>
      <c r="C1177" s="1">
        <v>2025</v>
      </c>
      <c r="D1177" s="1" t="str">
        <f>IF($A1177&lt;=[1]RESULTADOS!$D$6,"YTD","YTG")</f>
        <v>YTG</v>
      </c>
      <c r="E1177" t="s">
        <v>17</v>
      </c>
      <c r="F1177" t="s">
        <v>664</v>
      </c>
      <c r="G1177" t="s">
        <v>665</v>
      </c>
      <c r="H1177" t="s">
        <v>666</v>
      </c>
      <c r="I1177" t="s">
        <v>131</v>
      </c>
      <c r="J1177" t="str">
        <f>IFERROR(VLOOKUP(I1177,[1]AUTOS!$C:$G,2,0),"")</f>
        <v>AVEO</v>
      </c>
      <c r="K1177">
        <f>IFERROR(VLOOKUP(I1177,[1]AUTOS!$C:$G,3,0),"")</f>
        <v>2024</v>
      </c>
      <c r="L1177" t="str">
        <f>IFERROR(VLOOKUP(I1177,[1]AUTOS!$C:$G,4,0),"")</f>
        <v>GRIS</v>
      </c>
      <c r="M1177" t="s">
        <v>43</v>
      </c>
      <c r="N1177" s="3">
        <v>0</v>
      </c>
      <c r="O1177" s="3">
        <v>0</v>
      </c>
      <c r="P1177" s="3">
        <v>-2500</v>
      </c>
    </row>
    <row r="1178" spans="1:16" hidden="1" x14ac:dyDescent="0.3">
      <c r="A1178">
        <v>47</v>
      </c>
      <c r="B1178" t="str">
        <f>VLOOKUP($A1178,[1]LISTA!$B:$C,2,0)</f>
        <v>NOVIEMBRE</v>
      </c>
      <c r="C1178" s="1">
        <v>2025</v>
      </c>
      <c r="D1178" s="1" t="str">
        <f>IF($A1178&lt;=[1]RESULTADOS!$D$6,"YTD","YTG")</f>
        <v>YTG</v>
      </c>
      <c r="E1178" t="s">
        <v>17</v>
      </c>
      <c r="F1178" t="s">
        <v>664</v>
      </c>
      <c r="G1178" t="s">
        <v>665</v>
      </c>
      <c r="H1178" t="s">
        <v>666</v>
      </c>
      <c r="I1178" t="s">
        <v>131</v>
      </c>
      <c r="J1178" t="str">
        <f>IFERROR(VLOOKUP(I1178,[1]AUTOS!$C:$G,2,0),"")</f>
        <v>AVEO</v>
      </c>
      <c r="K1178">
        <f>IFERROR(VLOOKUP(I1178,[1]AUTOS!$C:$G,3,0),"")</f>
        <v>2024</v>
      </c>
      <c r="L1178" t="str">
        <f>IFERROR(VLOOKUP(I1178,[1]AUTOS!$C:$G,4,0),"")</f>
        <v>GRIS</v>
      </c>
      <c r="M1178" t="s">
        <v>43</v>
      </c>
      <c r="N1178" s="3">
        <v>0</v>
      </c>
      <c r="O1178" s="3">
        <v>0</v>
      </c>
      <c r="P1178" s="3">
        <v>-2500</v>
      </c>
    </row>
    <row r="1179" spans="1:16" hidden="1" x14ac:dyDescent="0.3">
      <c r="A1179">
        <v>48</v>
      </c>
      <c r="B1179" t="str">
        <f>VLOOKUP($A1179,[1]LISTA!$B:$C,2,0)</f>
        <v>NOVIEMBRE</v>
      </c>
      <c r="C1179" s="1">
        <v>2025</v>
      </c>
      <c r="D1179" s="1" t="str">
        <f>IF($A1179&lt;=[1]RESULTADOS!$D$6,"YTD","YTG")</f>
        <v>YTG</v>
      </c>
      <c r="E1179" t="s">
        <v>17</v>
      </c>
      <c r="F1179" t="s">
        <v>664</v>
      </c>
      <c r="G1179" t="s">
        <v>665</v>
      </c>
      <c r="H1179" t="s">
        <v>666</v>
      </c>
      <c r="I1179" t="s">
        <v>131</v>
      </c>
      <c r="J1179" t="str">
        <f>IFERROR(VLOOKUP(I1179,[1]AUTOS!$C:$G,2,0),"")</f>
        <v>AVEO</v>
      </c>
      <c r="K1179">
        <f>IFERROR(VLOOKUP(I1179,[1]AUTOS!$C:$G,3,0),"")</f>
        <v>2024</v>
      </c>
      <c r="L1179" t="str">
        <f>IFERROR(VLOOKUP(I1179,[1]AUTOS!$C:$G,4,0),"")</f>
        <v>GRIS</v>
      </c>
      <c r="M1179" t="s">
        <v>43</v>
      </c>
      <c r="N1179" s="3">
        <v>0</v>
      </c>
      <c r="O1179" s="3">
        <v>0</v>
      </c>
      <c r="P1179" s="3">
        <v>-2500</v>
      </c>
    </row>
    <row r="1180" spans="1:16" hidden="1" x14ac:dyDescent="0.3">
      <c r="A1180">
        <v>49</v>
      </c>
      <c r="B1180" t="str">
        <f>VLOOKUP($A1180,[1]LISTA!$B:$C,2,0)</f>
        <v>DICIEMBRE</v>
      </c>
      <c r="C1180" s="1">
        <v>2025</v>
      </c>
      <c r="D1180" s="1" t="str">
        <f>IF($A1180&lt;=[1]RESULTADOS!$D$6,"YTD","YTG")</f>
        <v>YTG</v>
      </c>
      <c r="E1180" t="s">
        <v>17</v>
      </c>
      <c r="F1180" t="s">
        <v>664</v>
      </c>
      <c r="G1180" t="s">
        <v>665</v>
      </c>
      <c r="H1180" t="s">
        <v>666</v>
      </c>
      <c r="I1180" t="s">
        <v>131</v>
      </c>
      <c r="J1180" t="str">
        <f>IFERROR(VLOOKUP(I1180,[1]AUTOS!$C:$G,2,0),"")</f>
        <v>AVEO</v>
      </c>
      <c r="K1180">
        <f>IFERROR(VLOOKUP(I1180,[1]AUTOS!$C:$G,3,0),"")</f>
        <v>2024</v>
      </c>
      <c r="L1180" t="str">
        <f>IFERROR(VLOOKUP(I1180,[1]AUTOS!$C:$G,4,0),"")</f>
        <v>GRIS</v>
      </c>
      <c r="M1180" t="s">
        <v>43</v>
      </c>
      <c r="N1180" s="3">
        <v>0</v>
      </c>
      <c r="O1180" s="3">
        <v>0</v>
      </c>
      <c r="P1180" s="3">
        <v>-2500</v>
      </c>
    </row>
    <row r="1181" spans="1:16" hidden="1" x14ac:dyDescent="0.3">
      <c r="A1181">
        <v>50</v>
      </c>
      <c r="B1181" t="str">
        <f>VLOOKUP($A1181,[1]LISTA!$B:$C,2,0)</f>
        <v>DICIEMBRE</v>
      </c>
      <c r="C1181" s="1">
        <v>2025</v>
      </c>
      <c r="D1181" s="1" t="str">
        <f>IF($A1181&lt;=[1]RESULTADOS!$D$6,"YTD","YTG")</f>
        <v>YTG</v>
      </c>
      <c r="E1181" t="s">
        <v>17</v>
      </c>
      <c r="F1181" t="s">
        <v>664</v>
      </c>
      <c r="G1181" t="s">
        <v>665</v>
      </c>
      <c r="H1181" t="s">
        <v>666</v>
      </c>
      <c r="I1181" t="s">
        <v>131</v>
      </c>
      <c r="J1181" t="str">
        <f>IFERROR(VLOOKUP(I1181,[1]AUTOS!$C:$G,2,0),"")</f>
        <v>AVEO</v>
      </c>
      <c r="K1181">
        <f>IFERROR(VLOOKUP(I1181,[1]AUTOS!$C:$G,3,0),"")</f>
        <v>2024</v>
      </c>
      <c r="L1181" t="str">
        <f>IFERROR(VLOOKUP(I1181,[1]AUTOS!$C:$G,4,0),"")</f>
        <v>GRIS</v>
      </c>
      <c r="M1181" t="s">
        <v>43</v>
      </c>
      <c r="N1181" s="3">
        <v>0</v>
      </c>
      <c r="O1181" s="3">
        <v>0</v>
      </c>
      <c r="P1181" s="3">
        <v>-2500</v>
      </c>
    </row>
    <row r="1182" spans="1:16" hidden="1" x14ac:dyDescent="0.3">
      <c r="A1182">
        <v>51</v>
      </c>
      <c r="B1182" t="str">
        <f>VLOOKUP($A1182,[1]LISTA!$B:$C,2,0)</f>
        <v>DICIEMBRE</v>
      </c>
      <c r="C1182" s="1">
        <v>2025</v>
      </c>
      <c r="D1182" s="1" t="str">
        <f>IF($A1182&lt;=[1]RESULTADOS!$D$6,"YTD","YTG")</f>
        <v>YTG</v>
      </c>
      <c r="E1182" t="s">
        <v>17</v>
      </c>
      <c r="F1182" t="s">
        <v>664</v>
      </c>
      <c r="G1182" t="s">
        <v>665</v>
      </c>
      <c r="H1182" t="s">
        <v>666</v>
      </c>
      <c r="I1182" t="s">
        <v>131</v>
      </c>
      <c r="J1182" t="str">
        <f>IFERROR(VLOOKUP(I1182,[1]AUTOS!$C:$G,2,0),"")</f>
        <v>AVEO</v>
      </c>
      <c r="K1182">
        <f>IFERROR(VLOOKUP(I1182,[1]AUTOS!$C:$G,3,0),"")</f>
        <v>2024</v>
      </c>
      <c r="L1182" t="str">
        <f>IFERROR(VLOOKUP(I1182,[1]AUTOS!$C:$G,4,0),"")</f>
        <v>GRIS</v>
      </c>
      <c r="M1182" t="s">
        <v>43</v>
      </c>
      <c r="N1182" s="3">
        <v>0</v>
      </c>
      <c r="O1182" s="3">
        <v>0</v>
      </c>
      <c r="P1182" s="3">
        <v>-2500</v>
      </c>
    </row>
    <row r="1183" spans="1:16" hidden="1" x14ac:dyDescent="0.3">
      <c r="A1183">
        <v>52</v>
      </c>
      <c r="B1183" t="str">
        <f>VLOOKUP($A1183,[1]LISTA!$B:$C,2,0)</f>
        <v>DICIEMBRE</v>
      </c>
      <c r="C1183" s="1">
        <v>2025</v>
      </c>
      <c r="D1183" s="1" t="str">
        <f>IF($A1183&lt;=[1]RESULTADOS!$D$6,"YTD","YTG")</f>
        <v>YTG</v>
      </c>
      <c r="E1183" t="s">
        <v>17</v>
      </c>
      <c r="F1183" t="s">
        <v>664</v>
      </c>
      <c r="G1183" t="s">
        <v>665</v>
      </c>
      <c r="H1183" t="s">
        <v>666</v>
      </c>
      <c r="I1183" t="s">
        <v>131</v>
      </c>
      <c r="J1183" t="str">
        <f>IFERROR(VLOOKUP(I1183,[1]AUTOS!$C:$G,2,0),"")</f>
        <v>AVEO</v>
      </c>
      <c r="K1183">
        <f>IFERROR(VLOOKUP(I1183,[1]AUTOS!$C:$G,3,0),"")</f>
        <v>2024</v>
      </c>
      <c r="L1183" t="str">
        <f>IFERROR(VLOOKUP(I1183,[1]AUTOS!$C:$G,4,0),"")</f>
        <v>GRIS</v>
      </c>
      <c r="M1183" t="s">
        <v>43</v>
      </c>
      <c r="N1183" s="3">
        <v>0</v>
      </c>
      <c r="O1183" s="3">
        <v>0</v>
      </c>
      <c r="P1183" s="3">
        <v>-2500</v>
      </c>
    </row>
    <row r="1184" spans="1:16" hidden="1" x14ac:dyDescent="0.3">
      <c r="A1184">
        <v>12</v>
      </c>
      <c r="B1184" t="str">
        <f>VLOOKUP($A1184,[1]LISTA!$B:$C,2,0)</f>
        <v>MARZO</v>
      </c>
      <c r="C1184" s="1">
        <v>2025</v>
      </c>
      <c r="D1184" s="1" t="str">
        <f>IF($A1184&lt;=[1]RESULTADOS!$D$6,"YTD","YTG")</f>
        <v>YTD</v>
      </c>
      <c r="E1184" t="s">
        <v>17</v>
      </c>
      <c r="F1184" t="s">
        <v>664</v>
      </c>
      <c r="G1184" t="s">
        <v>665</v>
      </c>
      <c r="H1184" t="s">
        <v>666</v>
      </c>
      <c r="I1184" t="s">
        <v>185</v>
      </c>
      <c r="J1184" t="str">
        <f>IFERROR(VLOOKUP(I1184,[1]AUTOS!$C:$G,2,0),"")</f>
        <v>MARCH</v>
      </c>
      <c r="K1184">
        <f>IFERROR(VLOOKUP(I1184,[1]AUTOS!$C:$G,3,0),"")</f>
        <v>2021</v>
      </c>
      <c r="L1184" t="str">
        <f>IFERROR(VLOOKUP(I1184,[1]AUTOS!$C:$G,4,0),"")</f>
        <v>ROJO</v>
      </c>
      <c r="M1184" t="s">
        <v>43</v>
      </c>
      <c r="N1184" s="3">
        <v>0</v>
      </c>
      <c r="O1184" s="3">
        <v>0</v>
      </c>
      <c r="P1184" s="3">
        <v>-2500</v>
      </c>
    </row>
    <row r="1185" spans="1:16" hidden="1" x14ac:dyDescent="0.3">
      <c r="A1185">
        <v>13</v>
      </c>
      <c r="B1185" t="str">
        <f>VLOOKUP($A1185,[1]LISTA!$B:$C,2,0)</f>
        <v>MARZO</v>
      </c>
      <c r="C1185" s="1">
        <v>2025</v>
      </c>
      <c r="D1185" s="1" t="str">
        <f>IF($A1185&lt;=[1]RESULTADOS!$D$6,"YTD","YTG")</f>
        <v>YTD</v>
      </c>
      <c r="E1185" t="s">
        <v>17</v>
      </c>
      <c r="F1185" t="s">
        <v>664</v>
      </c>
      <c r="G1185" t="s">
        <v>665</v>
      </c>
      <c r="H1185" t="s">
        <v>666</v>
      </c>
      <c r="I1185" t="s">
        <v>185</v>
      </c>
      <c r="J1185" t="str">
        <f>IFERROR(VLOOKUP(I1185,[1]AUTOS!$C:$G,2,0),"")</f>
        <v>MARCH</v>
      </c>
      <c r="K1185">
        <f>IFERROR(VLOOKUP(I1185,[1]AUTOS!$C:$G,3,0),"")</f>
        <v>2021</v>
      </c>
      <c r="L1185" t="str">
        <f>IFERROR(VLOOKUP(I1185,[1]AUTOS!$C:$G,4,0),"")</f>
        <v>ROJO</v>
      </c>
      <c r="M1185" t="s">
        <v>43</v>
      </c>
      <c r="N1185" s="3">
        <v>0</v>
      </c>
      <c r="O1185" s="3">
        <v>0</v>
      </c>
      <c r="P1185" s="3">
        <v>-2500</v>
      </c>
    </row>
    <row r="1186" spans="1:16" hidden="1" x14ac:dyDescent="0.3">
      <c r="A1186">
        <v>14</v>
      </c>
      <c r="B1186" t="str">
        <f>VLOOKUP($A1186,[1]LISTA!$B:$C,2,0)</f>
        <v>ABRIL</v>
      </c>
      <c r="C1186" s="1">
        <v>2025</v>
      </c>
      <c r="D1186" s="1" t="str">
        <f>IF($A1186&lt;=[1]RESULTADOS!$D$6,"YTD","YTG")</f>
        <v>YTD</v>
      </c>
      <c r="E1186" t="s">
        <v>17</v>
      </c>
      <c r="F1186" t="s">
        <v>664</v>
      </c>
      <c r="G1186" t="s">
        <v>665</v>
      </c>
      <c r="H1186" t="s">
        <v>666</v>
      </c>
      <c r="I1186" t="s">
        <v>185</v>
      </c>
      <c r="J1186" t="str">
        <f>IFERROR(VLOOKUP(I1186,[1]AUTOS!$C:$G,2,0),"")</f>
        <v>MARCH</v>
      </c>
      <c r="K1186">
        <f>IFERROR(VLOOKUP(I1186,[1]AUTOS!$C:$G,3,0),"")</f>
        <v>2021</v>
      </c>
      <c r="L1186" t="str">
        <f>IFERROR(VLOOKUP(I1186,[1]AUTOS!$C:$G,4,0),"")</f>
        <v>ROJO</v>
      </c>
      <c r="M1186" t="s">
        <v>43</v>
      </c>
      <c r="N1186" s="3">
        <v>0</v>
      </c>
      <c r="O1186" s="3">
        <v>0</v>
      </c>
      <c r="P1186" s="3">
        <v>-2500</v>
      </c>
    </row>
    <row r="1187" spans="1:16" hidden="1" x14ac:dyDescent="0.3">
      <c r="A1187">
        <v>15</v>
      </c>
      <c r="B1187" t="str">
        <f>VLOOKUP($A1187,[1]LISTA!$B:$C,2,0)</f>
        <v>ABRIL</v>
      </c>
      <c r="C1187" s="1">
        <v>2025</v>
      </c>
      <c r="D1187" s="1" t="str">
        <f>IF($A1187&lt;=[1]RESULTADOS!$D$6,"YTD","YTG")</f>
        <v>YTD</v>
      </c>
      <c r="E1187" t="s">
        <v>17</v>
      </c>
      <c r="F1187" t="s">
        <v>664</v>
      </c>
      <c r="G1187" t="s">
        <v>665</v>
      </c>
      <c r="H1187" t="s">
        <v>666</v>
      </c>
      <c r="I1187" t="s">
        <v>185</v>
      </c>
      <c r="J1187" t="str">
        <f>IFERROR(VLOOKUP(I1187,[1]AUTOS!$C:$G,2,0),"")</f>
        <v>MARCH</v>
      </c>
      <c r="K1187">
        <f>IFERROR(VLOOKUP(I1187,[1]AUTOS!$C:$G,3,0),"")</f>
        <v>2021</v>
      </c>
      <c r="L1187" t="str">
        <f>IFERROR(VLOOKUP(I1187,[1]AUTOS!$C:$G,4,0),"")</f>
        <v>ROJO</v>
      </c>
      <c r="M1187" t="s">
        <v>43</v>
      </c>
      <c r="N1187" s="3">
        <v>0</v>
      </c>
      <c r="O1187" s="3">
        <v>0</v>
      </c>
      <c r="P1187" s="3">
        <v>-2500</v>
      </c>
    </row>
    <row r="1188" spans="1:16" hidden="1" x14ac:dyDescent="0.3">
      <c r="A1188">
        <v>16</v>
      </c>
      <c r="B1188" t="str">
        <f>VLOOKUP($A1188,[1]LISTA!$B:$C,2,0)</f>
        <v>ABRIL</v>
      </c>
      <c r="C1188" s="1">
        <v>2025</v>
      </c>
      <c r="D1188" s="1" t="str">
        <f>IF($A1188&lt;=[1]RESULTADOS!$D$6,"YTD","YTG")</f>
        <v>YTD</v>
      </c>
      <c r="E1188" t="s">
        <v>17</v>
      </c>
      <c r="F1188" t="s">
        <v>664</v>
      </c>
      <c r="G1188" t="s">
        <v>665</v>
      </c>
      <c r="H1188" t="s">
        <v>666</v>
      </c>
      <c r="I1188" t="s">
        <v>185</v>
      </c>
      <c r="J1188" t="str">
        <f>IFERROR(VLOOKUP(I1188,[1]AUTOS!$C:$G,2,0),"")</f>
        <v>MARCH</v>
      </c>
      <c r="K1188">
        <f>IFERROR(VLOOKUP(I1188,[1]AUTOS!$C:$G,3,0),"")</f>
        <v>2021</v>
      </c>
      <c r="L1188" t="str">
        <f>IFERROR(VLOOKUP(I1188,[1]AUTOS!$C:$G,4,0),"")</f>
        <v>ROJO</v>
      </c>
      <c r="M1188" t="s">
        <v>43</v>
      </c>
      <c r="N1188" s="3">
        <v>0</v>
      </c>
      <c r="O1188" s="3">
        <v>0</v>
      </c>
      <c r="P1188" s="3">
        <v>-2500</v>
      </c>
    </row>
    <row r="1189" spans="1:16" hidden="1" x14ac:dyDescent="0.3">
      <c r="A1189">
        <v>17</v>
      </c>
      <c r="B1189" t="str">
        <f>VLOOKUP($A1189,[1]LISTA!$B:$C,2,0)</f>
        <v>ABRIL</v>
      </c>
      <c r="C1189" s="1">
        <v>2025</v>
      </c>
      <c r="D1189" s="1" t="str">
        <f>IF($A1189&lt;=[1]RESULTADOS!$D$6,"YTD","YTG")</f>
        <v>YTD</v>
      </c>
      <c r="E1189" t="s">
        <v>17</v>
      </c>
      <c r="F1189" t="s">
        <v>664</v>
      </c>
      <c r="G1189" t="s">
        <v>665</v>
      </c>
      <c r="H1189" t="s">
        <v>666</v>
      </c>
      <c r="I1189" t="s">
        <v>185</v>
      </c>
      <c r="J1189" t="str">
        <f>IFERROR(VLOOKUP(I1189,[1]AUTOS!$C:$G,2,0),"")</f>
        <v>MARCH</v>
      </c>
      <c r="K1189">
        <f>IFERROR(VLOOKUP(I1189,[1]AUTOS!$C:$G,3,0),"")</f>
        <v>2021</v>
      </c>
      <c r="L1189" t="str">
        <f>IFERROR(VLOOKUP(I1189,[1]AUTOS!$C:$G,4,0),"")</f>
        <v>ROJO</v>
      </c>
      <c r="M1189" t="s">
        <v>43</v>
      </c>
      <c r="N1189" s="3">
        <v>0</v>
      </c>
      <c r="O1189" s="3">
        <v>0</v>
      </c>
      <c r="P1189" s="3">
        <v>-2500</v>
      </c>
    </row>
    <row r="1190" spans="1:16" hidden="1" x14ac:dyDescent="0.3">
      <c r="A1190">
        <v>18</v>
      </c>
      <c r="B1190" t="str">
        <f>VLOOKUP($A1190,[1]LISTA!$B:$C,2,0)</f>
        <v>MAYO</v>
      </c>
      <c r="C1190" s="1">
        <v>2025</v>
      </c>
      <c r="D1190" s="1" t="str">
        <f>IF($A1190&lt;=[1]RESULTADOS!$D$6,"YTD","YTG")</f>
        <v>YTD</v>
      </c>
      <c r="E1190" t="s">
        <v>17</v>
      </c>
      <c r="F1190" t="s">
        <v>664</v>
      </c>
      <c r="G1190" t="s">
        <v>665</v>
      </c>
      <c r="H1190" t="s">
        <v>666</v>
      </c>
      <c r="I1190" t="s">
        <v>185</v>
      </c>
      <c r="J1190" t="str">
        <f>IFERROR(VLOOKUP(I1190,[1]AUTOS!$C:$G,2,0),"")</f>
        <v>MARCH</v>
      </c>
      <c r="K1190">
        <f>IFERROR(VLOOKUP(I1190,[1]AUTOS!$C:$G,3,0),"")</f>
        <v>2021</v>
      </c>
      <c r="L1190" t="str">
        <f>IFERROR(VLOOKUP(I1190,[1]AUTOS!$C:$G,4,0),"")</f>
        <v>ROJO</v>
      </c>
      <c r="M1190" t="s">
        <v>43</v>
      </c>
      <c r="N1190" s="3">
        <v>0</v>
      </c>
      <c r="O1190" s="3">
        <v>0</v>
      </c>
      <c r="P1190" s="3">
        <v>-2500</v>
      </c>
    </row>
    <row r="1191" spans="1:16" hidden="1" x14ac:dyDescent="0.3">
      <c r="A1191">
        <v>19</v>
      </c>
      <c r="B1191" t="str">
        <f>VLOOKUP($A1191,[1]LISTA!$B:$C,2,0)</f>
        <v>MAYO</v>
      </c>
      <c r="C1191" s="1">
        <v>2025</v>
      </c>
      <c r="D1191" s="1" t="str">
        <f>IF($A1191&lt;=[1]RESULTADOS!$D$6,"YTD","YTG")</f>
        <v>YTD</v>
      </c>
      <c r="E1191" t="s">
        <v>17</v>
      </c>
      <c r="F1191" t="s">
        <v>664</v>
      </c>
      <c r="G1191" t="s">
        <v>665</v>
      </c>
      <c r="H1191" t="s">
        <v>666</v>
      </c>
      <c r="I1191" t="s">
        <v>185</v>
      </c>
      <c r="J1191" t="str">
        <f>IFERROR(VLOOKUP(I1191,[1]AUTOS!$C:$G,2,0),"")</f>
        <v>MARCH</v>
      </c>
      <c r="K1191">
        <f>IFERROR(VLOOKUP(I1191,[1]AUTOS!$C:$G,3,0),"")</f>
        <v>2021</v>
      </c>
      <c r="L1191" t="str">
        <f>IFERROR(VLOOKUP(I1191,[1]AUTOS!$C:$G,4,0),"")</f>
        <v>ROJO</v>
      </c>
      <c r="M1191" t="s">
        <v>43</v>
      </c>
      <c r="N1191" s="3">
        <v>0</v>
      </c>
      <c r="O1191" s="3">
        <v>0</v>
      </c>
      <c r="P1191" s="3">
        <v>-2500</v>
      </c>
    </row>
    <row r="1192" spans="1:16" hidden="1" x14ac:dyDescent="0.3">
      <c r="A1192">
        <v>20</v>
      </c>
      <c r="B1192" t="str">
        <f>VLOOKUP($A1192,[1]LISTA!$B:$C,2,0)</f>
        <v>MAYO</v>
      </c>
      <c r="C1192" s="1">
        <v>2025</v>
      </c>
      <c r="D1192" s="1" t="str">
        <f>IF($A1192&lt;=[1]RESULTADOS!$D$6,"YTD","YTG")</f>
        <v>YTD</v>
      </c>
      <c r="E1192" t="s">
        <v>17</v>
      </c>
      <c r="F1192" t="s">
        <v>664</v>
      </c>
      <c r="G1192" t="s">
        <v>665</v>
      </c>
      <c r="H1192" t="s">
        <v>666</v>
      </c>
      <c r="I1192" t="s">
        <v>185</v>
      </c>
      <c r="J1192" t="str">
        <f>IFERROR(VLOOKUP(I1192,[1]AUTOS!$C:$G,2,0),"")</f>
        <v>MARCH</v>
      </c>
      <c r="K1192">
        <f>IFERROR(VLOOKUP(I1192,[1]AUTOS!$C:$G,3,0),"")</f>
        <v>2021</v>
      </c>
      <c r="L1192" t="str">
        <f>IFERROR(VLOOKUP(I1192,[1]AUTOS!$C:$G,4,0),"")</f>
        <v>ROJO</v>
      </c>
      <c r="M1192" t="s">
        <v>43</v>
      </c>
      <c r="N1192" s="3">
        <v>0</v>
      </c>
      <c r="O1192" s="3">
        <v>0</v>
      </c>
      <c r="P1192" s="3">
        <v>-2500</v>
      </c>
    </row>
    <row r="1193" spans="1:16" hidden="1" x14ac:dyDescent="0.3">
      <c r="A1193">
        <v>21</v>
      </c>
      <c r="B1193" t="str">
        <f>VLOOKUP($A1193,[1]LISTA!$B:$C,2,0)</f>
        <v>MAYO</v>
      </c>
      <c r="C1193" s="1">
        <v>2025</v>
      </c>
      <c r="D1193" s="1" t="str">
        <f>IF($A1193&lt;=[1]RESULTADOS!$D$6,"YTD","YTG")</f>
        <v>YTD</v>
      </c>
      <c r="E1193" t="s">
        <v>17</v>
      </c>
      <c r="F1193" t="s">
        <v>664</v>
      </c>
      <c r="G1193" t="s">
        <v>665</v>
      </c>
      <c r="H1193" t="s">
        <v>666</v>
      </c>
      <c r="I1193" t="s">
        <v>185</v>
      </c>
      <c r="J1193" t="str">
        <f>IFERROR(VLOOKUP(I1193,[1]AUTOS!$C:$G,2,0),"")</f>
        <v>MARCH</v>
      </c>
      <c r="K1193">
        <f>IFERROR(VLOOKUP(I1193,[1]AUTOS!$C:$G,3,0),"")</f>
        <v>2021</v>
      </c>
      <c r="L1193" t="str">
        <f>IFERROR(VLOOKUP(I1193,[1]AUTOS!$C:$G,4,0),"")</f>
        <v>ROJO</v>
      </c>
      <c r="M1193" t="s">
        <v>43</v>
      </c>
      <c r="N1193" s="3">
        <v>0</v>
      </c>
      <c r="O1193" s="3">
        <v>0</v>
      </c>
      <c r="P1193" s="3">
        <v>-2500</v>
      </c>
    </row>
    <row r="1194" spans="1:16" hidden="1" x14ac:dyDescent="0.3">
      <c r="A1194">
        <v>22</v>
      </c>
      <c r="B1194" t="str">
        <f>VLOOKUP($A1194,[1]LISTA!$B:$C,2,0)</f>
        <v>MAYO</v>
      </c>
      <c r="C1194" s="1">
        <v>2025</v>
      </c>
      <c r="D1194" s="1" t="str">
        <f>IF($A1194&lt;=[1]RESULTADOS!$D$6,"YTD","YTG")</f>
        <v>YTD</v>
      </c>
      <c r="E1194" t="s">
        <v>17</v>
      </c>
      <c r="F1194" t="s">
        <v>664</v>
      </c>
      <c r="G1194" t="s">
        <v>665</v>
      </c>
      <c r="H1194" t="s">
        <v>666</v>
      </c>
      <c r="I1194" t="s">
        <v>185</v>
      </c>
      <c r="J1194" t="str">
        <f>IFERROR(VLOOKUP(I1194,[1]AUTOS!$C:$G,2,0),"")</f>
        <v>MARCH</v>
      </c>
      <c r="K1194">
        <f>IFERROR(VLOOKUP(I1194,[1]AUTOS!$C:$G,3,0),"")</f>
        <v>2021</v>
      </c>
      <c r="L1194" t="str">
        <f>IFERROR(VLOOKUP(I1194,[1]AUTOS!$C:$G,4,0),"")</f>
        <v>ROJO</v>
      </c>
      <c r="M1194" t="s">
        <v>43</v>
      </c>
      <c r="N1194" s="3">
        <v>0</v>
      </c>
      <c r="O1194" s="3">
        <v>0</v>
      </c>
      <c r="P1194" s="3">
        <v>-2500</v>
      </c>
    </row>
    <row r="1195" spans="1:16" hidden="1" x14ac:dyDescent="0.3">
      <c r="A1195">
        <v>23</v>
      </c>
      <c r="B1195" t="str">
        <f>VLOOKUP($A1195,[1]LISTA!$B:$C,2,0)</f>
        <v>JUNIO</v>
      </c>
      <c r="C1195" s="1">
        <v>2025</v>
      </c>
      <c r="D1195" s="1" t="str">
        <f>IF($A1195&lt;=[1]RESULTADOS!$D$6,"YTD","YTG")</f>
        <v>YTD</v>
      </c>
      <c r="E1195" t="s">
        <v>17</v>
      </c>
      <c r="F1195" t="s">
        <v>664</v>
      </c>
      <c r="G1195" t="s">
        <v>665</v>
      </c>
      <c r="H1195" t="s">
        <v>666</v>
      </c>
      <c r="I1195" t="s">
        <v>185</v>
      </c>
      <c r="J1195" t="str">
        <f>IFERROR(VLOOKUP(I1195,[1]AUTOS!$C:$G,2,0),"")</f>
        <v>MARCH</v>
      </c>
      <c r="K1195">
        <f>IFERROR(VLOOKUP(I1195,[1]AUTOS!$C:$G,3,0),"")</f>
        <v>2021</v>
      </c>
      <c r="L1195" t="str">
        <f>IFERROR(VLOOKUP(I1195,[1]AUTOS!$C:$G,4,0),"")</f>
        <v>ROJO</v>
      </c>
      <c r="M1195" t="s">
        <v>43</v>
      </c>
      <c r="N1195" s="3">
        <v>0</v>
      </c>
      <c r="O1195" s="3">
        <v>0</v>
      </c>
      <c r="P1195" s="3">
        <v>-2500</v>
      </c>
    </row>
    <row r="1196" spans="1:16" hidden="1" x14ac:dyDescent="0.3">
      <c r="A1196">
        <v>24</v>
      </c>
      <c r="B1196" t="str">
        <f>VLOOKUP($A1196,[1]LISTA!$B:$C,2,0)</f>
        <v>JUNIO</v>
      </c>
      <c r="C1196" s="1">
        <v>2025</v>
      </c>
      <c r="D1196" s="1" t="str">
        <f>IF($A1196&lt;=[1]RESULTADOS!$D$6,"YTD","YTG")</f>
        <v>YTD</v>
      </c>
      <c r="E1196" t="s">
        <v>17</v>
      </c>
      <c r="F1196" t="s">
        <v>664</v>
      </c>
      <c r="G1196" t="s">
        <v>665</v>
      </c>
      <c r="H1196" t="s">
        <v>666</v>
      </c>
      <c r="I1196" t="s">
        <v>185</v>
      </c>
      <c r="J1196" t="str">
        <f>IFERROR(VLOOKUP(I1196,[1]AUTOS!$C:$G,2,0),"")</f>
        <v>MARCH</v>
      </c>
      <c r="K1196">
        <f>IFERROR(VLOOKUP(I1196,[1]AUTOS!$C:$G,3,0),"")</f>
        <v>2021</v>
      </c>
      <c r="L1196" t="str">
        <f>IFERROR(VLOOKUP(I1196,[1]AUTOS!$C:$G,4,0),"")</f>
        <v>ROJO</v>
      </c>
      <c r="M1196" t="s">
        <v>43</v>
      </c>
      <c r="N1196" s="3">
        <v>0</v>
      </c>
      <c r="O1196" s="3">
        <v>0</v>
      </c>
      <c r="P1196" s="3">
        <v>-2500</v>
      </c>
    </row>
    <row r="1197" spans="1:16" hidden="1" x14ac:dyDescent="0.3">
      <c r="A1197">
        <v>25</v>
      </c>
      <c r="B1197" t="str">
        <f>VLOOKUP($A1197,[1]LISTA!$B:$C,2,0)</f>
        <v>JUNIO</v>
      </c>
      <c r="C1197" s="1">
        <v>2025</v>
      </c>
      <c r="D1197" s="1" t="str">
        <f>IF($A1197&lt;=[1]RESULTADOS!$D$6,"YTD","YTG")</f>
        <v>YTD</v>
      </c>
      <c r="E1197" t="s">
        <v>17</v>
      </c>
      <c r="F1197" t="s">
        <v>664</v>
      </c>
      <c r="G1197" t="s">
        <v>665</v>
      </c>
      <c r="H1197" t="s">
        <v>666</v>
      </c>
      <c r="I1197" t="s">
        <v>185</v>
      </c>
      <c r="J1197" t="str">
        <f>IFERROR(VLOOKUP(I1197,[1]AUTOS!$C:$G,2,0),"")</f>
        <v>MARCH</v>
      </c>
      <c r="K1197">
        <f>IFERROR(VLOOKUP(I1197,[1]AUTOS!$C:$G,3,0),"")</f>
        <v>2021</v>
      </c>
      <c r="L1197" t="str">
        <f>IFERROR(VLOOKUP(I1197,[1]AUTOS!$C:$G,4,0),"")</f>
        <v>ROJO</v>
      </c>
      <c r="M1197" t="s">
        <v>43</v>
      </c>
      <c r="N1197" s="3">
        <v>0</v>
      </c>
      <c r="O1197" s="3">
        <v>0</v>
      </c>
      <c r="P1197" s="3">
        <v>-2500</v>
      </c>
    </row>
    <row r="1198" spans="1:16" hidden="1" x14ac:dyDescent="0.3">
      <c r="A1198">
        <v>26</v>
      </c>
      <c r="B1198" t="str">
        <f>VLOOKUP($A1198,[1]LISTA!$B:$C,2,0)</f>
        <v>JUNIO</v>
      </c>
      <c r="C1198" s="1">
        <v>2025</v>
      </c>
      <c r="D1198" s="1" t="str">
        <f>IF($A1198&lt;=[1]RESULTADOS!$D$6,"YTD","YTG")</f>
        <v>YTD</v>
      </c>
      <c r="E1198" t="s">
        <v>17</v>
      </c>
      <c r="F1198" t="s">
        <v>664</v>
      </c>
      <c r="G1198" t="s">
        <v>665</v>
      </c>
      <c r="H1198" t="s">
        <v>666</v>
      </c>
      <c r="I1198" t="s">
        <v>185</v>
      </c>
      <c r="J1198" t="str">
        <f>IFERROR(VLOOKUP(I1198,[1]AUTOS!$C:$G,2,0),"")</f>
        <v>MARCH</v>
      </c>
      <c r="K1198">
        <f>IFERROR(VLOOKUP(I1198,[1]AUTOS!$C:$G,3,0),"")</f>
        <v>2021</v>
      </c>
      <c r="L1198" t="str">
        <f>IFERROR(VLOOKUP(I1198,[1]AUTOS!$C:$G,4,0),"")</f>
        <v>ROJO</v>
      </c>
      <c r="M1198" t="s">
        <v>43</v>
      </c>
      <c r="N1198" s="3">
        <v>0</v>
      </c>
      <c r="O1198" s="3">
        <v>0</v>
      </c>
      <c r="P1198" s="3">
        <v>-2500</v>
      </c>
    </row>
    <row r="1199" spans="1:16" hidden="1" x14ac:dyDescent="0.3">
      <c r="A1199">
        <v>27</v>
      </c>
      <c r="B1199" t="str">
        <f>VLOOKUP($A1199,[1]LISTA!$B:$C,2,0)</f>
        <v>JULIO</v>
      </c>
      <c r="C1199" s="1">
        <v>2025</v>
      </c>
      <c r="D1199" s="1" t="str">
        <f>IF($A1199&lt;=[1]RESULTADOS!$D$6,"YTD","YTG")</f>
        <v>YTD</v>
      </c>
      <c r="E1199" t="s">
        <v>17</v>
      </c>
      <c r="F1199" t="s">
        <v>664</v>
      </c>
      <c r="G1199" t="s">
        <v>665</v>
      </c>
      <c r="H1199" t="s">
        <v>666</v>
      </c>
      <c r="I1199" t="s">
        <v>185</v>
      </c>
      <c r="J1199" t="str">
        <f>IFERROR(VLOOKUP(I1199,[1]AUTOS!$C:$G,2,0),"")</f>
        <v>MARCH</v>
      </c>
      <c r="K1199">
        <f>IFERROR(VLOOKUP(I1199,[1]AUTOS!$C:$G,3,0),"")</f>
        <v>2021</v>
      </c>
      <c r="L1199" t="str">
        <f>IFERROR(VLOOKUP(I1199,[1]AUTOS!$C:$G,4,0),"")</f>
        <v>ROJO</v>
      </c>
      <c r="M1199" t="s">
        <v>43</v>
      </c>
      <c r="N1199" s="3">
        <v>0</v>
      </c>
      <c r="O1199" s="3">
        <v>0</v>
      </c>
      <c r="P1199" s="3">
        <v>-2500</v>
      </c>
    </row>
    <row r="1200" spans="1:16" hidden="1" x14ac:dyDescent="0.3">
      <c r="A1200">
        <v>28</v>
      </c>
      <c r="B1200" t="str">
        <f>VLOOKUP($A1200,[1]LISTA!$B:$C,2,0)</f>
        <v>JULIO</v>
      </c>
      <c r="C1200" s="1">
        <v>2025</v>
      </c>
      <c r="D1200" s="1" t="str">
        <f>IF($A1200&lt;=[1]RESULTADOS!$D$6,"YTD","YTG")</f>
        <v>YTD</v>
      </c>
      <c r="E1200" t="s">
        <v>17</v>
      </c>
      <c r="F1200" t="s">
        <v>664</v>
      </c>
      <c r="G1200" t="s">
        <v>665</v>
      </c>
      <c r="H1200" t="s">
        <v>666</v>
      </c>
      <c r="I1200" t="s">
        <v>185</v>
      </c>
      <c r="J1200" t="str">
        <f>IFERROR(VLOOKUP(I1200,[1]AUTOS!$C:$G,2,0),"")</f>
        <v>MARCH</v>
      </c>
      <c r="K1200">
        <f>IFERROR(VLOOKUP(I1200,[1]AUTOS!$C:$G,3,0),"")</f>
        <v>2021</v>
      </c>
      <c r="L1200" t="str">
        <f>IFERROR(VLOOKUP(I1200,[1]AUTOS!$C:$G,4,0),"")</f>
        <v>ROJO</v>
      </c>
      <c r="M1200" t="s">
        <v>43</v>
      </c>
      <c r="N1200" s="3">
        <v>0</v>
      </c>
      <c r="O1200" s="3">
        <v>0</v>
      </c>
      <c r="P1200" s="3">
        <v>-2500</v>
      </c>
    </row>
    <row r="1201" spans="1:16" hidden="1" x14ac:dyDescent="0.3">
      <c r="A1201">
        <v>29</v>
      </c>
      <c r="B1201" t="str">
        <f>VLOOKUP($A1201,[1]LISTA!$B:$C,2,0)</f>
        <v>JULIO</v>
      </c>
      <c r="C1201" s="1">
        <v>2025</v>
      </c>
      <c r="D1201" s="1" t="str">
        <f>IF($A1201&lt;=[1]RESULTADOS!$D$6,"YTD","YTG")</f>
        <v>YTD</v>
      </c>
      <c r="E1201" t="s">
        <v>17</v>
      </c>
      <c r="F1201" t="s">
        <v>664</v>
      </c>
      <c r="G1201" t="s">
        <v>665</v>
      </c>
      <c r="H1201" t="s">
        <v>666</v>
      </c>
      <c r="I1201" t="s">
        <v>185</v>
      </c>
      <c r="J1201" t="str">
        <f>IFERROR(VLOOKUP(I1201,[1]AUTOS!$C:$G,2,0),"")</f>
        <v>MARCH</v>
      </c>
      <c r="K1201">
        <f>IFERROR(VLOOKUP(I1201,[1]AUTOS!$C:$G,3,0),"")</f>
        <v>2021</v>
      </c>
      <c r="L1201" t="str">
        <f>IFERROR(VLOOKUP(I1201,[1]AUTOS!$C:$G,4,0),"")</f>
        <v>ROJO</v>
      </c>
      <c r="M1201" t="s">
        <v>43</v>
      </c>
      <c r="N1201" s="3">
        <v>0</v>
      </c>
      <c r="O1201" s="3">
        <v>0</v>
      </c>
      <c r="P1201" s="3">
        <v>-2500</v>
      </c>
    </row>
    <row r="1202" spans="1:16" hidden="1" x14ac:dyDescent="0.3">
      <c r="A1202">
        <v>30</v>
      </c>
      <c r="B1202" t="str">
        <f>VLOOKUP($A1202,[1]LISTA!$B:$C,2,0)</f>
        <v>JULIO</v>
      </c>
      <c r="C1202" s="1">
        <v>2025</v>
      </c>
      <c r="D1202" s="1" t="str">
        <f>IF($A1202&lt;=[1]RESULTADOS!$D$6,"YTD","YTG")</f>
        <v>YTD</v>
      </c>
      <c r="E1202" t="s">
        <v>17</v>
      </c>
      <c r="F1202" t="s">
        <v>664</v>
      </c>
      <c r="G1202" t="s">
        <v>665</v>
      </c>
      <c r="H1202" t="s">
        <v>666</v>
      </c>
      <c r="I1202" t="s">
        <v>185</v>
      </c>
      <c r="J1202" t="str">
        <f>IFERROR(VLOOKUP(I1202,[1]AUTOS!$C:$G,2,0),"")</f>
        <v>MARCH</v>
      </c>
      <c r="K1202">
        <f>IFERROR(VLOOKUP(I1202,[1]AUTOS!$C:$G,3,0),"")</f>
        <v>2021</v>
      </c>
      <c r="L1202" t="str">
        <f>IFERROR(VLOOKUP(I1202,[1]AUTOS!$C:$G,4,0),"")</f>
        <v>ROJO</v>
      </c>
      <c r="M1202" t="s">
        <v>43</v>
      </c>
      <c r="N1202" s="3">
        <v>0</v>
      </c>
      <c r="O1202" s="3">
        <v>0</v>
      </c>
      <c r="P1202" s="3">
        <v>-2500</v>
      </c>
    </row>
    <row r="1203" spans="1:16" hidden="1" x14ac:dyDescent="0.3">
      <c r="A1203">
        <v>31</v>
      </c>
      <c r="B1203" t="str">
        <f>VLOOKUP($A1203,[1]LISTA!$B:$C,2,0)</f>
        <v>JULIO</v>
      </c>
      <c r="C1203" s="1">
        <v>2025</v>
      </c>
      <c r="D1203" s="1" t="str">
        <f>IF($A1203&lt;=[1]RESULTADOS!$D$6,"YTD","YTG")</f>
        <v>YTD</v>
      </c>
      <c r="E1203" t="s">
        <v>17</v>
      </c>
      <c r="F1203" t="s">
        <v>664</v>
      </c>
      <c r="G1203" t="s">
        <v>665</v>
      </c>
      <c r="H1203" t="s">
        <v>666</v>
      </c>
      <c r="I1203" t="s">
        <v>185</v>
      </c>
      <c r="J1203" t="str">
        <f>IFERROR(VLOOKUP(I1203,[1]AUTOS!$C:$G,2,0),"")</f>
        <v>MARCH</v>
      </c>
      <c r="K1203">
        <f>IFERROR(VLOOKUP(I1203,[1]AUTOS!$C:$G,3,0),"")</f>
        <v>2021</v>
      </c>
      <c r="L1203" t="str">
        <f>IFERROR(VLOOKUP(I1203,[1]AUTOS!$C:$G,4,0),"")</f>
        <v>ROJO</v>
      </c>
      <c r="M1203" t="s">
        <v>43</v>
      </c>
      <c r="N1203" s="3">
        <v>0</v>
      </c>
      <c r="O1203" s="3">
        <v>0</v>
      </c>
      <c r="P1203" s="3">
        <v>-2500</v>
      </c>
    </row>
    <row r="1204" spans="1:16" hidden="1" x14ac:dyDescent="0.3">
      <c r="A1204">
        <v>32</v>
      </c>
      <c r="B1204" t="str">
        <f>VLOOKUP($A1204,[1]LISTA!$B:$C,2,0)</f>
        <v>AGOSTO</v>
      </c>
      <c r="C1204" s="1">
        <v>2025</v>
      </c>
      <c r="D1204" s="1" t="str">
        <f>IF($A1204&lt;=[1]RESULTADOS!$D$6,"YTD","YTG")</f>
        <v>YTD</v>
      </c>
      <c r="E1204" t="s">
        <v>17</v>
      </c>
      <c r="F1204" t="s">
        <v>664</v>
      </c>
      <c r="G1204" t="s">
        <v>665</v>
      </c>
      <c r="H1204" t="s">
        <v>666</v>
      </c>
      <c r="I1204" t="s">
        <v>185</v>
      </c>
      <c r="J1204" t="str">
        <f>IFERROR(VLOOKUP(I1204,[1]AUTOS!$C:$G,2,0),"")</f>
        <v>MARCH</v>
      </c>
      <c r="K1204">
        <f>IFERROR(VLOOKUP(I1204,[1]AUTOS!$C:$G,3,0),"")</f>
        <v>2021</v>
      </c>
      <c r="L1204" t="str">
        <f>IFERROR(VLOOKUP(I1204,[1]AUTOS!$C:$G,4,0),"")</f>
        <v>ROJO</v>
      </c>
      <c r="M1204" t="s">
        <v>43</v>
      </c>
      <c r="N1204" s="3">
        <v>0</v>
      </c>
      <c r="O1204" s="3">
        <v>0</v>
      </c>
      <c r="P1204" s="3">
        <v>-2500</v>
      </c>
    </row>
    <row r="1205" spans="1:16" hidden="1" x14ac:dyDescent="0.3">
      <c r="A1205">
        <v>33</v>
      </c>
      <c r="B1205" t="str">
        <f>VLOOKUP($A1205,[1]LISTA!$B:$C,2,0)</f>
        <v>AGOSTO</v>
      </c>
      <c r="C1205" s="1">
        <v>2025</v>
      </c>
      <c r="D1205" s="1" t="str">
        <f>IF($A1205&lt;=[1]RESULTADOS!$D$6,"YTD","YTG")</f>
        <v>YTD</v>
      </c>
      <c r="E1205" t="s">
        <v>17</v>
      </c>
      <c r="F1205" t="s">
        <v>664</v>
      </c>
      <c r="G1205" t="s">
        <v>665</v>
      </c>
      <c r="H1205" t="s">
        <v>666</v>
      </c>
      <c r="I1205" t="s">
        <v>185</v>
      </c>
      <c r="J1205" t="str">
        <f>IFERROR(VLOOKUP(I1205,[1]AUTOS!$C:$G,2,0),"")</f>
        <v>MARCH</v>
      </c>
      <c r="K1205">
        <f>IFERROR(VLOOKUP(I1205,[1]AUTOS!$C:$G,3,0),"")</f>
        <v>2021</v>
      </c>
      <c r="L1205" t="str">
        <f>IFERROR(VLOOKUP(I1205,[1]AUTOS!$C:$G,4,0),"")</f>
        <v>ROJO</v>
      </c>
      <c r="M1205" t="s">
        <v>43</v>
      </c>
      <c r="N1205" s="3">
        <v>0</v>
      </c>
      <c r="O1205" s="3">
        <v>0</v>
      </c>
      <c r="P1205" s="3">
        <v>-2500</v>
      </c>
    </row>
    <row r="1206" spans="1:16" hidden="1" x14ac:dyDescent="0.3">
      <c r="A1206">
        <v>34</v>
      </c>
      <c r="B1206" t="str">
        <f>VLOOKUP($A1206,[1]LISTA!$B:$C,2,0)</f>
        <v>AGOSTO</v>
      </c>
      <c r="C1206" s="1">
        <v>2025</v>
      </c>
      <c r="D1206" s="1" t="str">
        <f>IF($A1206&lt;=[1]RESULTADOS!$D$6,"YTD","YTG")</f>
        <v>YTD</v>
      </c>
      <c r="E1206" t="s">
        <v>17</v>
      </c>
      <c r="F1206" t="s">
        <v>664</v>
      </c>
      <c r="G1206" t="s">
        <v>665</v>
      </c>
      <c r="H1206" t="s">
        <v>666</v>
      </c>
      <c r="I1206" t="s">
        <v>185</v>
      </c>
      <c r="J1206" t="str">
        <f>IFERROR(VLOOKUP(I1206,[1]AUTOS!$C:$G,2,0),"")</f>
        <v>MARCH</v>
      </c>
      <c r="K1206">
        <f>IFERROR(VLOOKUP(I1206,[1]AUTOS!$C:$G,3,0),"")</f>
        <v>2021</v>
      </c>
      <c r="L1206" t="str">
        <f>IFERROR(VLOOKUP(I1206,[1]AUTOS!$C:$G,4,0),"")</f>
        <v>ROJO</v>
      </c>
      <c r="M1206" t="s">
        <v>43</v>
      </c>
      <c r="N1206" s="3">
        <v>0</v>
      </c>
      <c r="O1206" s="3">
        <v>0</v>
      </c>
      <c r="P1206" s="3">
        <v>-2500</v>
      </c>
    </row>
    <row r="1207" spans="1:16" hidden="1" x14ac:dyDescent="0.3">
      <c r="A1207">
        <v>35</v>
      </c>
      <c r="B1207" t="str">
        <f>VLOOKUP($A1207,[1]LISTA!$B:$C,2,0)</f>
        <v>AGOSTO</v>
      </c>
      <c r="C1207" s="1">
        <v>2025</v>
      </c>
      <c r="D1207" s="1" t="str">
        <f>IF($A1207&lt;=[1]RESULTADOS!$D$6,"YTD","YTG")</f>
        <v>YTD</v>
      </c>
      <c r="E1207" t="s">
        <v>17</v>
      </c>
      <c r="F1207" t="s">
        <v>664</v>
      </c>
      <c r="G1207" t="s">
        <v>665</v>
      </c>
      <c r="H1207" t="s">
        <v>666</v>
      </c>
      <c r="I1207" t="s">
        <v>185</v>
      </c>
      <c r="J1207" t="str">
        <f>IFERROR(VLOOKUP(I1207,[1]AUTOS!$C:$G,2,0),"")</f>
        <v>MARCH</v>
      </c>
      <c r="K1207">
        <f>IFERROR(VLOOKUP(I1207,[1]AUTOS!$C:$G,3,0),"")</f>
        <v>2021</v>
      </c>
      <c r="L1207" t="str">
        <f>IFERROR(VLOOKUP(I1207,[1]AUTOS!$C:$G,4,0),"")</f>
        <v>ROJO</v>
      </c>
      <c r="M1207" t="s">
        <v>43</v>
      </c>
      <c r="N1207" s="3">
        <v>0</v>
      </c>
      <c r="O1207" s="3">
        <v>0</v>
      </c>
      <c r="P1207" s="3">
        <v>-2500</v>
      </c>
    </row>
    <row r="1208" spans="1:16" hidden="1" x14ac:dyDescent="0.3">
      <c r="A1208">
        <v>36</v>
      </c>
      <c r="B1208" t="str">
        <f>VLOOKUP($A1208,[1]LISTA!$B:$C,2,0)</f>
        <v>SEPTIEMBRE</v>
      </c>
      <c r="C1208" s="1">
        <v>2025</v>
      </c>
      <c r="D1208" s="1" t="str">
        <f>IF($A1208&lt;=[1]RESULTADOS!$D$6,"YTD","YTG")</f>
        <v>YTD</v>
      </c>
      <c r="E1208" t="s">
        <v>17</v>
      </c>
      <c r="F1208" t="s">
        <v>664</v>
      </c>
      <c r="G1208" t="s">
        <v>665</v>
      </c>
      <c r="H1208" t="s">
        <v>666</v>
      </c>
      <c r="I1208" t="s">
        <v>185</v>
      </c>
      <c r="J1208" t="str">
        <f>IFERROR(VLOOKUP(I1208,[1]AUTOS!$C:$G,2,0),"")</f>
        <v>MARCH</v>
      </c>
      <c r="K1208">
        <f>IFERROR(VLOOKUP(I1208,[1]AUTOS!$C:$G,3,0),"")</f>
        <v>2021</v>
      </c>
      <c r="L1208" t="str">
        <f>IFERROR(VLOOKUP(I1208,[1]AUTOS!$C:$G,4,0),"")</f>
        <v>ROJO</v>
      </c>
      <c r="M1208" t="s">
        <v>43</v>
      </c>
      <c r="N1208" s="3">
        <v>0</v>
      </c>
      <c r="O1208" s="3">
        <v>0</v>
      </c>
      <c r="P1208" s="3">
        <v>-2500</v>
      </c>
    </row>
    <row r="1209" spans="1:16" hidden="1" x14ac:dyDescent="0.3">
      <c r="A1209">
        <v>37</v>
      </c>
      <c r="B1209" t="str">
        <f>VLOOKUP($A1209,[1]LISTA!$B:$C,2,0)</f>
        <v>SEPTIEMBRE</v>
      </c>
      <c r="C1209" s="1">
        <v>2025</v>
      </c>
      <c r="D1209" s="1" t="str">
        <f>IF($A1209&lt;=[1]RESULTADOS!$D$6,"YTD","YTG")</f>
        <v>YTD</v>
      </c>
      <c r="E1209" t="s">
        <v>17</v>
      </c>
      <c r="F1209" t="s">
        <v>664</v>
      </c>
      <c r="G1209" t="s">
        <v>665</v>
      </c>
      <c r="H1209" t="s">
        <v>666</v>
      </c>
      <c r="I1209" t="s">
        <v>185</v>
      </c>
      <c r="J1209" t="str">
        <f>IFERROR(VLOOKUP(I1209,[1]AUTOS!$C:$G,2,0),"")</f>
        <v>MARCH</v>
      </c>
      <c r="K1209">
        <f>IFERROR(VLOOKUP(I1209,[1]AUTOS!$C:$G,3,0),"")</f>
        <v>2021</v>
      </c>
      <c r="L1209" t="str">
        <f>IFERROR(VLOOKUP(I1209,[1]AUTOS!$C:$G,4,0),"")</f>
        <v>ROJO</v>
      </c>
      <c r="M1209" t="s">
        <v>43</v>
      </c>
      <c r="N1209" s="3">
        <v>0</v>
      </c>
      <c r="O1209" s="3">
        <v>0</v>
      </c>
      <c r="P1209" s="3">
        <v>-2500</v>
      </c>
    </row>
    <row r="1210" spans="1:16" hidden="1" x14ac:dyDescent="0.3">
      <c r="A1210">
        <v>38</v>
      </c>
      <c r="B1210" t="str">
        <f>VLOOKUP($A1210,[1]LISTA!$B:$C,2,0)</f>
        <v>SEPTIEMBRE</v>
      </c>
      <c r="C1210" s="1">
        <v>2025</v>
      </c>
      <c r="D1210" s="1" t="str">
        <f>IF($A1210&lt;=[1]RESULTADOS!$D$6,"YTD","YTG")</f>
        <v>YTD</v>
      </c>
      <c r="E1210" t="s">
        <v>17</v>
      </c>
      <c r="F1210" t="s">
        <v>664</v>
      </c>
      <c r="G1210" t="s">
        <v>665</v>
      </c>
      <c r="H1210" t="s">
        <v>666</v>
      </c>
      <c r="I1210" t="s">
        <v>185</v>
      </c>
      <c r="J1210" t="str">
        <f>IFERROR(VLOOKUP(I1210,[1]AUTOS!$C:$G,2,0),"")</f>
        <v>MARCH</v>
      </c>
      <c r="K1210">
        <f>IFERROR(VLOOKUP(I1210,[1]AUTOS!$C:$G,3,0),"")</f>
        <v>2021</v>
      </c>
      <c r="L1210" t="str">
        <f>IFERROR(VLOOKUP(I1210,[1]AUTOS!$C:$G,4,0),"")</f>
        <v>ROJO</v>
      </c>
      <c r="M1210" t="s">
        <v>43</v>
      </c>
      <c r="N1210" s="3">
        <v>0</v>
      </c>
      <c r="O1210" s="3">
        <v>0</v>
      </c>
      <c r="P1210" s="3">
        <v>-2500</v>
      </c>
    </row>
    <row r="1211" spans="1:16" hidden="1" x14ac:dyDescent="0.3">
      <c r="A1211">
        <v>39</v>
      </c>
      <c r="B1211" t="str">
        <f>VLOOKUP($A1211,[1]LISTA!$B:$C,2,0)</f>
        <v>SEPTIEMBRE</v>
      </c>
      <c r="C1211" s="1">
        <v>2025</v>
      </c>
      <c r="D1211" s="1" t="str">
        <f>IF($A1211&lt;=[1]RESULTADOS!$D$6,"YTD","YTG")</f>
        <v>YTD</v>
      </c>
      <c r="E1211" t="s">
        <v>17</v>
      </c>
      <c r="F1211" t="s">
        <v>664</v>
      </c>
      <c r="G1211" t="s">
        <v>665</v>
      </c>
      <c r="H1211" t="s">
        <v>666</v>
      </c>
      <c r="I1211" t="s">
        <v>185</v>
      </c>
      <c r="J1211" t="str">
        <f>IFERROR(VLOOKUP(I1211,[1]AUTOS!$C:$G,2,0),"")</f>
        <v>MARCH</v>
      </c>
      <c r="K1211">
        <f>IFERROR(VLOOKUP(I1211,[1]AUTOS!$C:$G,3,0),"")</f>
        <v>2021</v>
      </c>
      <c r="L1211" t="str">
        <f>IFERROR(VLOOKUP(I1211,[1]AUTOS!$C:$G,4,0),"")</f>
        <v>ROJO</v>
      </c>
      <c r="M1211" t="s">
        <v>43</v>
      </c>
      <c r="N1211" s="3">
        <v>0</v>
      </c>
      <c r="O1211" s="3">
        <v>0</v>
      </c>
      <c r="P1211" s="3">
        <v>-2500</v>
      </c>
    </row>
    <row r="1212" spans="1:16" hidden="1" x14ac:dyDescent="0.3">
      <c r="A1212">
        <v>40</v>
      </c>
      <c r="B1212" t="str">
        <f>VLOOKUP($A1212,[1]LISTA!$B:$C,2,0)</f>
        <v>OCTUBRE</v>
      </c>
      <c r="C1212" s="1">
        <v>2025</v>
      </c>
      <c r="D1212" s="1" t="str">
        <f>IF($A1212&lt;=[1]RESULTADOS!$D$6,"YTD","YTG")</f>
        <v>YTG</v>
      </c>
      <c r="E1212" t="s">
        <v>17</v>
      </c>
      <c r="F1212" t="s">
        <v>664</v>
      </c>
      <c r="G1212" t="s">
        <v>665</v>
      </c>
      <c r="H1212" t="s">
        <v>666</v>
      </c>
      <c r="I1212" t="s">
        <v>185</v>
      </c>
      <c r="J1212" t="str">
        <f>IFERROR(VLOOKUP(I1212,[1]AUTOS!$C:$G,2,0),"")</f>
        <v>MARCH</v>
      </c>
      <c r="K1212">
        <f>IFERROR(VLOOKUP(I1212,[1]AUTOS!$C:$G,3,0),"")</f>
        <v>2021</v>
      </c>
      <c r="L1212" t="str">
        <f>IFERROR(VLOOKUP(I1212,[1]AUTOS!$C:$G,4,0),"")</f>
        <v>ROJO</v>
      </c>
      <c r="M1212" t="s">
        <v>43</v>
      </c>
      <c r="N1212" s="3">
        <v>0</v>
      </c>
      <c r="O1212" s="3">
        <v>0</v>
      </c>
      <c r="P1212" s="3">
        <v>-2500</v>
      </c>
    </row>
    <row r="1213" spans="1:16" hidden="1" x14ac:dyDescent="0.3">
      <c r="A1213">
        <v>41</v>
      </c>
      <c r="B1213" t="str">
        <f>VLOOKUP($A1213,[1]LISTA!$B:$C,2,0)</f>
        <v>OCTUBRE</v>
      </c>
      <c r="C1213" s="1">
        <v>2025</v>
      </c>
      <c r="D1213" s="1" t="str">
        <f>IF($A1213&lt;=[1]RESULTADOS!$D$6,"YTD","YTG")</f>
        <v>YTG</v>
      </c>
      <c r="E1213" t="s">
        <v>17</v>
      </c>
      <c r="F1213" t="s">
        <v>664</v>
      </c>
      <c r="G1213" t="s">
        <v>665</v>
      </c>
      <c r="H1213" t="s">
        <v>666</v>
      </c>
      <c r="I1213" t="s">
        <v>185</v>
      </c>
      <c r="J1213" t="str">
        <f>IFERROR(VLOOKUP(I1213,[1]AUTOS!$C:$G,2,0),"")</f>
        <v>MARCH</v>
      </c>
      <c r="K1213">
        <f>IFERROR(VLOOKUP(I1213,[1]AUTOS!$C:$G,3,0),"")</f>
        <v>2021</v>
      </c>
      <c r="L1213" t="str">
        <f>IFERROR(VLOOKUP(I1213,[1]AUTOS!$C:$G,4,0),"")</f>
        <v>ROJO</v>
      </c>
      <c r="M1213" t="s">
        <v>43</v>
      </c>
      <c r="N1213" s="3">
        <v>0</v>
      </c>
      <c r="O1213" s="3">
        <v>0</v>
      </c>
      <c r="P1213" s="3">
        <v>-2500</v>
      </c>
    </row>
    <row r="1214" spans="1:16" hidden="1" x14ac:dyDescent="0.3">
      <c r="A1214">
        <v>42</v>
      </c>
      <c r="B1214" t="str">
        <f>VLOOKUP($A1214,[1]LISTA!$B:$C,2,0)</f>
        <v>OCTUBRE</v>
      </c>
      <c r="C1214" s="1">
        <v>2025</v>
      </c>
      <c r="D1214" s="1" t="str">
        <f>IF($A1214&lt;=[1]RESULTADOS!$D$6,"YTD","YTG")</f>
        <v>YTG</v>
      </c>
      <c r="E1214" t="s">
        <v>17</v>
      </c>
      <c r="F1214" t="s">
        <v>664</v>
      </c>
      <c r="G1214" t="s">
        <v>665</v>
      </c>
      <c r="H1214" t="s">
        <v>666</v>
      </c>
      <c r="I1214" t="s">
        <v>185</v>
      </c>
      <c r="J1214" t="str">
        <f>IFERROR(VLOOKUP(I1214,[1]AUTOS!$C:$G,2,0),"")</f>
        <v>MARCH</v>
      </c>
      <c r="K1214">
        <f>IFERROR(VLOOKUP(I1214,[1]AUTOS!$C:$G,3,0),"")</f>
        <v>2021</v>
      </c>
      <c r="L1214" t="str">
        <f>IFERROR(VLOOKUP(I1214,[1]AUTOS!$C:$G,4,0),"")</f>
        <v>ROJO</v>
      </c>
      <c r="M1214" t="s">
        <v>43</v>
      </c>
      <c r="N1214" s="3">
        <v>0</v>
      </c>
      <c r="O1214" s="3">
        <v>0</v>
      </c>
      <c r="P1214" s="3">
        <v>-2500</v>
      </c>
    </row>
    <row r="1215" spans="1:16" hidden="1" x14ac:dyDescent="0.3">
      <c r="A1215">
        <v>43</v>
      </c>
      <c r="B1215" t="str">
        <f>VLOOKUP($A1215,[1]LISTA!$B:$C,2,0)</f>
        <v>OCTUBRE</v>
      </c>
      <c r="C1215" s="1">
        <v>2025</v>
      </c>
      <c r="D1215" s="1" t="str">
        <f>IF($A1215&lt;=[1]RESULTADOS!$D$6,"YTD","YTG")</f>
        <v>YTG</v>
      </c>
      <c r="E1215" t="s">
        <v>17</v>
      </c>
      <c r="F1215" t="s">
        <v>664</v>
      </c>
      <c r="G1215" t="s">
        <v>665</v>
      </c>
      <c r="H1215" t="s">
        <v>666</v>
      </c>
      <c r="I1215" t="s">
        <v>185</v>
      </c>
      <c r="J1215" t="str">
        <f>IFERROR(VLOOKUP(I1215,[1]AUTOS!$C:$G,2,0),"")</f>
        <v>MARCH</v>
      </c>
      <c r="K1215">
        <f>IFERROR(VLOOKUP(I1215,[1]AUTOS!$C:$G,3,0),"")</f>
        <v>2021</v>
      </c>
      <c r="L1215" t="str">
        <f>IFERROR(VLOOKUP(I1215,[1]AUTOS!$C:$G,4,0),"")</f>
        <v>ROJO</v>
      </c>
      <c r="M1215" t="s">
        <v>43</v>
      </c>
      <c r="N1215" s="3">
        <v>0</v>
      </c>
      <c r="O1215" s="3">
        <v>0</v>
      </c>
      <c r="P1215" s="3">
        <v>-2500</v>
      </c>
    </row>
    <row r="1216" spans="1:16" hidden="1" x14ac:dyDescent="0.3">
      <c r="A1216">
        <v>44</v>
      </c>
      <c r="B1216" t="str">
        <f>VLOOKUP($A1216,[1]LISTA!$B:$C,2,0)</f>
        <v>OCTUBRE</v>
      </c>
      <c r="C1216" s="1">
        <v>2025</v>
      </c>
      <c r="D1216" s="1" t="str">
        <f>IF($A1216&lt;=[1]RESULTADOS!$D$6,"YTD","YTG")</f>
        <v>YTG</v>
      </c>
      <c r="E1216" t="s">
        <v>17</v>
      </c>
      <c r="F1216" t="s">
        <v>664</v>
      </c>
      <c r="G1216" t="s">
        <v>665</v>
      </c>
      <c r="H1216" t="s">
        <v>666</v>
      </c>
      <c r="I1216" t="s">
        <v>185</v>
      </c>
      <c r="J1216" t="str">
        <f>IFERROR(VLOOKUP(I1216,[1]AUTOS!$C:$G,2,0),"")</f>
        <v>MARCH</v>
      </c>
      <c r="K1216">
        <f>IFERROR(VLOOKUP(I1216,[1]AUTOS!$C:$G,3,0),"")</f>
        <v>2021</v>
      </c>
      <c r="L1216" t="str">
        <f>IFERROR(VLOOKUP(I1216,[1]AUTOS!$C:$G,4,0),"")</f>
        <v>ROJO</v>
      </c>
      <c r="M1216" t="s">
        <v>43</v>
      </c>
      <c r="N1216" s="3">
        <v>0</v>
      </c>
      <c r="O1216" s="3">
        <v>0</v>
      </c>
      <c r="P1216" s="3">
        <v>-2500</v>
      </c>
    </row>
    <row r="1217" spans="1:16" hidden="1" x14ac:dyDescent="0.3">
      <c r="A1217">
        <v>45</v>
      </c>
      <c r="B1217" t="str">
        <f>VLOOKUP($A1217,[1]LISTA!$B:$C,2,0)</f>
        <v>NOVIEMBRE</v>
      </c>
      <c r="C1217" s="1">
        <v>2025</v>
      </c>
      <c r="D1217" s="1" t="str">
        <f>IF($A1217&lt;=[1]RESULTADOS!$D$6,"YTD","YTG")</f>
        <v>YTG</v>
      </c>
      <c r="E1217" t="s">
        <v>17</v>
      </c>
      <c r="F1217" t="s">
        <v>664</v>
      </c>
      <c r="G1217" t="s">
        <v>665</v>
      </c>
      <c r="H1217" t="s">
        <v>666</v>
      </c>
      <c r="I1217" t="s">
        <v>185</v>
      </c>
      <c r="J1217" t="str">
        <f>IFERROR(VLOOKUP(I1217,[1]AUTOS!$C:$G,2,0),"")</f>
        <v>MARCH</v>
      </c>
      <c r="K1217">
        <f>IFERROR(VLOOKUP(I1217,[1]AUTOS!$C:$G,3,0),"")</f>
        <v>2021</v>
      </c>
      <c r="L1217" t="str">
        <f>IFERROR(VLOOKUP(I1217,[1]AUTOS!$C:$G,4,0),"")</f>
        <v>ROJO</v>
      </c>
      <c r="M1217" t="s">
        <v>43</v>
      </c>
      <c r="N1217" s="3">
        <v>0</v>
      </c>
      <c r="O1217" s="3">
        <v>0</v>
      </c>
      <c r="P1217" s="3">
        <v>-2500</v>
      </c>
    </row>
    <row r="1218" spans="1:16" hidden="1" x14ac:dyDescent="0.3">
      <c r="A1218">
        <v>46</v>
      </c>
      <c r="B1218" t="str">
        <f>VLOOKUP($A1218,[1]LISTA!$B:$C,2,0)</f>
        <v>NOVIEMBRE</v>
      </c>
      <c r="C1218" s="1">
        <v>2025</v>
      </c>
      <c r="D1218" s="1" t="str">
        <f>IF($A1218&lt;=[1]RESULTADOS!$D$6,"YTD","YTG")</f>
        <v>YTG</v>
      </c>
      <c r="E1218" t="s">
        <v>17</v>
      </c>
      <c r="F1218" t="s">
        <v>664</v>
      </c>
      <c r="G1218" t="s">
        <v>665</v>
      </c>
      <c r="H1218" t="s">
        <v>666</v>
      </c>
      <c r="I1218" t="s">
        <v>185</v>
      </c>
      <c r="J1218" t="str">
        <f>IFERROR(VLOOKUP(I1218,[1]AUTOS!$C:$G,2,0),"")</f>
        <v>MARCH</v>
      </c>
      <c r="K1218">
        <f>IFERROR(VLOOKUP(I1218,[1]AUTOS!$C:$G,3,0),"")</f>
        <v>2021</v>
      </c>
      <c r="L1218" t="str">
        <f>IFERROR(VLOOKUP(I1218,[1]AUTOS!$C:$G,4,0),"")</f>
        <v>ROJO</v>
      </c>
      <c r="M1218" t="s">
        <v>43</v>
      </c>
      <c r="N1218" s="3">
        <v>0</v>
      </c>
      <c r="O1218" s="3">
        <v>0</v>
      </c>
      <c r="P1218" s="3">
        <v>-2500</v>
      </c>
    </row>
    <row r="1219" spans="1:16" hidden="1" x14ac:dyDescent="0.3">
      <c r="A1219">
        <v>47</v>
      </c>
      <c r="B1219" t="str">
        <f>VLOOKUP($A1219,[1]LISTA!$B:$C,2,0)</f>
        <v>NOVIEMBRE</v>
      </c>
      <c r="C1219" s="1">
        <v>2025</v>
      </c>
      <c r="D1219" s="1" t="str">
        <f>IF($A1219&lt;=[1]RESULTADOS!$D$6,"YTD","YTG")</f>
        <v>YTG</v>
      </c>
      <c r="E1219" t="s">
        <v>17</v>
      </c>
      <c r="F1219" t="s">
        <v>664</v>
      </c>
      <c r="G1219" t="s">
        <v>665</v>
      </c>
      <c r="H1219" t="s">
        <v>666</v>
      </c>
      <c r="I1219" t="s">
        <v>185</v>
      </c>
      <c r="J1219" t="str">
        <f>IFERROR(VLOOKUP(I1219,[1]AUTOS!$C:$G,2,0),"")</f>
        <v>MARCH</v>
      </c>
      <c r="K1219">
        <f>IFERROR(VLOOKUP(I1219,[1]AUTOS!$C:$G,3,0),"")</f>
        <v>2021</v>
      </c>
      <c r="L1219" t="str">
        <f>IFERROR(VLOOKUP(I1219,[1]AUTOS!$C:$G,4,0),"")</f>
        <v>ROJO</v>
      </c>
      <c r="M1219" t="s">
        <v>43</v>
      </c>
      <c r="N1219" s="3">
        <v>0</v>
      </c>
      <c r="O1219" s="3">
        <v>0</v>
      </c>
      <c r="P1219" s="3">
        <v>-2500</v>
      </c>
    </row>
    <row r="1220" spans="1:16" hidden="1" x14ac:dyDescent="0.3">
      <c r="A1220">
        <v>48</v>
      </c>
      <c r="B1220" t="str">
        <f>VLOOKUP($A1220,[1]LISTA!$B:$C,2,0)</f>
        <v>NOVIEMBRE</v>
      </c>
      <c r="C1220" s="1">
        <v>2025</v>
      </c>
      <c r="D1220" s="1" t="str">
        <f>IF($A1220&lt;=[1]RESULTADOS!$D$6,"YTD","YTG")</f>
        <v>YTG</v>
      </c>
      <c r="E1220" t="s">
        <v>17</v>
      </c>
      <c r="F1220" t="s">
        <v>664</v>
      </c>
      <c r="G1220" t="s">
        <v>665</v>
      </c>
      <c r="H1220" t="s">
        <v>666</v>
      </c>
      <c r="I1220" t="s">
        <v>185</v>
      </c>
      <c r="J1220" t="str">
        <f>IFERROR(VLOOKUP(I1220,[1]AUTOS!$C:$G,2,0),"")</f>
        <v>MARCH</v>
      </c>
      <c r="K1220">
        <f>IFERROR(VLOOKUP(I1220,[1]AUTOS!$C:$G,3,0),"")</f>
        <v>2021</v>
      </c>
      <c r="L1220" t="str">
        <f>IFERROR(VLOOKUP(I1220,[1]AUTOS!$C:$G,4,0),"")</f>
        <v>ROJO</v>
      </c>
      <c r="M1220" t="s">
        <v>43</v>
      </c>
      <c r="N1220" s="3">
        <v>0</v>
      </c>
      <c r="O1220" s="3">
        <v>0</v>
      </c>
      <c r="P1220" s="3">
        <v>-2500</v>
      </c>
    </row>
    <row r="1221" spans="1:16" hidden="1" x14ac:dyDescent="0.3">
      <c r="A1221">
        <v>49</v>
      </c>
      <c r="B1221" t="str">
        <f>VLOOKUP($A1221,[1]LISTA!$B:$C,2,0)</f>
        <v>DICIEMBRE</v>
      </c>
      <c r="C1221" s="1">
        <v>2025</v>
      </c>
      <c r="D1221" s="1" t="str">
        <f>IF($A1221&lt;=[1]RESULTADOS!$D$6,"YTD","YTG")</f>
        <v>YTG</v>
      </c>
      <c r="E1221" t="s">
        <v>17</v>
      </c>
      <c r="F1221" t="s">
        <v>664</v>
      </c>
      <c r="G1221" t="s">
        <v>665</v>
      </c>
      <c r="H1221" t="s">
        <v>666</v>
      </c>
      <c r="I1221" t="s">
        <v>185</v>
      </c>
      <c r="J1221" t="str">
        <f>IFERROR(VLOOKUP(I1221,[1]AUTOS!$C:$G,2,0),"")</f>
        <v>MARCH</v>
      </c>
      <c r="K1221">
        <f>IFERROR(VLOOKUP(I1221,[1]AUTOS!$C:$G,3,0),"")</f>
        <v>2021</v>
      </c>
      <c r="L1221" t="str">
        <f>IFERROR(VLOOKUP(I1221,[1]AUTOS!$C:$G,4,0),"")</f>
        <v>ROJO</v>
      </c>
      <c r="M1221" t="s">
        <v>43</v>
      </c>
      <c r="N1221" s="3">
        <v>0</v>
      </c>
      <c r="O1221" s="3">
        <v>0</v>
      </c>
      <c r="P1221" s="3">
        <v>-2500</v>
      </c>
    </row>
    <row r="1222" spans="1:16" hidden="1" x14ac:dyDescent="0.3">
      <c r="A1222">
        <v>50</v>
      </c>
      <c r="B1222" t="str">
        <f>VLOOKUP($A1222,[1]LISTA!$B:$C,2,0)</f>
        <v>DICIEMBRE</v>
      </c>
      <c r="C1222" s="1">
        <v>2025</v>
      </c>
      <c r="D1222" s="1" t="str">
        <f>IF($A1222&lt;=[1]RESULTADOS!$D$6,"YTD","YTG")</f>
        <v>YTG</v>
      </c>
      <c r="E1222" t="s">
        <v>17</v>
      </c>
      <c r="F1222" t="s">
        <v>664</v>
      </c>
      <c r="G1222" t="s">
        <v>665</v>
      </c>
      <c r="H1222" t="s">
        <v>666</v>
      </c>
      <c r="I1222" t="s">
        <v>185</v>
      </c>
      <c r="J1222" t="str">
        <f>IFERROR(VLOOKUP(I1222,[1]AUTOS!$C:$G,2,0),"")</f>
        <v>MARCH</v>
      </c>
      <c r="K1222">
        <f>IFERROR(VLOOKUP(I1222,[1]AUTOS!$C:$G,3,0),"")</f>
        <v>2021</v>
      </c>
      <c r="L1222" t="str">
        <f>IFERROR(VLOOKUP(I1222,[1]AUTOS!$C:$G,4,0),"")</f>
        <v>ROJO</v>
      </c>
      <c r="M1222" t="s">
        <v>43</v>
      </c>
      <c r="N1222" s="3">
        <v>0</v>
      </c>
      <c r="O1222" s="3">
        <v>0</v>
      </c>
      <c r="P1222" s="3">
        <v>-2500</v>
      </c>
    </row>
    <row r="1223" spans="1:16" hidden="1" x14ac:dyDescent="0.3">
      <c r="A1223">
        <v>51</v>
      </c>
      <c r="B1223" t="str">
        <f>VLOOKUP($A1223,[1]LISTA!$B:$C,2,0)</f>
        <v>DICIEMBRE</v>
      </c>
      <c r="C1223" s="1">
        <v>2025</v>
      </c>
      <c r="D1223" s="1" t="str">
        <f>IF($A1223&lt;=[1]RESULTADOS!$D$6,"YTD","YTG")</f>
        <v>YTG</v>
      </c>
      <c r="E1223" t="s">
        <v>17</v>
      </c>
      <c r="F1223" t="s">
        <v>664</v>
      </c>
      <c r="G1223" t="s">
        <v>665</v>
      </c>
      <c r="H1223" t="s">
        <v>666</v>
      </c>
      <c r="I1223" t="s">
        <v>185</v>
      </c>
      <c r="J1223" t="str">
        <f>IFERROR(VLOOKUP(I1223,[1]AUTOS!$C:$G,2,0),"")</f>
        <v>MARCH</v>
      </c>
      <c r="K1223">
        <f>IFERROR(VLOOKUP(I1223,[1]AUTOS!$C:$G,3,0),"")</f>
        <v>2021</v>
      </c>
      <c r="L1223" t="str">
        <f>IFERROR(VLOOKUP(I1223,[1]AUTOS!$C:$G,4,0),"")</f>
        <v>ROJO</v>
      </c>
      <c r="M1223" t="s">
        <v>43</v>
      </c>
      <c r="N1223" s="3">
        <v>0</v>
      </c>
      <c r="O1223" s="3">
        <v>0</v>
      </c>
      <c r="P1223" s="3">
        <v>-2500</v>
      </c>
    </row>
    <row r="1224" spans="1:16" hidden="1" x14ac:dyDescent="0.3">
      <c r="A1224">
        <v>52</v>
      </c>
      <c r="B1224" t="str">
        <f>VLOOKUP($A1224,[1]LISTA!$B:$C,2,0)</f>
        <v>DICIEMBRE</v>
      </c>
      <c r="C1224" s="1">
        <v>2025</v>
      </c>
      <c r="D1224" s="1" t="str">
        <f>IF($A1224&lt;=[1]RESULTADOS!$D$6,"YTD","YTG")</f>
        <v>YTG</v>
      </c>
      <c r="E1224" t="s">
        <v>17</v>
      </c>
      <c r="F1224" t="s">
        <v>664</v>
      </c>
      <c r="G1224" t="s">
        <v>665</v>
      </c>
      <c r="H1224" t="s">
        <v>666</v>
      </c>
      <c r="I1224" t="s">
        <v>185</v>
      </c>
      <c r="J1224" t="str">
        <f>IFERROR(VLOOKUP(I1224,[1]AUTOS!$C:$G,2,0),"")</f>
        <v>MARCH</v>
      </c>
      <c r="K1224">
        <f>IFERROR(VLOOKUP(I1224,[1]AUTOS!$C:$G,3,0),"")</f>
        <v>2021</v>
      </c>
      <c r="L1224" t="str">
        <f>IFERROR(VLOOKUP(I1224,[1]AUTOS!$C:$G,4,0),"")</f>
        <v>ROJO</v>
      </c>
      <c r="M1224" t="s">
        <v>43</v>
      </c>
      <c r="N1224" s="3">
        <v>0</v>
      </c>
      <c r="O1224" s="3">
        <v>0</v>
      </c>
      <c r="P1224" s="3">
        <v>-2500</v>
      </c>
    </row>
    <row r="1225" spans="1:16" hidden="1" x14ac:dyDescent="0.3">
      <c r="A1225">
        <v>23</v>
      </c>
      <c r="B1225" t="str">
        <f>VLOOKUP($A1225,[1]LISTA!$B:$C,2,0)</f>
        <v>JUNIO</v>
      </c>
      <c r="C1225" s="1">
        <v>2025</v>
      </c>
      <c r="D1225" s="1" t="str">
        <f>IF($A1225&lt;=[1]RESULTADOS!$D$6,"YTD","YTG")</f>
        <v>YTD</v>
      </c>
      <c r="E1225" t="s">
        <v>17</v>
      </c>
      <c r="F1225" t="s">
        <v>664</v>
      </c>
      <c r="G1225" t="s">
        <v>665</v>
      </c>
      <c r="H1225" t="s">
        <v>666</v>
      </c>
      <c r="I1225" t="s">
        <v>146</v>
      </c>
      <c r="J1225" t="str">
        <f>IFERROR(VLOOKUP(I1225,[1]AUTOS!$C:$G,2,0),"")</f>
        <v>KIA RIO</v>
      </c>
      <c r="K1225">
        <f>IFERROR(VLOOKUP(I1225,[1]AUTOS!$C:$G,3,0),"")</f>
        <v>2023</v>
      </c>
      <c r="L1225" t="str">
        <f>IFERROR(VLOOKUP(I1225,[1]AUTOS!$C:$G,4,0),"")</f>
        <v>ROJO</v>
      </c>
      <c r="M1225" t="s">
        <v>35</v>
      </c>
      <c r="N1225" s="3">
        <v>0</v>
      </c>
      <c r="O1225" s="3">
        <v>0</v>
      </c>
      <c r="P1225" s="3">
        <v>-2500</v>
      </c>
    </row>
    <row r="1226" spans="1:16" hidden="1" x14ac:dyDescent="0.3">
      <c r="A1226">
        <v>24</v>
      </c>
      <c r="B1226" t="str">
        <f>VLOOKUP($A1226,[1]LISTA!$B:$C,2,0)</f>
        <v>JUNIO</v>
      </c>
      <c r="C1226" s="1">
        <v>2025</v>
      </c>
      <c r="D1226" s="1" t="str">
        <f>IF($A1226&lt;=[1]RESULTADOS!$D$6,"YTD","YTG")</f>
        <v>YTD</v>
      </c>
      <c r="E1226" t="s">
        <v>17</v>
      </c>
      <c r="F1226" t="s">
        <v>664</v>
      </c>
      <c r="G1226" t="s">
        <v>665</v>
      </c>
      <c r="H1226" t="s">
        <v>666</v>
      </c>
      <c r="I1226" t="s">
        <v>146</v>
      </c>
      <c r="J1226" t="str">
        <f>IFERROR(VLOOKUP(I1226,[1]AUTOS!$C:$G,2,0),"")</f>
        <v>KIA RIO</v>
      </c>
      <c r="K1226">
        <f>IFERROR(VLOOKUP(I1226,[1]AUTOS!$C:$G,3,0),"")</f>
        <v>2023</v>
      </c>
      <c r="L1226" t="str">
        <f>IFERROR(VLOOKUP(I1226,[1]AUTOS!$C:$G,4,0),"")</f>
        <v>ROJO</v>
      </c>
      <c r="M1226" t="s">
        <v>35</v>
      </c>
      <c r="N1226" s="3">
        <v>0</v>
      </c>
      <c r="O1226" s="3">
        <v>0</v>
      </c>
      <c r="P1226" s="3">
        <v>-2500</v>
      </c>
    </row>
    <row r="1227" spans="1:16" hidden="1" x14ac:dyDescent="0.3">
      <c r="A1227">
        <v>25</v>
      </c>
      <c r="B1227" t="str">
        <f>VLOOKUP($A1227,[1]LISTA!$B:$C,2,0)</f>
        <v>JUNIO</v>
      </c>
      <c r="C1227" s="1">
        <v>2025</v>
      </c>
      <c r="D1227" s="1" t="str">
        <f>IF($A1227&lt;=[1]RESULTADOS!$D$6,"YTD","YTG")</f>
        <v>YTD</v>
      </c>
      <c r="E1227" t="s">
        <v>17</v>
      </c>
      <c r="F1227" t="s">
        <v>664</v>
      </c>
      <c r="G1227" t="s">
        <v>665</v>
      </c>
      <c r="H1227" t="s">
        <v>666</v>
      </c>
      <c r="I1227" t="s">
        <v>146</v>
      </c>
      <c r="J1227" t="str">
        <f>IFERROR(VLOOKUP(I1227,[1]AUTOS!$C:$G,2,0),"")</f>
        <v>KIA RIO</v>
      </c>
      <c r="K1227">
        <f>IFERROR(VLOOKUP(I1227,[1]AUTOS!$C:$G,3,0),"")</f>
        <v>2023</v>
      </c>
      <c r="L1227" t="str">
        <f>IFERROR(VLOOKUP(I1227,[1]AUTOS!$C:$G,4,0),"")</f>
        <v>ROJO</v>
      </c>
      <c r="M1227" t="s">
        <v>35</v>
      </c>
      <c r="N1227" s="3">
        <v>0</v>
      </c>
      <c r="O1227" s="3">
        <v>0</v>
      </c>
      <c r="P1227" s="3">
        <v>-2500</v>
      </c>
    </row>
    <row r="1228" spans="1:16" hidden="1" x14ac:dyDescent="0.3">
      <c r="A1228">
        <v>26</v>
      </c>
      <c r="B1228" t="str">
        <f>VLOOKUP($A1228,[1]LISTA!$B:$C,2,0)</f>
        <v>JUNIO</v>
      </c>
      <c r="C1228" s="1">
        <v>2025</v>
      </c>
      <c r="D1228" s="1" t="str">
        <f>IF($A1228&lt;=[1]RESULTADOS!$D$6,"YTD","YTG")</f>
        <v>YTD</v>
      </c>
      <c r="E1228" t="s">
        <v>17</v>
      </c>
      <c r="F1228" t="s">
        <v>664</v>
      </c>
      <c r="G1228" t="s">
        <v>665</v>
      </c>
      <c r="H1228" t="s">
        <v>666</v>
      </c>
      <c r="I1228" t="s">
        <v>146</v>
      </c>
      <c r="J1228" t="str">
        <f>IFERROR(VLOOKUP(I1228,[1]AUTOS!$C:$G,2,0),"")</f>
        <v>KIA RIO</v>
      </c>
      <c r="K1228">
        <f>IFERROR(VLOOKUP(I1228,[1]AUTOS!$C:$G,3,0),"")</f>
        <v>2023</v>
      </c>
      <c r="L1228" t="str">
        <f>IFERROR(VLOOKUP(I1228,[1]AUTOS!$C:$G,4,0),"")</f>
        <v>ROJO</v>
      </c>
      <c r="M1228" t="s">
        <v>35</v>
      </c>
      <c r="N1228" s="3">
        <v>0</v>
      </c>
      <c r="O1228" s="3">
        <v>0</v>
      </c>
      <c r="P1228" s="3">
        <v>-2500</v>
      </c>
    </row>
    <row r="1229" spans="1:16" hidden="1" x14ac:dyDescent="0.3">
      <c r="A1229">
        <v>27</v>
      </c>
      <c r="B1229" t="str">
        <f>VLOOKUP($A1229,[1]LISTA!$B:$C,2,0)</f>
        <v>JULIO</v>
      </c>
      <c r="C1229" s="1">
        <v>2025</v>
      </c>
      <c r="D1229" s="1" t="str">
        <f>IF($A1229&lt;=[1]RESULTADOS!$D$6,"YTD","YTG")</f>
        <v>YTD</v>
      </c>
      <c r="E1229" t="s">
        <v>17</v>
      </c>
      <c r="F1229" t="s">
        <v>664</v>
      </c>
      <c r="G1229" t="s">
        <v>665</v>
      </c>
      <c r="H1229" t="s">
        <v>666</v>
      </c>
      <c r="I1229" t="s">
        <v>146</v>
      </c>
      <c r="J1229" t="str">
        <f>IFERROR(VLOOKUP(I1229,[1]AUTOS!$C:$G,2,0),"")</f>
        <v>KIA RIO</v>
      </c>
      <c r="K1229">
        <f>IFERROR(VLOOKUP(I1229,[1]AUTOS!$C:$G,3,0),"")</f>
        <v>2023</v>
      </c>
      <c r="L1229" t="str">
        <f>IFERROR(VLOOKUP(I1229,[1]AUTOS!$C:$G,4,0),"")</f>
        <v>ROJO</v>
      </c>
      <c r="M1229" t="s">
        <v>35</v>
      </c>
      <c r="N1229" s="3">
        <v>0</v>
      </c>
      <c r="O1229" s="3">
        <v>0</v>
      </c>
      <c r="P1229" s="3">
        <v>-2500</v>
      </c>
    </row>
    <row r="1230" spans="1:16" hidden="1" x14ac:dyDescent="0.3">
      <c r="A1230">
        <v>28</v>
      </c>
      <c r="B1230" t="str">
        <f>VLOOKUP($A1230,[1]LISTA!$B:$C,2,0)</f>
        <v>JULIO</v>
      </c>
      <c r="C1230" s="1">
        <v>2025</v>
      </c>
      <c r="D1230" s="1" t="str">
        <f>IF($A1230&lt;=[1]RESULTADOS!$D$6,"YTD","YTG")</f>
        <v>YTD</v>
      </c>
      <c r="E1230" t="s">
        <v>17</v>
      </c>
      <c r="F1230" t="s">
        <v>664</v>
      </c>
      <c r="G1230" t="s">
        <v>665</v>
      </c>
      <c r="H1230" t="s">
        <v>666</v>
      </c>
      <c r="I1230" t="s">
        <v>146</v>
      </c>
      <c r="J1230" t="str">
        <f>IFERROR(VLOOKUP(I1230,[1]AUTOS!$C:$G,2,0),"")</f>
        <v>KIA RIO</v>
      </c>
      <c r="K1230">
        <f>IFERROR(VLOOKUP(I1230,[1]AUTOS!$C:$G,3,0),"")</f>
        <v>2023</v>
      </c>
      <c r="L1230" t="str">
        <f>IFERROR(VLOOKUP(I1230,[1]AUTOS!$C:$G,4,0),"")</f>
        <v>ROJO</v>
      </c>
      <c r="M1230" t="s">
        <v>35</v>
      </c>
      <c r="N1230" s="3">
        <v>0</v>
      </c>
      <c r="O1230" s="3">
        <v>0</v>
      </c>
      <c r="P1230" s="3">
        <v>-2500</v>
      </c>
    </row>
    <row r="1231" spans="1:16" hidden="1" x14ac:dyDescent="0.3">
      <c r="A1231">
        <v>29</v>
      </c>
      <c r="B1231" t="str">
        <f>VLOOKUP($A1231,[1]LISTA!$B:$C,2,0)</f>
        <v>JULIO</v>
      </c>
      <c r="C1231" s="1">
        <v>2025</v>
      </c>
      <c r="D1231" s="1" t="str">
        <f>IF($A1231&lt;=[1]RESULTADOS!$D$6,"YTD","YTG")</f>
        <v>YTD</v>
      </c>
      <c r="E1231" t="s">
        <v>17</v>
      </c>
      <c r="F1231" t="s">
        <v>664</v>
      </c>
      <c r="G1231" t="s">
        <v>665</v>
      </c>
      <c r="H1231" t="s">
        <v>666</v>
      </c>
      <c r="I1231" t="s">
        <v>146</v>
      </c>
      <c r="J1231" t="str">
        <f>IFERROR(VLOOKUP(I1231,[1]AUTOS!$C:$G,2,0),"")</f>
        <v>KIA RIO</v>
      </c>
      <c r="K1231">
        <f>IFERROR(VLOOKUP(I1231,[1]AUTOS!$C:$G,3,0),"")</f>
        <v>2023</v>
      </c>
      <c r="L1231" t="str">
        <f>IFERROR(VLOOKUP(I1231,[1]AUTOS!$C:$G,4,0),"")</f>
        <v>ROJO</v>
      </c>
      <c r="M1231" t="s">
        <v>35</v>
      </c>
      <c r="N1231" s="3">
        <v>0</v>
      </c>
      <c r="O1231" s="3">
        <v>0</v>
      </c>
      <c r="P1231" s="3">
        <v>-2500</v>
      </c>
    </row>
    <row r="1232" spans="1:16" hidden="1" x14ac:dyDescent="0.3">
      <c r="A1232">
        <v>30</v>
      </c>
      <c r="B1232" t="str">
        <f>VLOOKUP($A1232,[1]LISTA!$B:$C,2,0)</f>
        <v>JULIO</v>
      </c>
      <c r="C1232" s="1">
        <v>2025</v>
      </c>
      <c r="D1232" s="1" t="str">
        <f>IF($A1232&lt;=[1]RESULTADOS!$D$6,"YTD","YTG")</f>
        <v>YTD</v>
      </c>
      <c r="E1232" t="s">
        <v>17</v>
      </c>
      <c r="F1232" t="s">
        <v>664</v>
      </c>
      <c r="G1232" t="s">
        <v>665</v>
      </c>
      <c r="H1232" t="s">
        <v>666</v>
      </c>
      <c r="I1232" t="s">
        <v>146</v>
      </c>
      <c r="J1232" t="str">
        <f>IFERROR(VLOOKUP(I1232,[1]AUTOS!$C:$G,2,0),"")</f>
        <v>KIA RIO</v>
      </c>
      <c r="K1232">
        <f>IFERROR(VLOOKUP(I1232,[1]AUTOS!$C:$G,3,0),"")</f>
        <v>2023</v>
      </c>
      <c r="L1232" t="str">
        <f>IFERROR(VLOOKUP(I1232,[1]AUTOS!$C:$G,4,0),"")</f>
        <v>ROJO</v>
      </c>
      <c r="M1232" t="s">
        <v>35</v>
      </c>
      <c r="N1232" s="3">
        <v>0</v>
      </c>
      <c r="O1232" s="3">
        <v>0</v>
      </c>
      <c r="P1232" s="3">
        <v>-2500</v>
      </c>
    </row>
    <row r="1233" spans="1:16" hidden="1" x14ac:dyDescent="0.3">
      <c r="A1233">
        <v>31</v>
      </c>
      <c r="B1233" t="str">
        <f>VLOOKUP($A1233,[1]LISTA!$B:$C,2,0)</f>
        <v>JULIO</v>
      </c>
      <c r="C1233" s="1">
        <v>2025</v>
      </c>
      <c r="D1233" s="1" t="str">
        <f>IF($A1233&lt;=[1]RESULTADOS!$D$6,"YTD","YTG")</f>
        <v>YTD</v>
      </c>
      <c r="E1233" t="s">
        <v>17</v>
      </c>
      <c r="F1233" t="s">
        <v>664</v>
      </c>
      <c r="G1233" t="s">
        <v>665</v>
      </c>
      <c r="H1233" t="s">
        <v>666</v>
      </c>
      <c r="I1233" t="s">
        <v>146</v>
      </c>
      <c r="J1233" t="str">
        <f>IFERROR(VLOOKUP(I1233,[1]AUTOS!$C:$G,2,0),"")</f>
        <v>KIA RIO</v>
      </c>
      <c r="K1233">
        <f>IFERROR(VLOOKUP(I1233,[1]AUTOS!$C:$G,3,0),"")</f>
        <v>2023</v>
      </c>
      <c r="L1233" t="str">
        <f>IFERROR(VLOOKUP(I1233,[1]AUTOS!$C:$G,4,0),"")</f>
        <v>ROJO</v>
      </c>
      <c r="M1233" t="s">
        <v>35</v>
      </c>
      <c r="N1233" s="3">
        <v>0</v>
      </c>
      <c r="O1233" s="3">
        <v>0</v>
      </c>
      <c r="P1233" s="3">
        <v>-2500</v>
      </c>
    </row>
    <row r="1234" spans="1:16" hidden="1" x14ac:dyDescent="0.3">
      <c r="A1234">
        <v>32</v>
      </c>
      <c r="B1234" t="str">
        <f>VLOOKUP($A1234,[1]LISTA!$B:$C,2,0)</f>
        <v>AGOSTO</v>
      </c>
      <c r="C1234" s="1">
        <v>2025</v>
      </c>
      <c r="D1234" s="1" t="str">
        <f>IF($A1234&lt;=[1]RESULTADOS!$D$6,"YTD","YTG")</f>
        <v>YTD</v>
      </c>
      <c r="E1234" t="s">
        <v>17</v>
      </c>
      <c r="F1234" t="s">
        <v>664</v>
      </c>
      <c r="G1234" t="s">
        <v>665</v>
      </c>
      <c r="H1234" t="s">
        <v>666</v>
      </c>
      <c r="I1234" t="s">
        <v>146</v>
      </c>
      <c r="J1234" t="str">
        <f>IFERROR(VLOOKUP(I1234,[1]AUTOS!$C:$G,2,0),"")</f>
        <v>KIA RIO</v>
      </c>
      <c r="K1234">
        <f>IFERROR(VLOOKUP(I1234,[1]AUTOS!$C:$G,3,0),"")</f>
        <v>2023</v>
      </c>
      <c r="L1234" t="str">
        <f>IFERROR(VLOOKUP(I1234,[1]AUTOS!$C:$G,4,0),"")</f>
        <v>ROJO</v>
      </c>
      <c r="M1234" t="s">
        <v>35</v>
      </c>
      <c r="N1234" s="3">
        <v>0</v>
      </c>
      <c r="O1234" s="3">
        <v>0</v>
      </c>
      <c r="P1234" s="3">
        <v>-2500</v>
      </c>
    </row>
    <row r="1235" spans="1:16" hidden="1" x14ac:dyDescent="0.3">
      <c r="A1235">
        <v>33</v>
      </c>
      <c r="B1235" t="str">
        <f>VLOOKUP($A1235,[1]LISTA!$B:$C,2,0)</f>
        <v>AGOSTO</v>
      </c>
      <c r="C1235" s="1">
        <v>2025</v>
      </c>
      <c r="D1235" s="1" t="str">
        <f>IF($A1235&lt;=[1]RESULTADOS!$D$6,"YTD","YTG")</f>
        <v>YTD</v>
      </c>
      <c r="E1235" t="s">
        <v>17</v>
      </c>
      <c r="F1235" t="s">
        <v>664</v>
      </c>
      <c r="G1235" t="s">
        <v>665</v>
      </c>
      <c r="H1235" t="s">
        <v>666</v>
      </c>
      <c r="I1235" t="s">
        <v>146</v>
      </c>
      <c r="J1235" t="str">
        <f>IFERROR(VLOOKUP(I1235,[1]AUTOS!$C:$G,2,0),"")</f>
        <v>KIA RIO</v>
      </c>
      <c r="K1235">
        <f>IFERROR(VLOOKUP(I1235,[1]AUTOS!$C:$G,3,0),"")</f>
        <v>2023</v>
      </c>
      <c r="L1235" t="str">
        <f>IFERROR(VLOOKUP(I1235,[1]AUTOS!$C:$G,4,0),"")</f>
        <v>ROJO</v>
      </c>
      <c r="M1235" t="s">
        <v>35</v>
      </c>
      <c r="N1235" s="3">
        <v>0</v>
      </c>
      <c r="O1235" s="3">
        <v>0</v>
      </c>
      <c r="P1235" s="3">
        <v>-2500</v>
      </c>
    </row>
    <row r="1236" spans="1:16" hidden="1" x14ac:dyDescent="0.3">
      <c r="A1236">
        <v>34</v>
      </c>
      <c r="B1236" t="str">
        <f>VLOOKUP($A1236,[1]LISTA!$B:$C,2,0)</f>
        <v>AGOSTO</v>
      </c>
      <c r="C1236" s="1">
        <v>2025</v>
      </c>
      <c r="D1236" s="1" t="str">
        <f>IF($A1236&lt;=[1]RESULTADOS!$D$6,"YTD","YTG")</f>
        <v>YTD</v>
      </c>
      <c r="E1236" t="s">
        <v>17</v>
      </c>
      <c r="F1236" t="s">
        <v>664</v>
      </c>
      <c r="G1236" t="s">
        <v>665</v>
      </c>
      <c r="H1236" t="s">
        <v>666</v>
      </c>
      <c r="I1236" t="s">
        <v>146</v>
      </c>
      <c r="J1236" t="str">
        <f>IFERROR(VLOOKUP(I1236,[1]AUTOS!$C:$G,2,0),"")</f>
        <v>KIA RIO</v>
      </c>
      <c r="K1236">
        <f>IFERROR(VLOOKUP(I1236,[1]AUTOS!$C:$G,3,0),"")</f>
        <v>2023</v>
      </c>
      <c r="L1236" t="str">
        <f>IFERROR(VLOOKUP(I1236,[1]AUTOS!$C:$G,4,0),"")</f>
        <v>ROJO</v>
      </c>
      <c r="M1236" t="s">
        <v>35</v>
      </c>
      <c r="N1236" s="3">
        <v>0</v>
      </c>
      <c r="O1236" s="3">
        <v>0</v>
      </c>
      <c r="P1236" s="3">
        <v>-2500</v>
      </c>
    </row>
    <row r="1237" spans="1:16" hidden="1" x14ac:dyDescent="0.3">
      <c r="A1237">
        <v>35</v>
      </c>
      <c r="B1237" t="str">
        <f>VLOOKUP($A1237,[1]LISTA!$B:$C,2,0)</f>
        <v>AGOSTO</v>
      </c>
      <c r="C1237" s="1">
        <v>2025</v>
      </c>
      <c r="D1237" s="1" t="str">
        <f>IF($A1237&lt;=[1]RESULTADOS!$D$6,"YTD","YTG")</f>
        <v>YTD</v>
      </c>
      <c r="E1237" t="s">
        <v>17</v>
      </c>
      <c r="F1237" t="s">
        <v>664</v>
      </c>
      <c r="G1237" t="s">
        <v>665</v>
      </c>
      <c r="H1237" t="s">
        <v>666</v>
      </c>
      <c r="I1237" t="s">
        <v>146</v>
      </c>
      <c r="J1237" t="str">
        <f>IFERROR(VLOOKUP(I1237,[1]AUTOS!$C:$G,2,0),"")</f>
        <v>KIA RIO</v>
      </c>
      <c r="K1237">
        <f>IFERROR(VLOOKUP(I1237,[1]AUTOS!$C:$G,3,0),"")</f>
        <v>2023</v>
      </c>
      <c r="L1237" t="str">
        <f>IFERROR(VLOOKUP(I1237,[1]AUTOS!$C:$G,4,0),"")</f>
        <v>ROJO</v>
      </c>
      <c r="M1237" t="s">
        <v>35</v>
      </c>
      <c r="N1237" s="3">
        <v>0</v>
      </c>
      <c r="O1237" s="3">
        <v>0</v>
      </c>
      <c r="P1237" s="3">
        <v>-2500</v>
      </c>
    </row>
    <row r="1238" spans="1:16" hidden="1" x14ac:dyDescent="0.3">
      <c r="A1238">
        <v>36</v>
      </c>
      <c r="B1238" t="str">
        <f>VLOOKUP($A1238,[1]LISTA!$B:$C,2,0)</f>
        <v>SEPTIEMBRE</v>
      </c>
      <c r="C1238" s="1">
        <v>2025</v>
      </c>
      <c r="D1238" s="1" t="str">
        <f>IF($A1238&lt;=[1]RESULTADOS!$D$6,"YTD","YTG")</f>
        <v>YTD</v>
      </c>
      <c r="E1238" t="s">
        <v>17</v>
      </c>
      <c r="F1238" t="s">
        <v>664</v>
      </c>
      <c r="G1238" t="s">
        <v>665</v>
      </c>
      <c r="H1238" t="s">
        <v>666</v>
      </c>
      <c r="I1238" t="s">
        <v>146</v>
      </c>
      <c r="J1238" t="str">
        <f>IFERROR(VLOOKUP(I1238,[1]AUTOS!$C:$G,2,0),"")</f>
        <v>KIA RIO</v>
      </c>
      <c r="K1238">
        <f>IFERROR(VLOOKUP(I1238,[1]AUTOS!$C:$G,3,0),"")</f>
        <v>2023</v>
      </c>
      <c r="L1238" t="str">
        <f>IFERROR(VLOOKUP(I1238,[1]AUTOS!$C:$G,4,0),"")</f>
        <v>ROJO</v>
      </c>
      <c r="M1238" t="s">
        <v>35</v>
      </c>
      <c r="N1238" s="3">
        <v>0</v>
      </c>
      <c r="O1238" s="3">
        <v>0</v>
      </c>
      <c r="P1238" s="3">
        <v>-2500</v>
      </c>
    </row>
    <row r="1239" spans="1:16" hidden="1" x14ac:dyDescent="0.3">
      <c r="A1239">
        <v>37</v>
      </c>
      <c r="B1239" t="str">
        <f>VLOOKUP($A1239,[1]LISTA!$B:$C,2,0)</f>
        <v>SEPTIEMBRE</v>
      </c>
      <c r="C1239" s="1">
        <v>2025</v>
      </c>
      <c r="D1239" s="1" t="str">
        <f>IF($A1239&lt;=[1]RESULTADOS!$D$6,"YTD","YTG")</f>
        <v>YTD</v>
      </c>
      <c r="E1239" t="s">
        <v>17</v>
      </c>
      <c r="F1239" t="s">
        <v>664</v>
      </c>
      <c r="G1239" t="s">
        <v>665</v>
      </c>
      <c r="H1239" t="s">
        <v>666</v>
      </c>
      <c r="I1239" t="s">
        <v>146</v>
      </c>
      <c r="J1239" t="str">
        <f>IFERROR(VLOOKUP(I1239,[1]AUTOS!$C:$G,2,0),"")</f>
        <v>KIA RIO</v>
      </c>
      <c r="K1239">
        <f>IFERROR(VLOOKUP(I1239,[1]AUTOS!$C:$G,3,0),"")</f>
        <v>2023</v>
      </c>
      <c r="L1239" t="str">
        <f>IFERROR(VLOOKUP(I1239,[1]AUTOS!$C:$G,4,0),"")</f>
        <v>ROJO</v>
      </c>
      <c r="M1239" t="s">
        <v>35</v>
      </c>
      <c r="N1239" s="3">
        <v>0</v>
      </c>
      <c r="O1239" s="3">
        <v>0</v>
      </c>
      <c r="P1239" s="3">
        <v>-2500</v>
      </c>
    </row>
    <row r="1240" spans="1:16" hidden="1" x14ac:dyDescent="0.3">
      <c r="A1240">
        <v>38</v>
      </c>
      <c r="B1240" t="str">
        <f>VLOOKUP($A1240,[1]LISTA!$B:$C,2,0)</f>
        <v>SEPTIEMBRE</v>
      </c>
      <c r="C1240" s="1">
        <v>2025</v>
      </c>
      <c r="D1240" s="1" t="str">
        <f>IF($A1240&lt;=[1]RESULTADOS!$D$6,"YTD","YTG")</f>
        <v>YTD</v>
      </c>
      <c r="E1240" t="s">
        <v>17</v>
      </c>
      <c r="F1240" t="s">
        <v>664</v>
      </c>
      <c r="G1240" t="s">
        <v>665</v>
      </c>
      <c r="H1240" t="s">
        <v>666</v>
      </c>
      <c r="I1240" t="s">
        <v>146</v>
      </c>
      <c r="J1240" t="str">
        <f>IFERROR(VLOOKUP(I1240,[1]AUTOS!$C:$G,2,0),"")</f>
        <v>KIA RIO</v>
      </c>
      <c r="K1240">
        <f>IFERROR(VLOOKUP(I1240,[1]AUTOS!$C:$G,3,0),"")</f>
        <v>2023</v>
      </c>
      <c r="L1240" t="str">
        <f>IFERROR(VLOOKUP(I1240,[1]AUTOS!$C:$G,4,0),"")</f>
        <v>ROJO</v>
      </c>
      <c r="M1240" t="s">
        <v>35</v>
      </c>
      <c r="N1240" s="3">
        <v>0</v>
      </c>
      <c r="O1240" s="3">
        <v>0</v>
      </c>
      <c r="P1240" s="3">
        <v>-2500</v>
      </c>
    </row>
    <row r="1241" spans="1:16" hidden="1" x14ac:dyDescent="0.3">
      <c r="A1241">
        <v>39</v>
      </c>
      <c r="B1241" t="str">
        <f>VLOOKUP($A1241,[1]LISTA!$B:$C,2,0)</f>
        <v>SEPTIEMBRE</v>
      </c>
      <c r="C1241" s="1">
        <v>2025</v>
      </c>
      <c r="D1241" s="1" t="str">
        <f>IF($A1241&lt;=[1]RESULTADOS!$D$6,"YTD","YTG")</f>
        <v>YTD</v>
      </c>
      <c r="E1241" t="s">
        <v>17</v>
      </c>
      <c r="F1241" t="s">
        <v>664</v>
      </c>
      <c r="G1241" t="s">
        <v>665</v>
      </c>
      <c r="H1241" t="s">
        <v>666</v>
      </c>
      <c r="I1241" t="s">
        <v>146</v>
      </c>
      <c r="J1241" t="str">
        <f>IFERROR(VLOOKUP(I1241,[1]AUTOS!$C:$G,2,0),"")</f>
        <v>KIA RIO</v>
      </c>
      <c r="K1241">
        <f>IFERROR(VLOOKUP(I1241,[1]AUTOS!$C:$G,3,0),"")</f>
        <v>2023</v>
      </c>
      <c r="L1241" t="str">
        <f>IFERROR(VLOOKUP(I1241,[1]AUTOS!$C:$G,4,0),"")</f>
        <v>ROJO</v>
      </c>
      <c r="M1241" t="s">
        <v>35</v>
      </c>
      <c r="N1241" s="3">
        <v>0</v>
      </c>
      <c r="O1241" s="3">
        <v>0</v>
      </c>
      <c r="P1241" s="3">
        <v>-2500</v>
      </c>
    </row>
    <row r="1242" spans="1:16" hidden="1" x14ac:dyDescent="0.3">
      <c r="A1242">
        <v>40</v>
      </c>
      <c r="B1242" t="str">
        <f>VLOOKUP($A1242,[1]LISTA!$B:$C,2,0)</f>
        <v>OCTUBRE</v>
      </c>
      <c r="C1242" s="1">
        <v>2025</v>
      </c>
      <c r="D1242" s="1" t="str">
        <f>IF($A1242&lt;=[1]RESULTADOS!$D$6,"YTD","YTG")</f>
        <v>YTG</v>
      </c>
      <c r="E1242" t="s">
        <v>17</v>
      </c>
      <c r="F1242" t="s">
        <v>664</v>
      </c>
      <c r="G1242" t="s">
        <v>665</v>
      </c>
      <c r="H1242" t="s">
        <v>666</v>
      </c>
      <c r="I1242" t="s">
        <v>146</v>
      </c>
      <c r="J1242" t="str">
        <f>IFERROR(VLOOKUP(I1242,[1]AUTOS!$C:$G,2,0),"")</f>
        <v>KIA RIO</v>
      </c>
      <c r="K1242">
        <f>IFERROR(VLOOKUP(I1242,[1]AUTOS!$C:$G,3,0),"")</f>
        <v>2023</v>
      </c>
      <c r="L1242" t="str">
        <f>IFERROR(VLOOKUP(I1242,[1]AUTOS!$C:$G,4,0),"")</f>
        <v>ROJO</v>
      </c>
      <c r="M1242" t="s">
        <v>35</v>
      </c>
      <c r="N1242" s="3">
        <v>0</v>
      </c>
      <c r="O1242" s="3">
        <v>0</v>
      </c>
      <c r="P1242" s="3">
        <v>-2500</v>
      </c>
    </row>
    <row r="1243" spans="1:16" hidden="1" x14ac:dyDescent="0.3">
      <c r="A1243">
        <v>41</v>
      </c>
      <c r="B1243" t="str">
        <f>VLOOKUP($A1243,[1]LISTA!$B:$C,2,0)</f>
        <v>OCTUBRE</v>
      </c>
      <c r="C1243" s="1">
        <v>2025</v>
      </c>
      <c r="D1243" s="1" t="str">
        <f>IF($A1243&lt;=[1]RESULTADOS!$D$6,"YTD","YTG")</f>
        <v>YTG</v>
      </c>
      <c r="E1243" t="s">
        <v>17</v>
      </c>
      <c r="F1243" t="s">
        <v>664</v>
      </c>
      <c r="G1243" t="s">
        <v>665</v>
      </c>
      <c r="H1243" t="s">
        <v>666</v>
      </c>
      <c r="I1243" t="s">
        <v>146</v>
      </c>
      <c r="J1243" t="str">
        <f>IFERROR(VLOOKUP(I1243,[1]AUTOS!$C:$G,2,0),"")</f>
        <v>KIA RIO</v>
      </c>
      <c r="K1243">
        <f>IFERROR(VLOOKUP(I1243,[1]AUTOS!$C:$G,3,0),"")</f>
        <v>2023</v>
      </c>
      <c r="L1243" t="str">
        <f>IFERROR(VLOOKUP(I1243,[1]AUTOS!$C:$G,4,0),"")</f>
        <v>ROJO</v>
      </c>
      <c r="M1243" t="s">
        <v>35</v>
      </c>
      <c r="N1243" s="3">
        <v>0</v>
      </c>
      <c r="O1243" s="3">
        <v>0</v>
      </c>
      <c r="P1243" s="3">
        <v>-2500</v>
      </c>
    </row>
    <row r="1244" spans="1:16" hidden="1" x14ac:dyDescent="0.3">
      <c r="A1244">
        <v>42</v>
      </c>
      <c r="B1244" t="str">
        <f>VLOOKUP($A1244,[1]LISTA!$B:$C,2,0)</f>
        <v>OCTUBRE</v>
      </c>
      <c r="C1244" s="1">
        <v>2025</v>
      </c>
      <c r="D1244" s="1" t="str">
        <f>IF($A1244&lt;=[1]RESULTADOS!$D$6,"YTD","YTG")</f>
        <v>YTG</v>
      </c>
      <c r="E1244" t="s">
        <v>17</v>
      </c>
      <c r="F1244" t="s">
        <v>664</v>
      </c>
      <c r="G1244" t="s">
        <v>665</v>
      </c>
      <c r="H1244" t="s">
        <v>666</v>
      </c>
      <c r="I1244" t="s">
        <v>146</v>
      </c>
      <c r="J1244" t="str">
        <f>IFERROR(VLOOKUP(I1244,[1]AUTOS!$C:$G,2,0),"")</f>
        <v>KIA RIO</v>
      </c>
      <c r="K1244">
        <f>IFERROR(VLOOKUP(I1244,[1]AUTOS!$C:$G,3,0),"")</f>
        <v>2023</v>
      </c>
      <c r="L1244" t="str">
        <f>IFERROR(VLOOKUP(I1244,[1]AUTOS!$C:$G,4,0),"")</f>
        <v>ROJO</v>
      </c>
      <c r="M1244" t="s">
        <v>35</v>
      </c>
      <c r="N1244" s="3">
        <v>0</v>
      </c>
      <c r="O1244" s="3">
        <v>0</v>
      </c>
      <c r="P1244" s="3">
        <v>-2500</v>
      </c>
    </row>
    <row r="1245" spans="1:16" hidden="1" x14ac:dyDescent="0.3">
      <c r="A1245">
        <v>43</v>
      </c>
      <c r="B1245" t="str">
        <f>VLOOKUP($A1245,[1]LISTA!$B:$C,2,0)</f>
        <v>OCTUBRE</v>
      </c>
      <c r="C1245" s="1">
        <v>2025</v>
      </c>
      <c r="D1245" s="1" t="str">
        <f>IF($A1245&lt;=[1]RESULTADOS!$D$6,"YTD","YTG")</f>
        <v>YTG</v>
      </c>
      <c r="E1245" t="s">
        <v>17</v>
      </c>
      <c r="F1245" t="s">
        <v>664</v>
      </c>
      <c r="G1245" t="s">
        <v>665</v>
      </c>
      <c r="H1245" t="s">
        <v>666</v>
      </c>
      <c r="I1245" t="s">
        <v>146</v>
      </c>
      <c r="J1245" t="str">
        <f>IFERROR(VLOOKUP(I1245,[1]AUTOS!$C:$G,2,0),"")</f>
        <v>KIA RIO</v>
      </c>
      <c r="K1245">
        <f>IFERROR(VLOOKUP(I1245,[1]AUTOS!$C:$G,3,0),"")</f>
        <v>2023</v>
      </c>
      <c r="L1245" t="str">
        <f>IFERROR(VLOOKUP(I1245,[1]AUTOS!$C:$G,4,0),"")</f>
        <v>ROJO</v>
      </c>
      <c r="M1245" t="s">
        <v>35</v>
      </c>
      <c r="N1245" s="3">
        <v>0</v>
      </c>
      <c r="O1245" s="3">
        <v>0</v>
      </c>
      <c r="P1245" s="3">
        <v>-2500</v>
      </c>
    </row>
    <row r="1246" spans="1:16" hidden="1" x14ac:dyDescent="0.3">
      <c r="A1246">
        <v>44</v>
      </c>
      <c r="B1246" t="str">
        <f>VLOOKUP($A1246,[1]LISTA!$B:$C,2,0)</f>
        <v>OCTUBRE</v>
      </c>
      <c r="C1246" s="1">
        <v>2025</v>
      </c>
      <c r="D1246" s="1" t="str">
        <f>IF($A1246&lt;=[1]RESULTADOS!$D$6,"YTD","YTG")</f>
        <v>YTG</v>
      </c>
      <c r="E1246" t="s">
        <v>17</v>
      </c>
      <c r="F1246" t="s">
        <v>664</v>
      </c>
      <c r="G1246" t="s">
        <v>665</v>
      </c>
      <c r="H1246" t="s">
        <v>666</v>
      </c>
      <c r="I1246" t="s">
        <v>146</v>
      </c>
      <c r="J1246" t="str">
        <f>IFERROR(VLOOKUP(I1246,[1]AUTOS!$C:$G,2,0),"")</f>
        <v>KIA RIO</v>
      </c>
      <c r="K1246">
        <f>IFERROR(VLOOKUP(I1246,[1]AUTOS!$C:$G,3,0),"")</f>
        <v>2023</v>
      </c>
      <c r="L1246" t="str">
        <f>IFERROR(VLOOKUP(I1246,[1]AUTOS!$C:$G,4,0),"")</f>
        <v>ROJO</v>
      </c>
      <c r="M1246" t="s">
        <v>35</v>
      </c>
      <c r="N1246" s="3">
        <v>0</v>
      </c>
      <c r="O1246" s="3">
        <v>0</v>
      </c>
      <c r="P1246" s="3">
        <v>-2500</v>
      </c>
    </row>
    <row r="1247" spans="1:16" hidden="1" x14ac:dyDescent="0.3">
      <c r="A1247">
        <v>45</v>
      </c>
      <c r="B1247" t="str">
        <f>VLOOKUP($A1247,[1]LISTA!$B:$C,2,0)</f>
        <v>NOVIEMBRE</v>
      </c>
      <c r="C1247" s="1">
        <v>2025</v>
      </c>
      <c r="D1247" s="1" t="str">
        <f>IF($A1247&lt;=[1]RESULTADOS!$D$6,"YTD","YTG")</f>
        <v>YTG</v>
      </c>
      <c r="E1247" t="s">
        <v>17</v>
      </c>
      <c r="F1247" t="s">
        <v>664</v>
      </c>
      <c r="G1247" t="s">
        <v>665</v>
      </c>
      <c r="H1247" t="s">
        <v>666</v>
      </c>
      <c r="I1247" t="s">
        <v>146</v>
      </c>
      <c r="J1247" t="str">
        <f>IFERROR(VLOOKUP(I1247,[1]AUTOS!$C:$G,2,0),"")</f>
        <v>KIA RIO</v>
      </c>
      <c r="K1247">
        <f>IFERROR(VLOOKUP(I1247,[1]AUTOS!$C:$G,3,0),"")</f>
        <v>2023</v>
      </c>
      <c r="L1247" t="str">
        <f>IFERROR(VLOOKUP(I1247,[1]AUTOS!$C:$G,4,0),"")</f>
        <v>ROJO</v>
      </c>
      <c r="M1247" t="s">
        <v>35</v>
      </c>
      <c r="N1247" s="3">
        <v>0</v>
      </c>
      <c r="O1247" s="3">
        <v>0</v>
      </c>
      <c r="P1247" s="3">
        <v>-2500</v>
      </c>
    </row>
    <row r="1248" spans="1:16" hidden="1" x14ac:dyDescent="0.3">
      <c r="A1248">
        <v>46</v>
      </c>
      <c r="B1248" t="str">
        <f>VLOOKUP($A1248,[1]LISTA!$B:$C,2,0)</f>
        <v>NOVIEMBRE</v>
      </c>
      <c r="C1248" s="1">
        <v>2025</v>
      </c>
      <c r="D1248" s="1" t="str">
        <f>IF($A1248&lt;=[1]RESULTADOS!$D$6,"YTD","YTG")</f>
        <v>YTG</v>
      </c>
      <c r="E1248" t="s">
        <v>17</v>
      </c>
      <c r="F1248" t="s">
        <v>664</v>
      </c>
      <c r="G1248" t="s">
        <v>665</v>
      </c>
      <c r="H1248" t="s">
        <v>666</v>
      </c>
      <c r="I1248" t="s">
        <v>146</v>
      </c>
      <c r="J1248" t="str">
        <f>IFERROR(VLOOKUP(I1248,[1]AUTOS!$C:$G,2,0),"")</f>
        <v>KIA RIO</v>
      </c>
      <c r="K1248">
        <f>IFERROR(VLOOKUP(I1248,[1]AUTOS!$C:$G,3,0),"")</f>
        <v>2023</v>
      </c>
      <c r="L1248" t="str">
        <f>IFERROR(VLOOKUP(I1248,[1]AUTOS!$C:$G,4,0),"")</f>
        <v>ROJO</v>
      </c>
      <c r="M1248" t="s">
        <v>35</v>
      </c>
      <c r="N1248" s="3">
        <v>0</v>
      </c>
      <c r="O1248" s="3">
        <v>0</v>
      </c>
      <c r="P1248" s="3">
        <v>-2500</v>
      </c>
    </row>
    <row r="1249" spans="1:16" hidden="1" x14ac:dyDescent="0.3">
      <c r="A1249">
        <v>47</v>
      </c>
      <c r="B1249" t="str">
        <f>VLOOKUP($A1249,[1]LISTA!$B:$C,2,0)</f>
        <v>NOVIEMBRE</v>
      </c>
      <c r="C1249" s="1">
        <v>2025</v>
      </c>
      <c r="D1249" s="1" t="str">
        <f>IF($A1249&lt;=[1]RESULTADOS!$D$6,"YTD","YTG")</f>
        <v>YTG</v>
      </c>
      <c r="E1249" t="s">
        <v>17</v>
      </c>
      <c r="F1249" t="s">
        <v>664</v>
      </c>
      <c r="G1249" t="s">
        <v>665</v>
      </c>
      <c r="H1249" t="s">
        <v>666</v>
      </c>
      <c r="I1249" t="s">
        <v>146</v>
      </c>
      <c r="J1249" t="str">
        <f>IFERROR(VLOOKUP(I1249,[1]AUTOS!$C:$G,2,0),"")</f>
        <v>KIA RIO</v>
      </c>
      <c r="K1249">
        <f>IFERROR(VLOOKUP(I1249,[1]AUTOS!$C:$G,3,0),"")</f>
        <v>2023</v>
      </c>
      <c r="L1249" t="str">
        <f>IFERROR(VLOOKUP(I1249,[1]AUTOS!$C:$G,4,0),"")</f>
        <v>ROJO</v>
      </c>
      <c r="M1249" t="s">
        <v>35</v>
      </c>
      <c r="N1249" s="3">
        <v>0</v>
      </c>
      <c r="O1249" s="3">
        <v>0</v>
      </c>
      <c r="P1249" s="3">
        <v>-2500</v>
      </c>
    </row>
    <row r="1250" spans="1:16" hidden="1" x14ac:dyDescent="0.3">
      <c r="A1250">
        <v>48</v>
      </c>
      <c r="B1250" t="str">
        <f>VLOOKUP($A1250,[1]LISTA!$B:$C,2,0)</f>
        <v>NOVIEMBRE</v>
      </c>
      <c r="C1250" s="1">
        <v>2025</v>
      </c>
      <c r="D1250" s="1" t="str">
        <f>IF($A1250&lt;=[1]RESULTADOS!$D$6,"YTD","YTG")</f>
        <v>YTG</v>
      </c>
      <c r="E1250" t="s">
        <v>17</v>
      </c>
      <c r="F1250" t="s">
        <v>664</v>
      </c>
      <c r="G1250" t="s">
        <v>665</v>
      </c>
      <c r="H1250" t="s">
        <v>666</v>
      </c>
      <c r="I1250" t="s">
        <v>146</v>
      </c>
      <c r="J1250" t="str">
        <f>IFERROR(VLOOKUP(I1250,[1]AUTOS!$C:$G,2,0),"")</f>
        <v>KIA RIO</v>
      </c>
      <c r="K1250">
        <f>IFERROR(VLOOKUP(I1250,[1]AUTOS!$C:$G,3,0),"")</f>
        <v>2023</v>
      </c>
      <c r="L1250" t="str">
        <f>IFERROR(VLOOKUP(I1250,[1]AUTOS!$C:$G,4,0),"")</f>
        <v>ROJO</v>
      </c>
      <c r="M1250" t="s">
        <v>35</v>
      </c>
      <c r="N1250" s="3">
        <v>0</v>
      </c>
      <c r="O1250" s="3">
        <v>0</v>
      </c>
      <c r="P1250" s="3">
        <v>-2500</v>
      </c>
    </row>
    <row r="1251" spans="1:16" hidden="1" x14ac:dyDescent="0.3">
      <c r="A1251">
        <v>49</v>
      </c>
      <c r="B1251" t="str">
        <f>VLOOKUP($A1251,[1]LISTA!$B:$C,2,0)</f>
        <v>DICIEMBRE</v>
      </c>
      <c r="C1251" s="1">
        <v>2025</v>
      </c>
      <c r="D1251" s="1" t="str">
        <f>IF($A1251&lt;=[1]RESULTADOS!$D$6,"YTD","YTG")</f>
        <v>YTG</v>
      </c>
      <c r="E1251" t="s">
        <v>17</v>
      </c>
      <c r="F1251" t="s">
        <v>664</v>
      </c>
      <c r="G1251" t="s">
        <v>665</v>
      </c>
      <c r="H1251" t="s">
        <v>666</v>
      </c>
      <c r="I1251" t="s">
        <v>146</v>
      </c>
      <c r="J1251" t="str">
        <f>IFERROR(VLOOKUP(I1251,[1]AUTOS!$C:$G,2,0),"")</f>
        <v>KIA RIO</v>
      </c>
      <c r="K1251">
        <f>IFERROR(VLOOKUP(I1251,[1]AUTOS!$C:$G,3,0),"")</f>
        <v>2023</v>
      </c>
      <c r="L1251" t="str">
        <f>IFERROR(VLOOKUP(I1251,[1]AUTOS!$C:$G,4,0),"")</f>
        <v>ROJO</v>
      </c>
      <c r="M1251" t="s">
        <v>35</v>
      </c>
      <c r="N1251" s="3">
        <v>0</v>
      </c>
      <c r="O1251" s="3">
        <v>0</v>
      </c>
      <c r="P1251" s="3">
        <v>-2500</v>
      </c>
    </row>
    <row r="1252" spans="1:16" hidden="1" x14ac:dyDescent="0.3">
      <c r="A1252">
        <v>50</v>
      </c>
      <c r="B1252" t="str">
        <f>VLOOKUP($A1252,[1]LISTA!$B:$C,2,0)</f>
        <v>DICIEMBRE</v>
      </c>
      <c r="C1252" s="1">
        <v>2025</v>
      </c>
      <c r="D1252" s="1" t="str">
        <f>IF($A1252&lt;=[1]RESULTADOS!$D$6,"YTD","YTG")</f>
        <v>YTG</v>
      </c>
      <c r="E1252" t="s">
        <v>17</v>
      </c>
      <c r="F1252" t="s">
        <v>664</v>
      </c>
      <c r="G1252" t="s">
        <v>665</v>
      </c>
      <c r="H1252" t="s">
        <v>666</v>
      </c>
      <c r="I1252" t="s">
        <v>146</v>
      </c>
      <c r="J1252" t="str">
        <f>IFERROR(VLOOKUP(I1252,[1]AUTOS!$C:$G,2,0),"")</f>
        <v>KIA RIO</v>
      </c>
      <c r="K1252">
        <f>IFERROR(VLOOKUP(I1252,[1]AUTOS!$C:$G,3,0),"")</f>
        <v>2023</v>
      </c>
      <c r="L1252" t="str">
        <f>IFERROR(VLOOKUP(I1252,[1]AUTOS!$C:$G,4,0),"")</f>
        <v>ROJO</v>
      </c>
      <c r="M1252" t="s">
        <v>35</v>
      </c>
      <c r="N1252" s="3">
        <v>0</v>
      </c>
      <c r="O1252" s="3">
        <v>0</v>
      </c>
      <c r="P1252" s="3">
        <v>-2500</v>
      </c>
    </row>
    <row r="1253" spans="1:16" hidden="1" x14ac:dyDescent="0.3">
      <c r="A1253">
        <v>51</v>
      </c>
      <c r="B1253" t="str">
        <f>VLOOKUP($A1253,[1]LISTA!$B:$C,2,0)</f>
        <v>DICIEMBRE</v>
      </c>
      <c r="C1253" s="1">
        <v>2025</v>
      </c>
      <c r="D1253" s="1" t="str">
        <f>IF($A1253&lt;=[1]RESULTADOS!$D$6,"YTD","YTG")</f>
        <v>YTG</v>
      </c>
      <c r="E1253" t="s">
        <v>17</v>
      </c>
      <c r="F1253" t="s">
        <v>664</v>
      </c>
      <c r="G1253" t="s">
        <v>665</v>
      </c>
      <c r="H1253" t="s">
        <v>666</v>
      </c>
      <c r="I1253" t="s">
        <v>146</v>
      </c>
      <c r="J1253" t="str">
        <f>IFERROR(VLOOKUP(I1253,[1]AUTOS!$C:$G,2,0),"")</f>
        <v>KIA RIO</v>
      </c>
      <c r="K1253">
        <f>IFERROR(VLOOKUP(I1253,[1]AUTOS!$C:$G,3,0),"")</f>
        <v>2023</v>
      </c>
      <c r="L1253" t="str">
        <f>IFERROR(VLOOKUP(I1253,[1]AUTOS!$C:$G,4,0),"")</f>
        <v>ROJO</v>
      </c>
      <c r="M1253" t="s">
        <v>35</v>
      </c>
      <c r="N1253" s="3">
        <v>0</v>
      </c>
      <c r="O1253" s="3">
        <v>0</v>
      </c>
      <c r="P1253" s="3">
        <v>-2500</v>
      </c>
    </row>
    <row r="1254" spans="1:16" hidden="1" x14ac:dyDescent="0.3">
      <c r="A1254">
        <v>52</v>
      </c>
      <c r="B1254" t="str">
        <f>VLOOKUP($A1254,[1]LISTA!$B:$C,2,0)</f>
        <v>DICIEMBRE</v>
      </c>
      <c r="C1254" s="1">
        <v>2025</v>
      </c>
      <c r="D1254" s="1" t="str">
        <f>IF($A1254&lt;=[1]RESULTADOS!$D$6,"YTD","YTG")</f>
        <v>YTG</v>
      </c>
      <c r="E1254" t="s">
        <v>17</v>
      </c>
      <c r="F1254" t="s">
        <v>664</v>
      </c>
      <c r="G1254" t="s">
        <v>665</v>
      </c>
      <c r="H1254" t="s">
        <v>666</v>
      </c>
      <c r="I1254" t="s">
        <v>146</v>
      </c>
      <c r="J1254" t="str">
        <f>IFERROR(VLOOKUP(I1254,[1]AUTOS!$C:$G,2,0),"")</f>
        <v>KIA RIO</v>
      </c>
      <c r="K1254">
        <f>IFERROR(VLOOKUP(I1254,[1]AUTOS!$C:$G,3,0),"")</f>
        <v>2023</v>
      </c>
      <c r="L1254" t="str">
        <f>IFERROR(VLOOKUP(I1254,[1]AUTOS!$C:$G,4,0),"")</f>
        <v>ROJO</v>
      </c>
      <c r="M1254" t="s">
        <v>35</v>
      </c>
      <c r="N1254" s="3">
        <v>0</v>
      </c>
      <c r="O1254" s="3">
        <v>0</v>
      </c>
      <c r="P1254" s="3">
        <v>-2500</v>
      </c>
    </row>
    <row r="1255" spans="1:16" hidden="1" x14ac:dyDescent="0.3">
      <c r="A1255">
        <v>25</v>
      </c>
      <c r="B1255" t="str">
        <f>VLOOKUP($A1255,[1]LISTA!$B:$C,2,0)</f>
        <v>JUNIO</v>
      </c>
      <c r="C1255" s="1">
        <v>2025</v>
      </c>
      <c r="D1255" s="1" t="str">
        <f>IF($A1255&lt;=[1]RESULTADOS!$D$6,"YTD","YTG")</f>
        <v>YTD</v>
      </c>
      <c r="E1255" t="s">
        <v>17</v>
      </c>
      <c r="F1255" t="s">
        <v>664</v>
      </c>
      <c r="G1255" t="s">
        <v>665</v>
      </c>
      <c r="H1255" t="s">
        <v>666</v>
      </c>
      <c r="I1255" t="s">
        <v>333</v>
      </c>
      <c r="J1255" t="str">
        <f>IFERROR(VLOOKUP(I1255,[1]AUTOS!$C:$G,2,0),"")</f>
        <v>BEAT</v>
      </c>
      <c r="K1255">
        <f>IFERROR(VLOOKUP(I1255,[1]AUTOS!$C:$G,3,0),"")</f>
        <v>2019</v>
      </c>
      <c r="L1255" t="str">
        <f>IFERROR(VLOOKUP(I1255,[1]AUTOS!$C:$G,4,0),"")</f>
        <v>OCRE</v>
      </c>
      <c r="M1255" t="s">
        <v>43</v>
      </c>
      <c r="N1255" s="3">
        <v>0</v>
      </c>
      <c r="O1255" s="3">
        <v>0</v>
      </c>
      <c r="P1255" s="3">
        <v>-2500</v>
      </c>
    </row>
    <row r="1256" spans="1:16" hidden="1" x14ac:dyDescent="0.3">
      <c r="A1256">
        <v>26</v>
      </c>
      <c r="B1256" t="str">
        <f>VLOOKUP($A1256,[1]LISTA!$B:$C,2,0)</f>
        <v>JUNIO</v>
      </c>
      <c r="C1256" s="1">
        <v>2025</v>
      </c>
      <c r="D1256" s="1" t="str">
        <f>IF($A1256&lt;=[1]RESULTADOS!$D$6,"YTD","YTG")</f>
        <v>YTD</v>
      </c>
      <c r="E1256" t="s">
        <v>17</v>
      </c>
      <c r="F1256" t="s">
        <v>664</v>
      </c>
      <c r="G1256" t="s">
        <v>665</v>
      </c>
      <c r="H1256" t="s">
        <v>666</v>
      </c>
      <c r="I1256" t="s">
        <v>333</v>
      </c>
      <c r="J1256" t="str">
        <f>IFERROR(VLOOKUP(I1256,[1]AUTOS!$C:$G,2,0),"")</f>
        <v>BEAT</v>
      </c>
      <c r="K1256">
        <f>IFERROR(VLOOKUP(I1256,[1]AUTOS!$C:$G,3,0),"")</f>
        <v>2019</v>
      </c>
      <c r="L1256" t="str">
        <f>IFERROR(VLOOKUP(I1256,[1]AUTOS!$C:$G,4,0),"")</f>
        <v>OCRE</v>
      </c>
      <c r="M1256" t="s">
        <v>43</v>
      </c>
      <c r="N1256" s="3">
        <v>0</v>
      </c>
      <c r="O1256" s="3">
        <v>0</v>
      </c>
      <c r="P1256" s="3">
        <v>-2500</v>
      </c>
    </row>
    <row r="1257" spans="1:16" hidden="1" x14ac:dyDescent="0.3">
      <c r="A1257">
        <v>27</v>
      </c>
      <c r="B1257" t="str">
        <f>VLOOKUP($A1257,[1]LISTA!$B:$C,2,0)</f>
        <v>JULIO</v>
      </c>
      <c r="C1257" s="1">
        <v>2025</v>
      </c>
      <c r="D1257" s="1" t="str">
        <f>IF($A1257&lt;=[1]RESULTADOS!$D$6,"YTD","YTG")</f>
        <v>YTD</v>
      </c>
      <c r="E1257" t="s">
        <v>17</v>
      </c>
      <c r="F1257" t="s">
        <v>664</v>
      </c>
      <c r="G1257" t="s">
        <v>665</v>
      </c>
      <c r="H1257" t="s">
        <v>666</v>
      </c>
      <c r="I1257" t="s">
        <v>333</v>
      </c>
      <c r="J1257" t="str">
        <f>IFERROR(VLOOKUP(I1257,[1]AUTOS!$C:$G,2,0),"")</f>
        <v>BEAT</v>
      </c>
      <c r="K1257">
        <f>IFERROR(VLOOKUP(I1257,[1]AUTOS!$C:$G,3,0),"")</f>
        <v>2019</v>
      </c>
      <c r="L1257" t="str">
        <f>IFERROR(VLOOKUP(I1257,[1]AUTOS!$C:$G,4,0),"")</f>
        <v>OCRE</v>
      </c>
      <c r="M1257" t="s">
        <v>43</v>
      </c>
      <c r="N1257" s="3">
        <v>0</v>
      </c>
      <c r="O1257" s="3">
        <v>0</v>
      </c>
      <c r="P1257" s="3">
        <v>-2500</v>
      </c>
    </row>
    <row r="1258" spans="1:16" hidden="1" x14ac:dyDescent="0.3">
      <c r="A1258">
        <v>28</v>
      </c>
      <c r="B1258" t="str">
        <f>VLOOKUP($A1258,[1]LISTA!$B:$C,2,0)</f>
        <v>JULIO</v>
      </c>
      <c r="C1258" s="1">
        <v>2025</v>
      </c>
      <c r="D1258" s="1" t="str">
        <f>IF($A1258&lt;=[1]RESULTADOS!$D$6,"YTD","YTG")</f>
        <v>YTD</v>
      </c>
      <c r="E1258" t="s">
        <v>17</v>
      </c>
      <c r="F1258" t="s">
        <v>664</v>
      </c>
      <c r="G1258" t="s">
        <v>665</v>
      </c>
      <c r="H1258" t="s">
        <v>666</v>
      </c>
      <c r="I1258" t="s">
        <v>333</v>
      </c>
      <c r="J1258" t="str">
        <f>IFERROR(VLOOKUP(I1258,[1]AUTOS!$C:$G,2,0),"")</f>
        <v>BEAT</v>
      </c>
      <c r="K1258">
        <f>IFERROR(VLOOKUP(I1258,[1]AUTOS!$C:$G,3,0),"")</f>
        <v>2019</v>
      </c>
      <c r="L1258" t="str">
        <f>IFERROR(VLOOKUP(I1258,[1]AUTOS!$C:$G,4,0),"")</f>
        <v>OCRE</v>
      </c>
      <c r="M1258" t="s">
        <v>43</v>
      </c>
      <c r="N1258" s="3">
        <v>0</v>
      </c>
      <c r="O1258" s="3">
        <v>0</v>
      </c>
      <c r="P1258" s="3">
        <v>-2500</v>
      </c>
    </row>
    <row r="1259" spans="1:16" hidden="1" x14ac:dyDescent="0.3">
      <c r="A1259">
        <v>29</v>
      </c>
      <c r="B1259" t="str">
        <f>VLOOKUP($A1259,[1]LISTA!$B:$C,2,0)</f>
        <v>JULIO</v>
      </c>
      <c r="C1259" s="1">
        <v>2025</v>
      </c>
      <c r="D1259" s="1" t="str">
        <f>IF($A1259&lt;=[1]RESULTADOS!$D$6,"YTD","YTG")</f>
        <v>YTD</v>
      </c>
      <c r="E1259" t="s">
        <v>17</v>
      </c>
      <c r="F1259" t="s">
        <v>664</v>
      </c>
      <c r="G1259" t="s">
        <v>665</v>
      </c>
      <c r="H1259" t="s">
        <v>666</v>
      </c>
      <c r="I1259" t="s">
        <v>333</v>
      </c>
      <c r="J1259" t="str">
        <f>IFERROR(VLOOKUP(I1259,[1]AUTOS!$C:$G,2,0),"")</f>
        <v>BEAT</v>
      </c>
      <c r="K1259">
        <f>IFERROR(VLOOKUP(I1259,[1]AUTOS!$C:$G,3,0),"")</f>
        <v>2019</v>
      </c>
      <c r="L1259" t="str">
        <f>IFERROR(VLOOKUP(I1259,[1]AUTOS!$C:$G,4,0),"")</f>
        <v>OCRE</v>
      </c>
      <c r="M1259" t="s">
        <v>43</v>
      </c>
      <c r="N1259" s="3">
        <v>0</v>
      </c>
      <c r="O1259" s="3">
        <v>0</v>
      </c>
      <c r="P1259" s="3">
        <v>-2500</v>
      </c>
    </row>
    <row r="1260" spans="1:16" hidden="1" x14ac:dyDescent="0.3">
      <c r="A1260">
        <v>30</v>
      </c>
      <c r="B1260" t="str">
        <f>VLOOKUP($A1260,[1]LISTA!$B:$C,2,0)</f>
        <v>JULIO</v>
      </c>
      <c r="C1260" s="1">
        <v>2025</v>
      </c>
      <c r="D1260" s="1" t="str">
        <f>IF($A1260&lt;=[1]RESULTADOS!$D$6,"YTD","YTG")</f>
        <v>YTD</v>
      </c>
      <c r="E1260" t="s">
        <v>17</v>
      </c>
      <c r="F1260" t="s">
        <v>664</v>
      </c>
      <c r="G1260" t="s">
        <v>665</v>
      </c>
      <c r="H1260" t="s">
        <v>666</v>
      </c>
      <c r="I1260" t="s">
        <v>333</v>
      </c>
      <c r="J1260" t="str">
        <f>IFERROR(VLOOKUP(I1260,[1]AUTOS!$C:$G,2,0),"")</f>
        <v>BEAT</v>
      </c>
      <c r="K1260">
        <f>IFERROR(VLOOKUP(I1260,[1]AUTOS!$C:$G,3,0),"")</f>
        <v>2019</v>
      </c>
      <c r="L1260" t="str">
        <f>IFERROR(VLOOKUP(I1260,[1]AUTOS!$C:$G,4,0),"")</f>
        <v>OCRE</v>
      </c>
      <c r="M1260" t="s">
        <v>43</v>
      </c>
      <c r="N1260" s="3">
        <v>0</v>
      </c>
      <c r="O1260" s="3">
        <v>0</v>
      </c>
      <c r="P1260" s="3">
        <v>-2500</v>
      </c>
    </row>
    <row r="1261" spans="1:16" hidden="1" x14ac:dyDescent="0.3">
      <c r="A1261">
        <v>31</v>
      </c>
      <c r="B1261" t="str">
        <f>VLOOKUP($A1261,[1]LISTA!$B:$C,2,0)</f>
        <v>JULIO</v>
      </c>
      <c r="C1261" s="1">
        <v>2025</v>
      </c>
      <c r="D1261" s="1" t="str">
        <f>IF($A1261&lt;=[1]RESULTADOS!$D$6,"YTD","YTG")</f>
        <v>YTD</v>
      </c>
      <c r="E1261" t="s">
        <v>17</v>
      </c>
      <c r="F1261" t="s">
        <v>664</v>
      </c>
      <c r="G1261" t="s">
        <v>665</v>
      </c>
      <c r="H1261" t="s">
        <v>666</v>
      </c>
      <c r="I1261" t="s">
        <v>333</v>
      </c>
      <c r="J1261" t="str">
        <f>IFERROR(VLOOKUP(I1261,[1]AUTOS!$C:$G,2,0),"")</f>
        <v>BEAT</v>
      </c>
      <c r="K1261">
        <f>IFERROR(VLOOKUP(I1261,[1]AUTOS!$C:$G,3,0),"")</f>
        <v>2019</v>
      </c>
      <c r="L1261" t="str">
        <f>IFERROR(VLOOKUP(I1261,[1]AUTOS!$C:$G,4,0),"")</f>
        <v>OCRE</v>
      </c>
      <c r="M1261" t="s">
        <v>43</v>
      </c>
      <c r="N1261" s="3">
        <v>0</v>
      </c>
      <c r="O1261" s="3">
        <v>0</v>
      </c>
      <c r="P1261" s="3">
        <v>-2500</v>
      </c>
    </row>
    <row r="1262" spans="1:16" hidden="1" x14ac:dyDescent="0.3">
      <c r="A1262">
        <v>32</v>
      </c>
      <c r="B1262" t="str">
        <f>VLOOKUP($A1262,[1]LISTA!$B:$C,2,0)</f>
        <v>AGOSTO</v>
      </c>
      <c r="C1262" s="1">
        <v>2025</v>
      </c>
      <c r="D1262" s="1" t="str">
        <f>IF($A1262&lt;=[1]RESULTADOS!$D$6,"YTD","YTG")</f>
        <v>YTD</v>
      </c>
      <c r="E1262" t="s">
        <v>17</v>
      </c>
      <c r="F1262" t="s">
        <v>664</v>
      </c>
      <c r="G1262" t="s">
        <v>665</v>
      </c>
      <c r="H1262" t="s">
        <v>666</v>
      </c>
      <c r="I1262" t="s">
        <v>333</v>
      </c>
      <c r="J1262" t="str">
        <f>IFERROR(VLOOKUP(I1262,[1]AUTOS!$C:$G,2,0),"")</f>
        <v>BEAT</v>
      </c>
      <c r="K1262">
        <f>IFERROR(VLOOKUP(I1262,[1]AUTOS!$C:$G,3,0),"")</f>
        <v>2019</v>
      </c>
      <c r="L1262" t="str">
        <f>IFERROR(VLOOKUP(I1262,[1]AUTOS!$C:$G,4,0),"")</f>
        <v>OCRE</v>
      </c>
      <c r="M1262" t="s">
        <v>43</v>
      </c>
      <c r="N1262" s="3">
        <v>0</v>
      </c>
      <c r="O1262" s="3">
        <v>0</v>
      </c>
      <c r="P1262" s="3">
        <v>-2500</v>
      </c>
    </row>
    <row r="1263" spans="1:16" hidden="1" x14ac:dyDescent="0.3">
      <c r="A1263">
        <v>33</v>
      </c>
      <c r="B1263" t="str">
        <f>VLOOKUP($A1263,[1]LISTA!$B:$C,2,0)</f>
        <v>AGOSTO</v>
      </c>
      <c r="C1263" s="1">
        <v>2025</v>
      </c>
      <c r="D1263" s="1" t="str">
        <f>IF($A1263&lt;=[1]RESULTADOS!$D$6,"YTD","YTG")</f>
        <v>YTD</v>
      </c>
      <c r="E1263" t="s">
        <v>17</v>
      </c>
      <c r="F1263" t="s">
        <v>664</v>
      </c>
      <c r="G1263" t="s">
        <v>665</v>
      </c>
      <c r="H1263" t="s">
        <v>666</v>
      </c>
      <c r="I1263" t="s">
        <v>333</v>
      </c>
      <c r="J1263" t="str">
        <f>IFERROR(VLOOKUP(I1263,[1]AUTOS!$C:$G,2,0),"")</f>
        <v>BEAT</v>
      </c>
      <c r="K1263">
        <f>IFERROR(VLOOKUP(I1263,[1]AUTOS!$C:$G,3,0),"")</f>
        <v>2019</v>
      </c>
      <c r="L1263" t="str">
        <f>IFERROR(VLOOKUP(I1263,[1]AUTOS!$C:$G,4,0),"")</f>
        <v>OCRE</v>
      </c>
      <c r="M1263" t="s">
        <v>43</v>
      </c>
      <c r="N1263" s="3">
        <v>0</v>
      </c>
      <c r="O1263" s="3">
        <v>0</v>
      </c>
      <c r="P1263" s="3">
        <v>-2500</v>
      </c>
    </row>
    <row r="1264" spans="1:16" hidden="1" x14ac:dyDescent="0.3">
      <c r="A1264">
        <v>34</v>
      </c>
      <c r="B1264" t="str">
        <f>VLOOKUP($A1264,[1]LISTA!$B:$C,2,0)</f>
        <v>AGOSTO</v>
      </c>
      <c r="C1264" s="1">
        <v>2025</v>
      </c>
      <c r="D1264" s="1" t="str">
        <f>IF($A1264&lt;=[1]RESULTADOS!$D$6,"YTD","YTG")</f>
        <v>YTD</v>
      </c>
      <c r="E1264" t="s">
        <v>17</v>
      </c>
      <c r="F1264" t="s">
        <v>664</v>
      </c>
      <c r="G1264" t="s">
        <v>665</v>
      </c>
      <c r="H1264" t="s">
        <v>666</v>
      </c>
      <c r="I1264" t="s">
        <v>333</v>
      </c>
      <c r="J1264" t="str">
        <f>IFERROR(VLOOKUP(I1264,[1]AUTOS!$C:$G,2,0),"")</f>
        <v>BEAT</v>
      </c>
      <c r="K1264">
        <f>IFERROR(VLOOKUP(I1264,[1]AUTOS!$C:$G,3,0),"")</f>
        <v>2019</v>
      </c>
      <c r="L1264" t="str">
        <f>IFERROR(VLOOKUP(I1264,[1]AUTOS!$C:$G,4,0),"")</f>
        <v>OCRE</v>
      </c>
      <c r="M1264" t="s">
        <v>43</v>
      </c>
      <c r="N1264" s="3">
        <v>0</v>
      </c>
      <c r="O1264" s="3">
        <v>0</v>
      </c>
      <c r="P1264" s="3">
        <v>-2500</v>
      </c>
    </row>
    <row r="1265" spans="1:16" hidden="1" x14ac:dyDescent="0.3">
      <c r="A1265">
        <v>35</v>
      </c>
      <c r="B1265" t="str">
        <f>VLOOKUP($A1265,[1]LISTA!$B:$C,2,0)</f>
        <v>AGOSTO</v>
      </c>
      <c r="C1265" s="1">
        <v>2025</v>
      </c>
      <c r="D1265" s="1" t="str">
        <f>IF($A1265&lt;=[1]RESULTADOS!$D$6,"YTD","YTG")</f>
        <v>YTD</v>
      </c>
      <c r="E1265" t="s">
        <v>17</v>
      </c>
      <c r="F1265" t="s">
        <v>664</v>
      </c>
      <c r="G1265" t="s">
        <v>665</v>
      </c>
      <c r="H1265" t="s">
        <v>666</v>
      </c>
      <c r="I1265" t="s">
        <v>333</v>
      </c>
      <c r="J1265" t="str">
        <f>IFERROR(VLOOKUP(I1265,[1]AUTOS!$C:$G,2,0),"")</f>
        <v>BEAT</v>
      </c>
      <c r="K1265">
        <f>IFERROR(VLOOKUP(I1265,[1]AUTOS!$C:$G,3,0),"")</f>
        <v>2019</v>
      </c>
      <c r="L1265" t="str">
        <f>IFERROR(VLOOKUP(I1265,[1]AUTOS!$C:$G,4,0),"")</f>
        <v>OCRE</v>
      </c>
      <c r="M1265" t="s">
        <v>43</v>
      </c>
      <c r="N1265" s="3">
        <v>0</v>
      </c>
      <c r="O1265" s="3">
        <v>0</v>
      </c>
      <c r="P1265" s="3">
        <v>-2500</v>
      </c>
    </row>
    <row r="1266" spans="1:16" hidden="1" x14ac:dyDescent="0.3">
      <c r="A1266">
        <v>36</v>
      </c>
      <c r="B1266" t="str">
        <f>VLOOKUP($A1266,[1]LISTA!$B:$C,2,0)</f>
        <v>SEPTIEMBRE</v>
      </c>
      <c r="C1266" s="1">
        <v>2025</v>
      </c>
      <c r="D1266" s="1" t="str">
        <f>IF($A1266&lt;=[1]RESULTADOS!$D$6,"YTD","YTG")</f>
        <v>YTD</v>
      </c>
      <c r="E1266" t="s">
        <v>17</v>
      </c>
      <c r="F1266" t="s">
        <v>664</v>
      </c>
      <c r="G1266" t="s">
        <v>665</v>
      </c>
      <c r="H1266" t="s">
        <v>666</v>
      </c>
      <c r="I1266" t="s">
        <v>333</v>
      </c>
      <c r="J1266" t="str">
        <f>IFERROR(VLOOKUP(I1266,[1]AUTOS!$C:$G,2,0),"")</f>
        <v>BEAT</v>
      </c>
      <c r="K1266">
        <f>IFERROR(VLOOKUP(I1266,[1]AUTOS!$C:$G,3,0),"")</f>
        <v>2019</v>
      </c>
      <c r="L1266" t="str">
        <f>IFERROR(VLOOKUP(I1266,[1]AUTOS!$C:$G,4,0),"")</f>
        <v>OCRE</v>
      </c>
      <c r="M1266" t="s">
        <v>43</v>
      </c>
      <c r="N1266" s="3">
        <v>0</v>
      </c>
      <c r="O1266" s="3">
        <v>0</v>
      </c>
      <c r="P1266" s="3">
        <v>-2500</v>
      </c>
    </row>
    <row r="1267" spans="1:16" hidden="1" x14ac:dyDescent="0.3">
      <c r="A1267">
        <v>37</v>
      </c>
      <c r="B1267" t="str">
        <f>VLOOKUP($A1267,[1]LISTA!$B:$C,2,0)</f>
        <v>SEPTIEMBRE</v>
      </c>
      <c r="C1267" s="1">
        <v>2025</v>
      </c>
      <c r="D1267" s="1" t="str">
        <f>IF($A1267&lt;=[1]RESULTADOS!$D$6,"YTD","YTG")</f>
        <v>YTD</v>
      </c>
      <c r="E1267" t="s">
        <v>17</v>
      </c>
      <c r="F1267" t="s">
        <v>664</v>
      </c>
      <c r="G1267" t="s">
        <v>665</v>
      </c>
      <c r="H1267" t="s">
        <v>666</v>
      </c>
      <c r="I1267" t="s">
        <v>333</v>
      </c>
      <c r="J1267" t="str">
        <f>IFERROR(VLOOKUP(I1267,[1]AUTOS!$C:$G,2,0),"")</f>
        <v>BEAT</v>
      </c>
      <c r="K1267">
        <f>IFERROR(VLOOKUP(I1267,[1]AUTOS!$C:$G,3,0),"")</f>
        <v>2019</v>
      </c>
      <c r="L1267" t="str">
        <f>IFERROR(VLOOKUP(I1267,[1]AUTOS!$C:$G,4,0),"")</f>
        <v>OCRE</v>
      </c>
      <c r="M1267" t="s">
        <v>43</v>
      </c>
      <c r="N1267" s="3">
        <v>0</v>
      </c>
      <c r="O1267" s="3">
        <v>0</v>
      </c>
      <c r="P1267" s="3">
        <v>-2500</v>
      </c>
    </row>
    <row r="1268" spans="1:16" hidden="1" x14ac:dyDescent="0.3">
      <c r="A1268">
        <v>38</v>
      </c>
      <c r="B1268" t="str">
        <f>VLOOKUP($A1268,[1]LISTA!$B:$C,2,0)</f>
        <v>SEPTIEMBRE</v>
      </c>
      <c r="C1268" s="1">
        <v>2025</v>
      </c>
      <c r="D1268" s="1" t="str">
        <f>IF($A1268&lt;=[1]RESULTADOS!$D$6,"YTD","YTG")</f>
        <v>YTD</v>
      </c>
      <c r="E1268" t="s">
        <v>17</v>
      </c>
      <c r="F1268" t="s">
        <v>664</v>
      </c>
      <c r="G1268" t="s">
        <v>665</v>
      </c>
      <c r="H1268" t="s">
        <v>666</v>
      </c>
      <c r="I1268" t="s">
        <v>333</v>
      </c>
      <c r="J1268" t="str">
        <f>IFERROR(VLOOKUP(I1268,[1]AUTOS!$C:$G,2,0),"")</f>
        <v>BEAT</v>
      </c>
      <c r="K1268">
        <f>IFERROR(VLOOKUP(I1268,[1]AUTOS!$C:$G,3,0),"")</f>
        <v>2019</v>
      </c>
      <c r="L1268" t="str">
        <f>IFERROR(VLOOKUP(I1268,[1]AUTOS!$C:$G,4,0),"")</f>
        <v>OCRE</v>
      </c>
      <c r="M1268" t="s">
        <v>43</v>
      </c>
      <c r="N1268" s="3">
        <v>0</v>
      </c>
      <c r="O1268" s="3">
        <v>0</v>
      </c>
      <c r="P1268" s="3">
        <v>-2500</v>
      </c>
    </row>
    <row r="1269" spans="1:16" hidden="1" x14ac:dyDescent="0.3">
      <c r="A1269">
        <v>39</v>
      </c>
      <c r="B1269" t="str">
        <f>VLOOKUP($A1269,[1]LISTA!$B:$C,2,0)</f>
        <v>SEPTIEMBRE</v>
      </c>
      <c r="C1269" s="1">
        <v>2025</v>
      </c>
      <c r="D1269" s="1" t="str">
        <f>IF($A1269&lt;=[1]RESULTADOS!$D$6,"YTD","YTG")</f>
        <v>YTD</v>
      </c>
      <c r="E1269" t="s">
        <v>17</v>
      </c>
      <c r="F1269" t="s">
        <v>664</v>
      </c>
      <c r="G1269" t="s">
        <v>665</v>
      </c>
      <c r="H1269" t="s">
        <v>666</v>
      </c>
      <c r="I1269" t="s">
        <v>333</v>
      </c>
      <c r="J1269" t="str">
        <f>IFERROR(VLOOKUP(I1269,[1]AUTOS!$C:$G,2,0),"")</f>
        <v>BEAT</v>
      </c>
      <c r="K1269">
        <f>IFERROR(VLOOKUP(I1269,[1]AUTOS!$C:$G,3,0),"")</f>
        <v>2019</v>
      </c>
      <c r="L1269" t="str">
        <f>IFERROR(VLOOKUP(I1269,[1]AUTOS!$C:$G,4,0),"")</f>
        <v>OCRE</v>
      </c>
      <c r="M1269" t="s">
        <v>43</v>
      </c>
      <c r="N1269" s="3">
        <v>0</v>
      </c>
      <c r="O1269" s="3">
        <v>0</v>
      </c>
      <c r="P1269" s="3">
        <v>-2500</v>
      </c>
    </row>
    <row r="1270" spans="1:16" hidden="1" x14ac:dyDescent="0.3">
      <c r="A1270">
        <v>40</v>
      </c>
      <c r="B1270" t="str">
        <f>VLOOKUP($A1270,[1]LISTA!$B:$C,2,0)</f>
        <v>OCTUBRE</v>
      </c>
      <c r="C1270" s="1">
        <v>2025</v>
      </c>
      <c r="D1270" s="1" t="str">
        <f>IF($A1270&lt;=[1]RESULTADOS!$D$6,"YTD","YTG")</f>
        <v>YTG</v>
      </c>
      <c r="E1270" t="s">
        <v>17</v>
      </c>
      <c r="F1270" t="s">
        <v>664</v>
      </c>
      <c r="G1270" t="s">
        <v>665</v>
      </c>
      <c r="H1270" t="s">
        <v>666</v>
      </c>
      <c r="I1270" t="s">
        <v>333</v>
      </c>
      <c r="J1270" t="str">
        <f>IFERROR(VLOOKUP(I1270,[1]AUTOS!$C:$G,2,0),"")</f>
        <v>BEAT</v>
      </c>
      <c r="K1270">
        <f>IFERROR(VLOOKUP(I1270,[1]AUTOS!$C:$G,3,0),"")</f>
        <v>2019</v>
      </c>
      <c r="L1270" t="str">
        <f>IFERROR(VLOOKUP(I1270,[1]AUTOS!$C:$G,4,0),"")</f>
        <v>OCRE</v>
      </c>
      <c r="M1270" t="s">
        <v>43</v>
      </c>
      <c r="N1270" s="3">
        <v>0</v>
      </c>
      <c r="O1270" s="3">
        <v>0</v>
      </c>
      <c r="P1270" s="3">
        <v>-2500</v>
      </c>
    </row>
    <row r="1271" spans="1:16" hidden="1" x14ac:dyDescent="0.3">
      <c r="A1271">
        <v>41</v>
      </c>
      <c r="B1271" t="str">
        <f>VLOOKUP($A1271,[1]LISTA!$B:$C,2,0)</f>
        <v>OCTUBRE</v>
      </c>
      <c r="C1271" s="1">
        <v>2025</v>
      </c>
      <c r="D1271" s="1" t="str">
        <f>IF($A1271&lt;=[1]RESULTADOS!$D$6,"YTD","YTG")</f>
        <v>YTG</v>
      </c>
      <c r="E1271" t="s">
        <v>17</v>
      </c>
      <c r="F1271" t="s">
        <v>664</v>
      </c>
      <c r="G1271" t="s">
        <v>665</v>
      </c>
      <c r="H1271" t="s">
        <v>666</v>
      </c>
      <c r="I1271" t="s">
        <v>333</v>
      </c>
      <c r="J1271" t="str">
        <f>IFERROR(VLOOKUP(I1271,[1]AUTOS!$C:$G,2,0),"")</f>
        <v>BEAT</v>
      </c>
      <c r="K1271">
        <f>IFERROR(VLOOKUP(I1271,[1]AUTOS!$C:$G,3,0),"")</f>
        <v>2019</v>
      </c>
      <c r="L1271" t="str">
        <f>IFERROR(VLOOKUP(I1271,[1]AUTOS!$C:$G,4,0),"")</f>
        <v>OCRE</v>
      </c>
      <c r="M1271" t="s">
        <v>43</v>
      </c>
      <c r="N1271" s="3">
        <v>0</v>
      </c>
      <c r="O1271" s="3">
        <v>0</v>
      </c>
      <c r="P1271" s="3">
        <v>-2500</v>
      </c>
    </row>
    <row r="1272" spans="1:16" hidden="1" x14ac:dyDescent="0.3">
      <c r="A1272">
        <v>42</v>
      </c>
      <c r="B1272" t="str">
        <f>VLOOKUP($A1272,[1]LISTA!$B:$C,2,0)</f>
        <v>OCTUBRE</v>
      </c>
      <c r="C1272" s="1">
        <v>2025</v>
      </c>
      <c r="D1272" s="1" t="str">
        <f>IF($A1272&lt;=[1]RESULTADOS!$D$6,"YTD","YTG")</f>
        <v>YTG</v>
      </c>
      <c r="E1272" t="s">
        <v>17</v>
      </c>
      <c r="F1272" t="s">
        <v>664</v>
      </c>
      <c r="G1272" t="s">
        <v>665</v>
      </c>
      <c r="H1272" t="s">
        <v>666</v>
      </c>
      <c r="I1272" t="s">
        <v>333</v>
      </c>
      <c r="J1272" t="str">
        <f>IFERROR(VLOOKUP(I1272,[1]AUTOS!$C:$G,2,0),"")</f>
        <v>BEAT</v>
      </c>
      <c r="K1272">
        <f>IFERROR(VLOOKUP(I1272,[1]AUTOS!$C:$G,3,0),"")</f>
        <v>2019</v>
      </c>
      <c r="L1272" t="str">
        <f>IFERROR(VLOOKUP(I1272,[1]AUTOS!$C:$G,4,0),"")</f>
        <v>OCRE</v>
      </c>
      <c r="M1272" t="s">
        <v>43</v>
      </c>
      <c r="N1272" s="3">
        <v>0</v>
      </c>
      <c r="O1272" s="3">
        <v>0</v>
      </c>
      <c r="P1272" s="3">
        <v>-2500</v>
      </c>
    </row>
    <row r="1273" spans="1:16" hidden="1" x14ac:dyDescent="0.3">
      <c r="A1273">
        <v>43</v>
      </c>
      <c r="B1273" t="str">
        <f>VLOOKUP($A1273,[1]LISTA!$B:$C,2,0)</f>
        <v>OCTUBRE</v>
      </c>
      <c r="C1273" s="1">
        <v>2025</v>
      </c>
      <c r="D1273" s="1" t="str">
        <f>IF($A1273&lt;=[1]RESULTADOS!$D$6,"YTD","YTG")</f>
        <v>YTG</v>
      </c>
      <c r="E1273" t="s">
        <v>17</v>
      </c>
      <c r="F1273" t="s">
        <v>664</v>
      </c>
      <c r="G1273" t="s">
        <v>665</v>
      </c>
      <c r="H1273" t="s">
        <v>666</v>
      </c>
      <c r="I1273" t="s">
        <v>333</v>
      </c>
      <c r="J1273" t="str">
        <f>IFERROR(VLOOKUP(I1273,[1]AUTOS!$C:$G,2,0),"")</f>
        <v>BEAT</v>
      </c>
      <c r="K1273">
        <f>IFERROR(VLOOKUP(I1273,[1]AUTOS!$C:$G,3,0),"")</f>
        <v>2019</v>
      </c>
      <c r="L1273" t="str">
        <f>IFERROR(VLOOKUP(I1273,[1]AUTOS!$C:$G,4,0),"")</f>
        <v>OCRE</v>
      </c>
      <c r="M1273" t="s">
        <v>43</v>
      </c>
      <c r="N1273" s="3">
        <v>0</v>
      </c>
      <c r="O1273" s="3">
        <v>0</v>
      </c>
      <c r="P1273" s="3">
        <v>-2500</v>
      </c>
    </row>
    <row r="1274" spans="1:16" hidden="1" x14ac:dyDescent="0.3">
      <c r="A1274">
        <v>44</v>
      </c>
      <c r="B1274" t="str">
        <f>VLOOKUP($A1274,[1]LISTA!$B:$C,2,0)</f>
        <v>OCTUBRE</v>
      </c>
      <c r="C1274" s="1">
        <v>2025</v>
      </c>
      <c r="D1274" s="1" t="str">
        <f>IF($A1274&lt;=[1]RESULTADOS!$D$6,"YTD","YTG")</f>
        <v>YTG</v>
      </c>
      <c r="E1274" t="s">
        <v>17</v>
      </c>
      <c r="F1274" t="s">
        <v>664</v>
      </c>
      <c r="G1274" t="s">
        <v>665</v>
      </c>
      <c r="H1274" t="s">
        <v>666</v>
      </c>
      <c r="I1274" t="s">
        <v>333</v>
      </c>
      <c r="J1274" t="str">
        <f>IFERROR(VLOOKUP(I1274,[1]AUTOS!$C:$G,2,0),"")</f>
        <v>BEAT</v>
      </c>
      <c r="K1274">
        <f>IFERROR(VLOOKUP(I1274,[1]AUTOS!$C:$G,3,0),"")</f>
        <v>2019</v>
      </c>
      <c r="L1274" t="str">
        <f>IFERROR(VLOOKUP(I1274,[1]AUTOS!$C:$G,4,0),"")</f>
        <v>OCRE</v>
      </c>
      <c r="M1274" t="s">
        <v>43</v>
      </c>
      <c r="N1274" s="3">
        <v>0</v>
      </c>
      <c r="O1274" s="3">
        <v>0</v>
      </c>
      <c r="P1274" s="3">
        <v>-2500</v>
      </c>
    </row>
    <row r="1275" spans="1:16" hidden="1" x14ac:dyDescent="0.3">
      <c r="A1275">
        <v>45</v>
      </c>
      <c r="B1275" t="str">
        <f>VLOOKUP($A1275,[1]LISTA!$B:$C,2,0)</f>
        <v>NOVIEMBRE</v>
      </c>
      <c r="C1275" s="1">
        <v>2025</v>
      </c>
      <c r="D1275" s="1" t="str">
        <f>IF($A1275&lt;=[1]RESULTADOS!$D$6,"YTD","YTG")</f>
        <v>YTG</v>
      </c>
      <c r="E1275" t="s">
        <v>17</v>
      </c>
      <c r="F1275" t="s">
        <v>664</v>
      </c>
      <c r="G1275" t="s">
        <v>665</v>
      </c>
      <c r="H1275" t="s">
        <v>666</v>
      </c>
      <c r="I1275" t="s">
        <v>333</v>
      </c>
      <c r="J1275" t="str">
        <f>IFERROR(VLOOKUP(I1275,[1]AUTOS!$C:$G,2,0),"")</f>
        <v>BEAT</v>
      </c>
      <c r="K1275">
        <f>IFERROR(VLOOKUP(I1275,[1]AUTOS!$C:$G,3,0),"")</f>
        <v>2019</v>
      </c>
      <c r="L1275" t="str">
        <f>IFERROR(VLOOKUP(I1275,[1]AUTOS!$C:$G,4,0),"")</f>
        <v>OCRE</v>
      </c>
      <c r="M1275" t="s">
        <v>43</v>
      </c>
      <c r="N1275" s="3">
        <v>0</v>
      </c>
      <c r="O1275" s="3">
        <v>0</v>
      </c>
      <c r="P1275" s="3">
        <v>-2500</v>
      </c>
    </row>
    <row r="1276" spans="1:16" hidden="1" x14ac:dyDescent="0.3">
      <c r="A1276">
        <v>46</v>
      </c>
      <c r="B1276" t="str">
        <f>VLOOKUP($A1276,[1]LISTA!$B:$C,2,0)</f>
        <v>NOVIEMBRE</v>
      </c>
      <c r="C1276" s="1">
        <v>2025</v>
      </c>
      <c r="D1276" s="1" t="str">
        <f>IF($A1276&lt;=[1]RESULTADOS!$D$6,"YTD","YTG")</f>
        <v>YTG</v>
      </c>
      <c r="E1276" t="s">
        <v>17</v>
      </c>
      <c r="F1276" t="s">
        <v>664</v>
      </c>
      <c r="G1276" t="s">
        <v>665</v>
      </c>
      <c r="H1276" t="s">
        <v>666</v>
      </c>
      <c r="I1276" t="s">
        <v>333</v>
      </c>
      <c r="J1276" t="str">
        <f>IFERROR(VLOOKUP(I1276,[1]AUTOS!$C:$G,2,0),"")</f>
        <v>BEAT</v>
      </c>
      <c r="K1276">
        <f>IFERROR(VLOOKUP(I1276,[1]AUTOS!$C:$G,3,0),"")</f>
        <v>2019</v>
      </c>
      <c r="L1276" t="str">
        <f>IFERROR(VLOOKUP(I1276,[1]AUTOS!$C:$G,4,0),"")</f>
        <v>OCRE</v>
      </c>
      <c r="M1276" t="s">
        <v>43</v>
      </c>
      <c r="N1276" s="3">
        <v>0</v>
      </c>
      <c r="O1276" s="3">
        <v>0</v>
      </c>
      <c r="P1276" s="3">
        <v>-2500</v>
      </c>
    </row>
    <row r="1277" spans="1:16" hidden="1" x14ac:dyDescent="0.3">
      <c r="A1277">
        <v>47</v>
      </c>
      <c r="B1277" t="str">
        <f>VLOOKUP($A1277,[1]LISTA!$B:$C,2,0)</f>
        <v>NOVIEMBRE</v>
      </c>
      <c r="C1277" s="1">
        <v>2025</v>
      </c>
      <c r="D1277" s="1" t="str">
        <f>IF($A1277&lt;=[1]RESULTADOS!$D$6,"YTD","YTG")</f>
        <v>YTG</v>
      </c>
      <c r="E1277" t="s">
        <v>17</v>
      </c>
      <c r="F1277" t="s">
        <v>664</v>
      </c>
      <c r="G1277" t="s">
        <v>665</v>
      </c>
      <c r="H1277" t="s">
        <v>666</v>
      </c>
      <c r="I1277" t="s">
        <v>333</v>
      </c>
      <c r="J1277" t="str">
        <f>IFERROR(VLOOKUP(I1277,[1]AUTOS!$C:$G,2,0),"")</f>
        <v>BEAT</v>
      </c>
      <c r="K1277">
        <f>IFERROR(VLOOKUP(I1277,[1]AUTOS!$C:$G,3,0),"")</f>
        <v>2019</v>
      </c>
      <c r="L1277" t="str">
        <f>IFERROR(VLOOKUP(I1277,[1]AUTOS!$C:$G,4,0),"")</f>
        <v>OCRE</v>
      </c>
      <c r="M1277" t="s">
        <v>43</v>
      </c>
      <c r="N1277" s="3">
        <v>0</v>
      </c>
      <c r="O1277" s="3">
        <v>0</v>
      </c>
      <c r="P1277" s="3">
        <v>-2500</v>
      </c>
    </row>
    <row r="1278" spans="1:16" hidden="1" x14ac:dyDescent="0.3">
      <c r="A1278">
        <v>48</v>
      </c>
      <c r="B1278" t="str">
        <f>VLOOKUP($A1278,[1]LISTA!$B:$C,2,0)</f>
        <v>NOVIEMBRE</v>
      </c>
      <c r="C1278" s="1">
        <v>2025</v>
      </c>
      <c r="D1278" s="1" t="str">
        <f>IF($A1278&lt;=[1]RESULTADOS!$D$6,"YTD","YTG")</f>
        <v>YTG</v>
      </c>
      <c r="E1278" t="s">
        <v>17</v>
      </c>
      <c r="F1278" t="s">
        <v>664</v>
      </c>
      <c r="G1278" t="s">
        <v>665</v>
      </c>
      <c r="H1278" t="s">
        <v>666</v>
      </c>
      <c r="I1278" t="s">
        <v>333</v>
      </c>
      <c r="J1278" t="str">
        <f>IFERROR(VLOOKUP(I1278,[1]AUTOS!$C:$G,2,0),"")</f>
        <v>BEAT</v>
      </c>
      <c r="K1278">
        <f>IFERROR(VLOOKUP(I1278,[1]AUTOS!$C:$G,3,0),"")</f>
        <v>2019</v>
      </c>
      <c r="L1278" t="str">
        <f>IFERROR(VLOOKUP(I1278,[1]AUTOS!$C:$G,4,0),"")</f>
        <v>OCRE</v>
      </c>
      <c r="M1278" t="s">
        <v>43</v>
      </c>
      <c r="N1278" s="3">
        <v>0</v>
      </c>
      <c r="O1278" s="3">
        <v>0</v>
      </c>
      <c r="P1278" s="3">
        <v>-2500</v>
      </c>
    </row>
    <row r="1279" spans="1:16" hidden="1" x14ac:dyDescent="0.3">
      <c r="A1279">
        <v>49</v>
      </c>
      <c r="B1279" t="str">
        <f>VLOOKUP($A1279,[1]LISTA!$B:$C,2,0)</f>
        <v>DICIEMBRE</v>
      </c>
      <c r="C1279" s="1">
        <v>2025</v>
      </c>
      <c r="D1279" s="1" t="str">
        <f>IF($A1279&lt;=[1]RESULTADOS!$D$6,"YTD","YTG")</f>
        <v>YTG</v>
      </c>
      <c r="E1279" t="s">
        <v>17</v>
      </c>
      <c r="F1279" t="s">
        <v>664</v>
      </c>
      <c r="G1279" t="s">
        <v>665</v>
      </c>
      <c r="H1279" t="s">
        <v>666</v>
      </c>
      <c r="I1279" t="s">
        <v>333</v>
      </c>
      <c r="J1279" t="str">
        <f>IFERROR(VLOOKUP(I1279,[1]AUTOS!$C:$G,2,0),"")</f>
        <v>BEAT</v>
      </c>
      <c r="K1279">
        <f>IFERROR(VLOOKUP(I1279,[1]AUTOS!$C:$G,3,0),"")</f>
        <v>2019</v>
      </c>
      <c r="L1279" t="str">
        <f>IFERROR(VLOOKUP(I1279,[1]AUTOS!$C:$G,4,0),"")</f>
        <v>OCRE</v>
      </c>
      <c r="M1279" t="s">
        <v>43</v>
      </c>
      <c r="N1279" s="3">
        <v>0</v>
      </c>
      <c r="O1279" s="3">
        <v>0</v>
      </c>
      <c r="P1279" s="3">
        <v>-2500</v>
      </c>
    </row>
    <row r="1280" spans="1:16" hidden="1" x14ac:dyDescent="0.3">
      <c r="A1280">
        <v>50</v>
      </c>
      <c r="B1280" t="str">
        <f>VLOOKUP($A1280,[1]LISTA!$B:$C,2,0)</f>
        <v>DICIEMBRE</v>
      </c>
      <c r="C1280" s="1">
        <v>2025</v>
      </c>
      <c r="D1280" s="1" t="str">
        <f>IF($A1280&lt;=[1]RESULTADOS!$D$6,"YTD","YTG")</f>
        <v>YTG</v>
      </c>
      <c r="E1280" t="s">
        <v>17</v>
      </c>
      <c r="F1280" t="s">
        <v>664</v>
      </c>
      <c r="G1280" t="s">
        <v>665</v>
      </c>
      <c r="H1280" t="s">
        <v>666</v>
      </c>
      <c r="I1280" t="s">
        <v>333</v>
      </c>
      <c r="J1280" t="str">
        <f>IFERROR(VLOOKUP(I1280,[1]AUTOS!$C:$G,2,0),"")</f>
        <v>BEAT</v>
      </c>
      <c r="K1280">
        <f>IFERROR(VLOOKUP(I1280,[1]AUTOS!$C:$G,3,0),"")</f>
        <v>2019</v>
      </c>
      <c r="L1280" t="str">
        <f>IFERROR(VLOOKUP(I1280,[1]AUTOS!$C:$G,4,0),"")</f>
        <v>OCRE</v>
      </c>
      <c r="M1280" t="s">
        <v>43</v>
      </c>
      <c r="N1280" s="3">
        <v>0</v>
      </c>
      <c r="O1280" s="3">
        <v>0</v>
      </c>
      <c r="P1280" s="3">
        <v>-2500</v>
      </c>
    </row>
    <row r="1281" spans="1:16" hidden="1" x14ac:dyDescent="0.3">
      <c r="A1281">
        <v>51</v>
      </c>
      <c r="B1281" t="str">
        <f>VLOOKUP($A1281,[1]LISTA!$B:$C,2,0)</f>
        <v>DICIEMBRE</v>
      </c>
      <c r="C1281" s="1">
        <v>2025</v>
      </c>
      <c r="D1281" s="1" t="str">
        <f>IF($A1281&lt;=[1]RESULTADOS!$D$6,"YTD","YTG")</f>
        <v>YTG</v>
      </c>
      <c r="E1281" t="s">
        <v>17</v>
      </c>
      <c r="F1281" t="s">
        <v>664</v>
      </c>
      <c r="G1281" t="s">
        <v>665</v>
      </c>
      <c r="H1281" t="s">
        <v>666</v>
      </c>
      <c r="I1281" t="s">
        <v>333</v>
      </c>
      <c r="J1281" t="str">
        <f>IFERROR(VLOOKUP(I1281,[1]AUTOS!$C:$G,2,0),"")</f>
        <v>BEAT</v>
      </c>
      <c r="K1281">
        <f>IFERROR(VLOOKUP(I1281,[1]AUTOS!$C:$G,3,0),"")</f>
        <v>2019</v>
      </c>
      <c r="L1281" t="str">
        <f>IFERROR(VLOOKUP(I1281,[1]AUTOS!$C:$G,4,0),"")</f>
        <v>OCRE</v>
      </c>
      <c r="M1281" t="s">
        <v>43</v>
      </c>
      <c r="N1281" s="3">
        <v>0</v>
      </c>
      <c r="O1281" s="3">
        <v>0</v>
      </c>
      <c r="P1281" s="3">
        <v>-2500</v>
      </c>
    </row>
    <row r="1282" spans="1:16" hidden="1" x14ac:dyDescent="0.3">
      <c r="A1282">
        <v>52</v>
      </c>
      <c r="B1282" t="str">
        <f>VLOOKUP($A1282,[1]LISTA!$B:$C,2,0)</f>
        <v>DICIEMBRE</v>
      </c>
      <c r="C1282" s="1">
        <v>2025</v>
      </c>
      <c r="D1282" s="1" t="str">
        <f>IF($A1282&lt;=[1]RESULTADOS!$D$6,"YTD","YTG")</f>
        <v>YTG</v>
      </c>
      <c r="E1282" t="s">
        <v>17</v>
      </c>
      <c r="F1282" t="s">
        <v>664</v>
      </c>
      <c r="G1282" t="s">
        <v>665</v>
      </c>
      <c r="H1282" t="s">
        <v>666</v>
      </c>
      <c r="I1282" t="s">
        <v>333</v>
      </c>
      <c r="J1282" t="str">
        <f>IFERROR(VLOOKUP(I1282,[1]AUTOS!$C:$G,2,0),"")</f>
        <v>BEAT</v>
      </c>
      <c r="K1282">
        <f>IFERROR(VLOOKUP(I1282,[1]AUTOS!$C:$G,3,0),"")</f>
        <v>2019</v>
      </c>
      <c r="L1282" t="str">
        <f>IFERROR(VLOOKUP(I1282,[1]AUTOS!$C:$G,4,0),"")</f>
        <v>OCRE</v>
      </c>
      <c r="M1282" t="s">
        <v>43</v>
      </c>
      <c r="N1282" s="3">
        <v>0</v>
      </c>
      <c r="O1282" s="3">
        <v>0</v>
      </c>
      <c r="P1282" s="3">
        <v>-2500</v>
      </c>
    </row>
    <row r="1283" spans="1:16" hidden="1" x14ac:dyDescent="0.3">
      <c r="A1283">
        <v>19</v>
      </c>
      <c r="B1283" t="str">
        <f>VLOOKUP($A1283,[1]LISTA!$B:$C,2,0)</f>
        <v>MAYO</v>
      </c>
      <c r="C1283" s="1">
        <v>2025</v>
      </c>
      <c r="D1283" s="1" t="str">
        <f>IF($A1283&lt;=[1]RESULTADOS!$D$6,"YTD","YTG")</f>
        <v>YTD</v>
      </c>
      <c r="E1283" t="s">
        <v>17</v>
      </c>
      <c r="F1283" t="s">
        <v>664</v>
      </c>
      <c r="G1283" t="s">
        <v>665</v>
      </c>
      <c r="H1283" t="s">
        <v>666</v>
      </c>
      <c r="I1283" t="s">
        <v>214</v>
      </c>
      <c r="J1283" t="str">
        <f>IFERROR(VLOOKUP(I1283,[1]AUTOS!$C:$G,2,0),"")</f>
        <v>VENTO</v>
      </c>
      <c r="K1283">
        <f>IFERROR(VLOOKUP(I1283,[1]AUTOS!$C:$G,3,0),"")</f>
        <v>2019</v>
      </c>
      <c r="L1283" t="str">
        <f>IFERROR(VLOOKUP(I1283,[1]AUTOS!$C:$G,4,0),"")</f>
        <v>BLANCO</v>
      </c>
      <c r="M1283" t="s">
        <v>215</v>
      </c>
      <c r="N1283" s="3">
        <v>0</v>
      </c>
      <c r="O1283" s="3">
        <v>0</v>
      </c>
      <c r="P1283" s="3">
        <v>-2500</v>
      </c>
    </row>
    <row r="1284" spans="1:16" hidden="1" x14ac:dyDescent="0.3">
      <c r="A1284">
        <v>20</v>
      </c>
      <c r="B1284" t="str">
        <f>VLOOKUP($A1284,[1]LISTA!$B:$C,2,0)</f>
        <v>MAYO</v>
      </c>
      <c r="C1284" s="1">
        <v>2025</v>
      </c>
      <c r="D1284" s="1" t="str">
        <f>IF($A1284&lt;=[1]RESULTADOS!$D$6,"YTD","YTG")</f>
        <v>YTD</v>
      </c>
      <c r="E1284" t="s">
        <v>17</v>
      </c>
      <c r="F1284" t="s">
        <v>664</v>
      </c>
      <c r="G1284" t="s">
        <v>665</v>
      </c>
      <c r="H1284" t="s">
        <v>666</v>
      </c>
      <c r="I1284" t="s">
        <v>214</v>
      </c>
      <c r="J1284" t="str">
        <f>IFERROR(VLOOKUP(I1284,[1]AUTOS!$C:$G,2,0),"")</f>
        <v>VENTO</v>
      </c>
      <c r="K1284">
        <f>IFERROR(VLOOKUP(I1284,[1]AUTOS!$C:$G,3,0),"")</f>
        <v>2019</v>
      </c>
      <c r="L1284" t="str">
        <f>IFERROR(VLOOKUP(I1284,[1]AUTOS!$C:$G,4,0),"")</f>
        <v>BLANCO</v>
      </c>
      <c r="M1284" t="s">
        <v>215</v>
      </c>
      <c r="N1284" s="3">
        <v>0</v>
      </c>
      <c r="O1284" s="3">
        <v>0</v>
      </c>
      <c r="P1284" s="3">
        <v>-2500</v>
      </c>
    </row>
    <row r="1285" spans="1:16" hidden="1" x14ac:dyDescent="0.3">
      <c r="A1285">
        <v>21</v>
      </c>
      <c r="B1285" t="str">
        <f>VLOOKUP($A1285,[1]LISTA!$B:$C,2,0)</f>
        <v>MAYO</v>
      </c>
      <c r="C1285" s="1">
        <v>2025</v>
      </c>
      <c r="D1285" s="1" t="str">
        <f>IF($A1285&lt;=[1]RESULTADOS!$D$6,"YTD","YTG")</f>
        <v>YTD</v>
      </c>
      <c r="E1285" t="s">
        <v>17</v>
      </c>
      <c r="F1285" t="s">
        <v>664</v>
      </c>
      <c r="G1285" t="s">
        <v>665</v>
      </c>
      <c r="H1285" t="s">
        <v>666</v>
      </c>
      <c r="I1285" t="s">
        <v>214</v>
      </c>
      <c r="J1285" t="str">
        <f>IFERROR(VLOOKUP(I1285,[1]AUTOS!$C:$G,2,0),"")</f>
        <v>VENTO</v>
      </c>
      <c r="K1285">
        <f>IFERROR(VLOOKUP(I1285,[1]AUTOS!$C:$G,3,0),"")</f>
        <v>2019</v>
      </c>
      <c r="L1285" t="str">
        <f>IFERROR(VLOOKUP(I1285,[1]AUTOS!$C:$G,4,0),"")</f>
        <v>BLANCO</v>
      </c>
      <c r="M1285" t="s">
        <v>215</v>
      </c>
      <c r="N1285" s="3">
        <v>0</v>
      </c>
      <c r="O1285" s="3">
        <v>0</v>
      </c>
      <c r="P1285" s="3">
        <v>-2500</v>
      </c>
    </row>
    <row r="1286" spans="1:16" hidden="1" x14ac:dyDescent="0.3">
      <c r="A1286">
        <v>22</v>
      </c>
      <c r="B1286" t="str">
        <f>VLOOKUP($A1286,[1]LISTA!$B:$C,2,0)</f>
        <v>MAYO</v>
      </c>
      <c r="C1286" s="1">
        <v>2025</v>
      </c>
      <c r="D1286" s="1" t="str">
        <f>IF($A1286&lt;=[1]RESULTADOS!$D$6,"YTD","YTG")</f>
        <v>YTD</v>
      </c>
      <c r="E1286" t="s">
        <v>17</v>
      </c>
      <c r="F1286" t="s">
        <v>664</v>
      </c>
      <c r="G1286" t="s">
        <v>665</v>
      </c>
      <c r="H1286" t="s">
        <v>666</v>
      </c>
      <c r="I1286" t="s">
        <v>214</v>
      </c>
      <c r="J1286" t="str">
        <f>IFERROR(VLOOKUP(I1286,[1]AUTOS!$C:$G,2,0),"")</f>
        <v>VENTO</v>
      </c>
      <c r="K1286">
        <f>IFERROR(VLOOKUP(I1286,[1]AUTOS!$C:$G,3,0),"")</f>
        <v>2019</v>
      </c>
      <c r="L1286" t="str">
        <f>IFERROR(VLOOKUP(I1286,[1]AUTOS!$C:$G,4,0),"")</f>
        <v>BLANCO</v>
      </c>
      <c r="M1286" t="s">
        <v>215</v>
      </c>
      <c r="N1286" s="3">
        <v>0</v>
      </c>
      <c r="O1286" s="3">
        <v>0</v>
      </c>
      <c r="P1286" s="3">
        <v>-2500</v>
      </c>
    </row>
    <row r="1287" spans="1:16" hidden="1" x14ac:dyDescent="0.3">
      <c r="A1287">
        <v>23</v>
      </c>
      <c r="B1287" t="str">
        <f>VLOOKUP($A1287,[1]LISTA!$B:$C,2,0)</f>
        <v>JUNIO</v>
      </c>
      <c r="C1287" s="1">
        <v>2025</v>
      </c>
      <c r="D1287" s="1" t="str">
        <f>IF($A1287&lt;=[1]RESULTADOS!$D$6,"YTD","YTG")</f>
        <v>YTD</v>
      </c>
      <c r="E1287" t="s">
        <v>17</v>
      </c>
      <c r="F1287" t="s">
        <v>664</v>
      </c>
      <c r="G1287" t="s">
        <v>665</v>
      </c>
      <c r="H1287" t="s">
        <v>666</v>
      </c>
      <c r="I1287" t="s">
        <v>214</v>
      </c>
      <c r="J1287" t="str">
        <f>IFERROR(VLOOKUP(I1287,[1]AUTOS!$C:$G,2,0),"")</f>
        <v>VENTO</v>
      </c>
      <c r="K1287">
        <f>IFERROR(VLOOKUP(I1287,[1]AUTOS!$C:$G,3,0),"")</f>
        <v>2019</v>
      </c>
      <c r="L1287" t="str">
        <f>IFERROR(VLOOKUP(I1287,[1]AUTOS!$C:$G,4,0),"")</f>
        <v>BLANCO</v>
      </c>
      <c r="M1287" t="s">
        <v>215</v>
      </c>
      <c r="N1287" s="3">
        <v>0</v>
      </c>
      <c r="O1287" s="3">
        <v>0</v>
      </c>
      <c r="P1287" s="3">
        <v>-2500</v>
      </c>
    </row>
    <row r="1288" spans="1:16" hidden="1" x14ac:dyDescent="0.3">
      <c r="A1288">
        <v>24</v>
      </c>
      <c r="B1288" t="str">
        <f>VLOOKUP($A1288,[1]LISTA!$B:$C,2,0)</f>
        <v>JUNIO</v>
      </c>
      <c r="C1288" s="1">
        <v>2025</v>
      </c>
      <c r="D1288" s="1" t="str">
        <f>IF($A1288&lt;=[1]RESULTADOS!$D$6,"YTD","YTG")</f>
        <v>YTD</v>
      </c>
      <c r="E1288" t="s">
        <v>17</v>
      </c>
      <c r="F1288" t="s">
        <v>664</v>
      </c>
      <c r="G1288" t="s">
        <v>665</v>
      </c>
      <c r="H1288" t="s">
        <v>666</v>
      </c>
      <c r="I1288" t="s">
        <v>214</v>
      </c>
      <c r="J1288" t="str">
        <f>IFERROR(VLOOKUP(I1288,[1]AUTOS!$C:$G,2,0),"")</f>
        <v>VENTO</v>
      </c>
      <c r="K1288">
        <f>IFERROR(VLOOKUP(I1288,[1]AUTOS!$C:$G,3,0),"")</f>
        <v>2019</v>
      </c>
      <c r="L1288" t="str">
        <f>IFERROR(VLOOKUP(I1288,[1]AUTOS!$C:$G,4,0),"")</f>
        <v>BLANCO</v>
      </c>
      <c r="M1288" t="s">
        <v>215</v>
      </c>
      <c r="N1288" s="3">
        <v>0</v>
      </c>
      <c r="O1288" s="3">
        <v>0</v>
      </c>
      <c r="P1288" s="3">
        <v>-2500</v>
      </c>
    </row>
    <row r="1289" spans="1:16" hidden="1" x14ac:dyDescent="0.3">
      <c r="A1289">
        <v>25</v>
      </c>
      <c r="B1289" t="str">
        <f>VLOOKUP($A1289,[1]LISTA!$B:$C,2,0)</f>
        <v>JUNIO</v>
      </c>
      <c r="C1289" s="1">
        <v>2025</v>
      </c>
      <c r="D1289" s="1" t="str">
        <f>IF($A1289&lt;=[1]RESULTADOS!$D$6,"YTD","YTG")</f>
        <v>YTD</v>
      </c>
      <c r="E1289" t="s">
        <v>17</v>
      </c>
      <c r="F1289" t="s">
        <v>664</v>
      </c>
      <c r="G1289" t="s">
        <v>665</v>
      </c>
      <c r="H1289" t="s">
        <v>666</v>
      </c>
      <c r="I1289" t="s">
        <v>214</v>
      </c>
      <c r="J1289" t="str">
        <f>IFERROR(VLOOKUP(I1289,[1]AUTOS!$C:$G,2,0),"")</f>
        <v>VENTO</v>
      </c>
      <c r="K1289">
        <f>IFERROR(VLOOKUP(I1289,[1]AUTOS!$C:$G,3,0),"")</f>
        <v>2019</v>
      </c>
      <c r="L1289" t="str">
        <f>IFERROR(VLOOKUP(I1289,[1]AUTOS!$C:$G,4,0),"")</f>
        <v>BLANCO</v>
      </c>
      <c r="M1289" t="s">
        <v>215</v>
      </c>
      <c r="N1289" s="3">
        <v>0</v>
      </c>
      <c r="O1289" s="3">
        <v>0</v>
      </c>
      <c r="P1289" s="3">
        <v>-2500</v>
      </c>
    </row>
    <row r="1290" spans="1:16" hidden="1" x14ac:dyDescent="0.3">
      <c r="A1290">
        <v>26</v>
      </c>
      <c r="B1290" t="str">
        <f>VLOOKUP($A1290,[1]LISTA!$B:$C,2,0)</f>
        <v>JUNIO</v>
      </c>
      <c r="C1290" s="1">
        <v>2025</v>
      </c>
      <c r="D1290" s="1" t="str">
        <f>IF($A1290&lt;=[1]RESULTADOS!$D$6,"YTD","YTG")</f>
        <v>YTD</v>
      </c>
      <c r="E1290" t="s">
        <v>17</v>
      </c>
      <c r="F1290" t="s">
        <v>664</v>
      </c>
      <c r="G1290" t="s">
        <v>665</v>
      </c>
      <c r="H1290" t="s">
        <v>666</v>
      </c>
      <c r="I1290" t="s">
        <v>214</v>
      </c>
      <c r="J1290" t="str">
        <f>IFERROR(VLOOKUP(I1290,[1]AUTOS!$C:$G,2,0),"")</f>
        <v>VENTO</v>
      </c>
      <c r="K1290">
        <f>IFERROR(VLOOKUP(I1290,[1]AUTOS!$C:$G,3,0),"")</f>
        <v>2019</v>
      </c>
      <c r="L1290" t="str">
        <f>IFERROR(VLOOKUP(I1290,[1]AUTOS!$C:$G,4,0),"")</f>
        <v>BLANCO</v>
      </c>
      <c r="M1290" t="s">
        <v>215</v>
      </c>
      <c r="N1290" s="3">
        <v>0</v>
      </c>
      <c r="O1290" s="3">
        <v>0</v>
      </c>
      <c r="P1290" s="3">
        <v>-2500</v>
      </c>
    </row>
    <row r="1291" spans="1:16" hidden="1" x14ac:dyDescent="0.3">
      <c r="A1291">
        <v>27</v>
      </c>
      <c r="B1291" t="str">
        <f>VLOOKUP($A1291,[1]LISTA!$B:$C,2,0)</f>
        <v>JULIO</v>
      </c>
      <c r="C1291" s="1">
        <v>2025</v>
      </c>
      <c r="D1291" s="1" t="str">
        <f>IF($A1291&lt;=[1]RESULTADOS!$D$6,"YTD","YTG")</f>
        <v>YTD</v>
      </c>
      <c r="E1291" t="s">
        <v>17</v>
      </c>
      <c r="F1291" t="s">
        <v>664</v>
      </c>
      <c r="G1291" t="s">
        <v>665</v>
      </c>
      <c r="H1291" t="s">
        <v>666</v>
      </c>
      <c r="I1291" t="s">
        <v>214</v>
      </c>
      <c r="J1291" t="str">
        <f>IFERROR(VLOOKUP(I1291,[1]AUTOS!$C:$G,2,0),"")</f>
        <v>VENTO</v>
      </c>
      <c r="K1291">
        <f>IFERROR(VLOOKUP(I1291,[1]AUTOS!$C:$G,3,0),"")</f>
        <v>2019</v>
      </c>
      <c r="L1291" t="str">
        <f>IFERROR(VLOOKUP(I1291,[1]AUTOS!$C:$G,4,0),"")</f>
        <v>BLANCO</v>
      </c>
      <c r="M1291" t="s">
        <v>215</v>
      </c>
      <c r="N1291" s="3">
        <v>0</v>
      </c>
      <c r="O1291" s="3">
        <v>0</v>
      </c>
      <c r="P1291" s="3">
        <v>-2500</v>
      </c>
    </row>
    <row r="1292" spans="1:16" hidden="1" x14ac:dyDescent="0.3">
      <c r="A1292">
        <v>28</v>
      </c>
      <c r="B1292" t="str">
        <f>VLOOKUP($A1292,[1]LISTA!$B:$C,2,0)</f>
        <v>JULIO</v>
      </c>
      <c r="C1292" s="1">
        <v>2025</v>
      </c>
      <c r="D1292" s="1" t="str">
        <f>IF($A1292&lt;=[1]RESULTADOS!$D$6,"YTD","YTG")</f>
        <v>YTD</v>
      </c>
      <c r="E1292" t="s">
        <v>17</v>
      </c>
      <c r="F1292" t="s">
        <v>664</v>
      </c>
      <c r="G1292" t="s">
        <v>665</v>
      </c>
      <c r="H1292" t="s">
        <v>666</v>
      </c>
      <c r="I1292" t="s">
        <v>214</v>
      </c>
      <c r="J1292" t="str">
        <f>IFERROR(VLOOKUP(I1292,[1]AUTOS!$C:$G,2,0),"")</f>
        <v>VENTO</v>
      </c>
      <c r="K1292">
        <f>IFERROR(VLOOKUP(I1292,[1]AUTOS!$C:$G,3,0),"")</f>
        <v>2019</v>
      </c>
      <c r="L1292" t="str">
        <f>IFERROR(VLOOKUP(I1292,[1]AUTOS!$C:$G,4,0),"")</f>
        <v>BLANCO</v>
      </c>
      <c r="M1292" t="s">
        <v>215</v>
      </c>
      <c r="N1292" s="3">
        <v>0</v>
      </c>
      <c r="O1292" s="3">
        <v>0</v>
      </c>
      <c r="P1292" s="3">
        <v>-2500</v>
      </c>
    </row>
    <row r="1293" spans="1:16" hidden="1" x14ac:dyDescent="0.3">
      <c r="A1293">
        <v>29</v>
      </c>
      <c r="B1293" t="str">
        <f>VLOOKUP($A1293,[1]LISTA!$B:$C,2,0)</f>
        <v>JULIO</v>
      </c>
      <c r="C1293" s="1">
        <v>2025</v>
      </c>
      <c r="D1293" s="1" t="str">
        <f>IF($A1293&lt;=[1]RESULTADOS!$D$6,"YTD","YTG")</f>
        <v>YTD</v>
      </c>
      <c r="E1293" t="s">
        <v>17</v>
      </c>
      <c r="F1293" t="s">
        <v>664</v>
      </c>
      <c r="G1293" t="s">
        <v>665</v>
      </c>
      <c r="H1293" t="s">
        <v>666</v>
      </c>
      <c r="I1293" t="s">
        <v>214</v>
      </c>
      <c r="J1293" t="str">
        <f>IFERROR(VLOOKUP(I1293,[1]AUTOS!$C:$G,2,0),"")</f>
        <v>VENTO</v>
      </c>
      <c r="K1293">
        <f>IFERROR(VLOOKUP(I1293,[1]AUTOS!$C:$G,3,0),"")</f>
        <v>2019</v>
      </c>
      <c r="L1293" t="str">
        <f>IFERROR(VLOOKUP(I1293,[1]AUTOS!$C:$G,4,0),"")</f>
        <v>BLANCO</v>
      </c>
      <c r="M1293" t="s">
        <v>215</v>
      </c>
      <c r="N1293" s="3">
        <v>0</v>
      </c>
      <c r="O1293" s="3">
        <v>0</v>
      </c>
      <c r="P1293" s="3">
        <v>-2500</v>
      </c>
    </row>
    <row r="1294" spans="1:16" hidden="1" x14ac:dyDescent="0.3">
      <c r="A1294">
        <v>30</v>
      </c>
      <c r="B1294" t="str">
        <f>VLOOKUP($A1294,[1]LISTA!$B:$C,2,0)</f>
        <v>JULIO</v>
      </c>
      <c r="C1294" s="1">
        <v>2025</v>
      </c>
      <c r="D1294" s="1" t="str">
        <f>IF($A1294&lt;=[1]RESULTADOS!$D$6,"YTD","YTG")</f>
        <v>YTD</v>
      </c>
      <c r="E1294" t="s">
        <v>17</v>
      </c>
      <c r="F1294" t="s">
        <v>664</v>
      </c>
      <c r="G1294" t="s">
        <v>665</v>
      </c>
      <c r="H1294" t="s">
        <v>666</v>
      </c>
      <c r="I1294" t="s">
        <v>214</v>
      </c>
      <c r="J1294" t="str">
        <f>IFERROR(VLOOKUP(I1294,[1]AUTOS!$C:$G,2,0),"")</f>
        <v>VENTO</v>
      </c>
      <c r="K1294">
        <f>IFERROR(VLOOKUP(I1294,[1]AUTOS!$C:$G,3,0),"")</f>
        <v>2019</v>
      </c>
      <c r="L1294" t="str">
        <f>IFERROR(VLOOKUP(I1294,[1]AUTOS!$C:$G,4,0),"")</f>
        <v>BLANCO</v>
      </c>
      <c r="M1294" t="s">
        <v>215</v>
      </c>
      <c r="N1294" s="3">
        <v>0</v>
      </c>
      <c r="O1294" s="3">
        <v>0</v>
      </c>
      <c r="P1294" s="3">
        <v>-2500</v>
      </c>
    </row>
    <row r="1295" spans="1:16" hidden="1" x14ac:dyDescent="0.3">
      <c r="A1295">
        <v>31</v>
      </c>
      <c r="B1295" t="str">
        <f>VLOOKUP($A1295,[1]LISTA!$B:$C,2,0)</f>
        <v>JULIO</v>
      </c>
      <c r="C1295" s="1">
        <v>2025</v>
      </c>
      <c r="D1295" s="1" t="str">
        <f>IF($A1295&lt;=[1]RESULTADOS!$D$6,"YTD","YTG")</f>
        <v>YTD</v>
      </c>
      <c r="E1295" t="s">
        <v>17</v>
      </c>
      <c r="F1295" t="s">
        <v>664</v>
      </c>
      <c r="G1295" t="s">
        <v>665</v>
      </c>
      <c r="H1295" t="s">
        <v>666</v>
      </c>
      <c r="I1295" t="s">
        <v>214</v>
      </c>
      <c r="J1295" t="str">
        <f>IFERROR(VLOOKUP(I1295,[1]AUTOS!$C:$G,2,0),"")</f>
        <v>VENTO</v>
      </c>
      <c r="K1295">
        <f>IFERROR(VLOOKUP(I1295,[1]AUTOS!$C:$G,3,0),"")</f>
        <v>2019</v>
      </c>
      <c r="L1295" t="str">
        <f>IFERROR(VLOOKUP(I1295,[1]AUTOS!$C:$G,4,0),"")</f>
        <v>BLANCO</v>
      </c>
      <c r="M1295" t="s">
        <v>215</v>
      </c>
      <c r="N1295" s="3">
        <v>0</v>
      </c>
      <c r="O1295" s="3">
        <v>0</v>
      </c>
      <c r="P1295" s="3">
        <v>-2500</v>
      </c>
    </row>
    <row r="1296" spans="1:16" hidden="1" x14ac:dyDescent="0.3">
      <c r="A1296">
        <v>32</v>
      </c>
      <c r="B1296" t="str">
        <f>VLOOKUP($A1296,[1]LISTA!$B:$C,2,0)</f>
        <v>AGOSTO</v>
      </c>
      <c r="C1296" s="1">
        <v>2025</v>
      </c>
      <c r="D1296" s="1" t="str">
        <f>IF($A1296&lt;=[1]RESULTADOS!$D$6,"YTD","YTG")</f>
        <v>YTD</v>
      </c>
      <c r="E1296" t="s">
        <v>17</v>
      </c>
      <c r="F1296" t="s">
        <v>664</v>
      </c>
      <c r="G1296" t="s">
        <v>665</v>
      </c>
      <c r="H1296" t="s">
        <v>666</v>
      </c>
      <c r="I1296" t="s">
        <v>214</v>
      </c>
      <c r="J1296" t="str">
        <f>IFERROR(VLOOKUP(I1296,[1]AUTOS!$C:$G,2,0),"")</f>
        <v>VENTO</v>
      </c>
      <c r="K1296">
        <f>IFERROR(VLOOKUP(I1296,[1]AUTOS!$C:$G,3,0),"")</f>
        <v>2019</v>
      </c>
      <c r="L1296" t="str">
        <f>IFERROR(VLOOKUP(I1296,[1]AUTOS!$C:$G,4,0),"")</f>
        <v>BLANCO</v>
      </c>
      <c r="M1296" t="s">
        <v>215</v>
      </c>
      <c r="N1296" s="3">
        <v>0</v>
      </c>
      <c r="O1296" s="3">
        <v>0</v>
      </c>
      <c r="P1296" s="3">
        <v>-2500</v>
      </c>
    </row>
    <row r="1297" spans="1:16" hidden="1" x14ac:dyDescent="0.3">
      <c r="A1297">
        <v>33</v>
      </c>
      <c r="B1297" t="str">
        <f>VLOOKUP($A1297,[1]LISTA!$B:$C,2,0)</f>
        <v>AGOSTO</v>
      </c>
      <c r="C1297" s="1">
        <v>2025</v>
      </c>
      <c r="D1297" s="1" t="str">
        <f>IF($A1297&lt;=[1]RESULTADOS!$D$6,"YTD","YTG")</f>
        <v>YTD</v>
      </c>
      <c r="E1297" t="s">
        <v>17</v>
      </c>
      <c r="F1297" t="s">
        <v>664</v>
      </c>
      <c r="G1297" t="s">
        <v>665</v>
      </c>
      <c r="H1297" t="s">
        <v>666</v>
      </c>
      <c r="I1297" t="s">
        <v>214</v>
      </c>
      <c r="J1297" t="str">
        <f>IFERROR(VLOOKUP(I1297,[1]AUTOS!$C:$G,2,0),"")</f>
        <v>VENTO</v>
      </c>
      <c r="K1297">
        <f>IFERROR(VLOOKUP(I1297,[1]AUTOS!$C:$G,3,0),"")</f>
        <v>2019</v>
      </c>
      <c r="L1297" t="str">
        <f>IFERROR(VLOOKUP(I1297,[1]AUTOS!$C:$G,4,0),"")</f>
        <v>BLANCO</v>
      </c>
      <c r="M1297" t="s">
        <v>215</v>
      </c>
      <c r="N1297" s="3">
        <v>0</v>
      </c>
      <c r="O1297" s="3">
        <v>0</v>
      </c>
      <c r="P1297" s="3">
        <v>-2500</v>
      </c>
    </row>
    <row r="1298" spans="1:16" hidden="1" x14ac:dyDescent="0.3">
      <c r="A1298">
        <v>34</v>
      </c>
      <c r="B1298" t="str">
        <f>VLOOKUP($A1298,[1]LISTA!$B:$C,2,0)</f>
        <v>AGOSTO</v>
      </c>
      <c r="C1298" s="1">
        <v>2025</v>
      </c>
      <c r="D1298" s="1" t="str">
        <f>IF($A1298&lt;=[1]RESULTADOS!$D$6,"YTD","YTG")</f>
        <v>YTD</v>
      </c>
      <c r="E1298" t="s">
        <v>17</v>
      </c>
      <c r="F1298" t="s">
        <v>664</v>
      </c>
      <c r="G1298" t="s">
        <v>665</v>
      </c>
      <c r="H1298" t="s">
        <v>666</v>
      </c>
      <c r="I1298" t="s">
        <v>214</v>
      </c>
      <c r="J1298" t="str">
        <f>IFERROR(VLOOKUP(I1298,[1]AUTOS!$C:$G,2,0),"")</f>
        <v>VENTO</v>
      </c>
      <c r="K1298">
        <f>IFERROR(VLOOKUP(I1298,[1]AUTOS!$C:$G,3,0),"")</f>
        <v>2019</v>
      </c>
      <c r="L1298" t="str">
        <f>IFERROR(VLOOKUP(I1298,[1]AUTOS!$C:$G,4,0),"")</f>
        <v>BLANCO</v>
      </c>
      <c r="M1298" t="s">
        <v>215</v>
      </c>
      <c r="N1298" s="3">
        <v>0</v>
      </c>
      <c r="O1298" s="3">
        <v>0</v>
      </c>
      <c r="P1298" s="3">
        <v>-2500</v>
      </c>
    </row>
    <row r="1299" spans="1:16" hidden="1" x14ac:dyDescent="0.3">
      <c r="A1299">
        <v>35</v>
      </c>
      <c r="B1299" t="str">
        <f>VLOOKUP($A1299,[1]LISTA!$B:$C,2,0)</f>
        <v>AGOSTO</v>
      </c>
      <c r="C1299" s="1">
        <v>2025</v>
      </c>
      <c r="D1299" s="1" t="str">
        <f>IF($A1299&lt;=[1]RESULTADOS!$D$6,"YTD","YTG")</f>
        <v>YTD</v>
      </c>
      <c r="E1299" t="s">
        <v>17</v>
      </c>
      <c r="F1299" t="s">
        <v>664</v>
      </c>
      <c r="G1299" t="s">
        <v>665</v>
      </c>
      <c r="H1299" t="s">
        <v>666</v>
      </c>
      <c r="I1299" t="s">
        <v>214</v>
      </c>
      <c r="J1299" t="str">
        <f>IFERROR(VLOOKUP(I1299,[1]AUTOS!$C:$G,2,0),"")</f>
        <v>VENTO</v>
      </c>
      <c r="K1299">
        <f>IFERROR(VLOOKUP(I1299,[1]AUTOS!$C:$G,3,0),"")</f>
        <v>2019</v>
      </c>
      <c r="L1299" t="str">
        <f>IFERROR(VLOOKUP(I1299,[1]AUTOS!$C:$G,4,0),"")</f>
        <v>BLANCO</v>
      </c>
      <c r="M1299" t="s">
        <v>215</v>
      </c>
      <c r="N1299" s="3">
        <v>0</v>
      </c>
      <c r="O1299" s="3">
        <v>0</v>
      </c>
      <c r="P1299" s="3">
        <v>-2500</v>
      </c>
    </row>
    <row r="1300" spans="1:16" hidden="1" x14ac:dyDescent="0.3">
      <c r="A1300">
        <v>36</v>
      </c>
      <c r="B1300" t="str">
        <f>VLOOKUP($A1300,[1]LISTA!$B:$C,2,0)</f>
        <v>SEPTIEMBRE</v>
      </c>
      <c r="C1300" s="1">
        <v>2025</v>
      </c>
      <c r="D1300" s="1" t="str">
        <f>IF($A1300&lt;=[1]RESULTADOS!$D$6,"YTD","YTG")</f>
        <v>YTD</v>
      </c>
      <c r="E1300" t="s">
        <v>17</v>
      </c>
      <c r="F1300" t="s">
        <v>664</v>
      </c>
      <c r="G1300" t="s">
        <v>665</v>
      </c>
      <c r="H1300" t="s">
        <v>666</v>
      </c>
      <c r="I1300" t="s">
        <v>214</v>
      </c>
      <c r="J1300" t="str">
        <f>IFERROR(VLOOKUP(I1300,[1]AUTOS!$C:$G,2,0),"")</f>
        <v>VENTO</v>
      </c>
      <c r="K1300">
        <f>IFERROR(VLOOKUP(I1300,[1]AUTOS!$C:$G,3,0),"")</f>
        <v>2019</v>
      </c>
      <c r="L1300" t="str">
        <f>IFERROR(VLOOKUP(I1300,[1]AUTOS!$C:$G,4,0),"")</f>
        <v>BLANCO</v>
      </c>
      <c r="M1300" t="s">
        <v>215</v>
      </c>
      <c r="N1300" s="3">
        <v>0</v>
      </c>
      <c r="O1300" s="3">
        <v>0</v>
      </c>
      <c r="P1300" s="3">
        <v>-2500</v>
      </c>
    </row>
    <row r="1301" spans="1:16" hidden="1" x14ac:dyDescent="0.3">
      <c r="A1301">
        <v>37</v>
      </c>
      <c r="B1301" t="str">
        <f>VLOOKUP($A1301,[1]LISTA!$B:$C,2,0)</f>
        <v>SEPTIEMBRE</v>
      </c>
      <c r="C1301" s="1">
        <v>2025</v>
      </c>
      <c r="D1301" s="1" t="str">
        <f>IF($A1301&lt;=[1]RESULTADOS!$D$6,"YTD","YTG")</f>
        <v>YTD</v>
      </c>
      <c r="E1301" t="s">
        <v>17</v>
      </c>
      <c r="F1301" t="s">
        <v>664</v>
      </c>
      <c r="G1301" t="s">
        <v>665</v>
      </c>
      <c r="H1301" t="s">
        <v>666</v>
      </c>
      <c r="I1301" t="s">
        <v>214</v>
      </c>
      <c r="J1301" t="str">
        <f>IFERROR(VLOOKUP(I1301,[1]AUTOS!$C:$G,2,0),"")</f>
        <v>VENTO</v>
      </c>
      <c r="K1301">
        <f>IFERROR(VLOOKUP(I1301,[1]AUTOS!$C:$G,3,0),"")</f>
        <v>2019</v>
      </c>
      <c r="L1301" t="str">
        <f>IFERROR(VLOOKUP(I1301,[1]AUTOS!$C:$G,4,0),"")</f>
        <v>BLANCO</v>
      </c>
      <c r="M1301" t="s">
        <v>215</v>
      </c>
      <c r="N1301" s="3">
        <v>0</v>
      </c>
      <c r="O1301" s="3">
        <v>0</v>
      </c>
      <c r="P1301" s="3">
        <v>-2500</v>
      </c>
    </row>
    <row r="1302" spans="1:16" hidden="1" x14ac:dyDescent="0.3">
      <c r="A1302">
        <v>38</v>
      </c>
      <c r="B1302" t="str">
        <f>VLOOKUP($A1302,[1]LISTA!$B:$C,2,0)</f>
        <v>SEPTIEMBRE</v>
      </c>
      <c r="C1302" s="1">
        <v>2025</v>
      </c>
      <c r="D1302" s="1" t="str">
        <f>IF($A1302&lt;=[1]RESULTADOS!$D$6,"YTD","YTG")</f>
        <v>YTD</v>
      </c>
      <c r="E1302" t="s">
        <v>17</v>
      </c>
      <c r="F1302" t="s">
        <v>664</v>
      </c>
      <c r="G1302" t="s">
        <v>665</v>
      </c>
      <c r="H1302" t="s">
        <v>666</v>
      </c>
      <c r="I1302" t="s">
        <v>214</v>
      </c>
      <c r="J1302" t="str">
        <f>IFERROR(VLOOKUP(I1302,[1]AUTOS!$C:$G,2,0),"")</f>
        <v>VENTO</v>
      </c>
      <c r="K1302">
        <f>IFERROR(VLOOKUP(I1302,[1]AUTOS!$C:$G,3,0),"")</f>
        <v>2019</v>
      </c>
      <c r="L1302" t="str">
        <f>IFERROR(VLOOKUP(I1302,[1]AUTOS!$C:$G,4,0),"")</f>
        <v>BLANCO</v>
      </c>
      <c r="M1302" t="s">
        <v>215</v>
      </c>
      <c r="N1302" s="3">
        <v>0</v>
      </c>
      <c r="O1302" s="3">
        <v>0</v>
      </c>
      <c r="P1302" s="3">
        <v>-2500</v>
      </c>
    </row>
    <row r="1303" spans="1:16" hidden="1" x14ac:dyDescent="0.3">
      <c r="A1303">
        <v>39</v>
      </c>
      <c r="B1303" t="str">
        <f>VLOOKUP($A1303,[1]LISTA!$B:$C,2,0)</f>
        <v>SEPTIEMBRE</v>
      </c>
      <c r="C1303" s="1">
        <v>2025</v>
      </c>
      <c r="D1303" s="1" t="str">
        <f>IF($A1303&lt;=[1]RESULTADOS!$D$6,"YTD","YTG")</f>
        <v>YTD</v>
      </c>
      <c r="E1303" t="s">
        <v>17</v>
      </c>
      <c r="F1303" t="s">
        <v>664</v>
      </c>
      <c r="G1303" t="s">
        <v>665</v>
      </c>
      <c r="H1303" t="s">
        <v>666</v>
      </c>
      <c r="I1303" t="s">
        <v>214</v>
      </c>
      <c r="J1303" t="str">
        <f>IFERROR(VLOOKUP(I1303,[1]AUTOS!$C:$G,2,0),"")</f>
        <v>VENTO</v>
      </c>
      <c r="K1303">
        <f>IFERROR(VLOOKUP(I1303,[1]AUTOS!$C:$G,3,0),"")</f>
        <v>2019</v>
      </c>
      <c r="L1303" t="str">
        <f>IFERROR(VLOOKUP(I1303,[1]AUTOS!$C:$G,4,0),"")</f>
        <v>BLANCO</v>
      </c>
      <c r="M1303" t="s">
        <v>215</v>
      </c>
      <c r="N1303" s="3">
        <v>0</v>
      </c>
      <c r="O1303" s="3">
        <v>0</v>
      </c>
      <c r="P1303" s="3">
        <v>-2500</v>
      </c>
    </row>
    <row r="1304" spans="1:16" hidden="1" x14ac:dyDescent="0.3">
      <c r="A1304">
        <v>40</v>
      </c>
      <c r="B1304" t="str">
        <f>VLOOKUP($A1304,[1]LISTA!$B:$C,2,0)</f>
        <v>OCTUBRE</v>
      </c>
      <c r="C1304" s="1">
        <v>2025</v>
      </c>
      <c r="D1304" s="1" t="str">
        <f>IF($A1304&lt;=[1]RESULTADOS!$D$6,"YTD","YTG")</f>
        <v>YTG</v>
      </c>
      <c r="E1304" t="s">
        <v>17</v>
      </c>
      <c r="F1304" t="s">
        <v>664</v>
      </c>
      <c r="G1304" t="s">
        <v>665</v>
      </c>
      <c r="H1304" t="s">
        <v>666</v>
      </c>
      <c r="I1304" t="s">
        <v>214</v>
      </c>
      <c r="J1304" t="str">
        <f>IFERROR(VLOOKUP(I1304,[1]AUTOS!$C:$G,2,0),"")</f>
        <v>VENTO</v>
      </c>
      <c r="K1304">
        <f>IFERROR(VLOOKUP(I1304,[1]AUTOS!$C:$G,3,0),"")</f>
        <v>2019</v>
      </c>
      <c r="L1304" t="str">
        <f>IFERROR(VLOOKUP(I1304,[1]AUTOS!$C:$G,4,0),"")</f>
        <v>BLANCO</v>
      </c>
      <c r="M1304" t="s">
        <v>215</v>
      </c>
      <c r="N1304" s="3">
        <v>0</v>
      </c>
      <c r="O1304" s="3">
        <v>0</v>
      </c>
      <c r="P1304" s="3">
        <v>-2500</v>
      </c>
    </row>
    <row r="1305" spans="1:16" hidden="1" x14ac:dyDescent="0.3">
      <c r="A1305">
        <v>41</v>
      </c>
      <c r="B1305" t="str">
        <f>VLOOKUP($A1305,[1]LISTA!$B:$C,2,0)</f>
        <v>OCTUBRE</v>
      </c>
      <c r="C1305" s="1">
        <v>2025</v>
      </c>
      <c r="D1305" s="1" t="str">
        <f>IF($A1305&lt;=[1]RESULTADOS!$D$6,"YTD","YTG")</f>
        <v>YTG</v>
      </c>
      <c r="E1305" t="s">
        <v>17</v>
      </c>
      <c r="F1305" t="s">
        <v>664</v>
      </c>
      <c r="G1305" t="s">
        <v>665</v>
      </c>
      <c r="H1305" t="s">
        <v>666</v>
      </c>
      <c r="I1305" t="s">
        <v>214</v>
      </c>
      <c r="J1305" t="str">
        <f>IFERROR(VLOOKUP(I1305,[1]AUTOS!$C:$G,2,0),"")</f>
        <v>VENTO</v>
      </c>
      <c r="K1305">
        <f>IFERROR(VLOOKUP(I1305,[1]AUTOS!$C:$G,3,0),"")</f>
        <v>2019</v>
      </c>
      <c r="L1305" t="str">
        <f>IFERROR(VLOOKUP(I1305,[1]AUTOS!$C:$G,4,0),"")</f>
        <v>BLANCO</v>
      </c>
      <c r="M1305" t="s">
        <v>215</v>
      </c>
      <c r="N1305" s="3">
        <v>0</v>
      </c>
      <c r="O1305" s="3">
        <v>0</v>
      </c>
      <c r="P1305" s="3">
        <v>-2500</v>
      </c>
    </row>
    <row r="1306" spans="1:16" hidden="1" x14ac:dyDescent="0.3">
      <c r="A1306">
        <v>42</v>
      </c>
      <c r="B1306" t="str">
        <f>VLOOKUP($A1306,[1]LISTA!$B:$C,2,0)</f>
        <v>OCTUBRE</v>
      </c>
      <c r="C1306" s="1">
        <v>2025</v>
      </c>
      <c r="D1306" s="1" t="str">
        <f>IF($A1306&lt;=[1]RESULTADOS!$D$6,"YTD","YTG")</f>
        <v>YTG</v>
      </c>
      <c r="E1306" t="s">
        <v>17</v>
      </c>
      <c r="F1306" t="s">
        <v>664</v>
      </c>
      <c r="G1306" t="s">
        <v>665</v>
      </c>
      <c r="H1306" t="s">
        <v>666</v>
      </c>
      <c r="I1306" t="s">
        <v>214</v>
      </c>
      <c r="J1306" t="str">
        <f>IFERROR(VLOOKUP(I1306,[1]AUTOS!$C:$G,2,0),"")</f>
        <v>VENTO</v>
      </c>
      <c r="K1306">
        <f>IFERROR(VLOOKUP(I1306,[1]AUTOS!$C:$G,3,0),"")</f>
        <v>2019</v>
      </c>
      <c r="L1306" t="str">
        <f>IFERROR(VLOOKUP(I1306,[1]AUTOS!$C:$G,4,0),"")</f>
        <v>BLANCO</v>
      </c>
      <c r="M1306" t="s">
        <v>215</v>
      </c>
      <c r="N1306" s="3">
        <v>0</v>
      </c>
      <c r="O1306" s="3">
        <v>0</v>
      </c>
      <c r="P1306" s="3">
        <v>-2500</v>
      </c>
    </row>
    <row r="1307" spans="1:16" hidden="1" x14ac:dyDescent="0.3">
      <c r="A1307">
        <v>43</v>
      </c>
      <c r="B1307" t="str">
        <f>VLOOKUP($A1307,[1]LISTA!$B:$C,2,0)</f>
        <v>OCTUBRE</v>
      </c>
      <c r="C1307" s="1">
        <v>2025</v>
      </c>
      <c r="D1307" s="1" t="str">
        <f>IF($A1307&lt;=[1]RESULTADOS!$D$6,"YTD","YTG")</f>
        <v>YTG</v>
      </c>
      <c r="E1307" t="s">
        <v>17</v>
      </c>
      <c r="F1307" t="s">
        <v>664</v>
      </c>
      <c r="G1307" t="s">
        <v>665</v>
      </c>
      <c r="H1307" t="s">
        <v>666</v>
      </c>
      <c r="I1307" t="s">
        <v>214</v>
      </c>
      <c r="J1307" t="str">
        <f>IFERROR(VLOOKUP(I1307,[1]AUTOS!$C:$G,2,0),"")</f>
        <v>VENTO</v>
      </c>
      <c r="K1307">
        <f>IFERROR(VLOOKUP(I1307,[1]AUTOS!$C:$G,3,0),"")</f>
        <v>2019</v>
      </c>
      <c r="L1307" t="str">
        <f>IFERROR(VLOOKUP(I1307,[1]AUTOS!$C:$G,4,0),"")</f>
        <v>BLANCO</v>
      </c>
      <c r="M1307" t="s">
        <v>215</v>
      </c>
      <c r="N1307" s="3">
        <v>0</v>
      </c>
      <c r="O1307" s="3">
        <v>0</v>
      </c>
      <c r="P1307" s="3">
        <v>-2500</v>
      </c>
    </row>
    <row r="1308" spans="1:16" hidden="1" x14ac:dyDescent="0.3">
      <c r="A1308">
        <v>44</v>
      </c>
      <c r="B1308" t="str">
        <f>VLOOKUP($A1308,[1]LISTA!$B:$C,2,0)</f>
        <v>OCTUBRE</v>
      </c>
      <c r="C1308" s="1">
        <v>2025</v>
      </c>
      <c r="D1308" s="1" t="str">
        <f>IF($A1308&lt;=[1]RESULTADOS!$D$6,"YTD","YTG")</f>
        <v>YTG</v>
      </c>
      <c r="E1308" t="s">
        <v>17</v>
      </c>
      <c r="F1308" t="s">
        <v>664</v>
      </c>
      <c r="G1308" t="s">
        <v>665</v>
      </c>
      <c r="H1308" t="s">
        <v>666</v>
      </c>
      <c r="I1308" t="s">
        <v>214</v>
      </c>
      <c r="J1308" t="str">
        <f>IFERROR(VLOOKUP(I1308,[1]AUTOS!$C:$G,2,0),"")</f>
        <v>VENTO</v>
      </c>
      <c r="K1308">
        <f>IFERROR(VLOOKUP(I1308,[1]AUTOS!$C:$G,3,0),"")</f>
        <v>2019</v>
      </c>
      <c r="L1308" t="str">
        <f>IFERROR(VLOOKUP(I1308,[1]AUTOS!$C:$G,4,0),"")</f>
        <v>BLANCO</v>
      </c>
      <c r="M1308" t="s">
        <v>215</v>
      </c>
      <c r="N1308" s="3">
        <v>0</v>
      </c>
      <c r="O1308" s="3">
        <v>0</v>
      </c>
      <c r="P1308" s="3">
        <v>-2500</v>
      </c>
    </row>
    <row r="1309" spans="1:16" hidden="1" x14ac:dyDescent="0.3">
      <c r="A1309">
        <v>45</v>
      </c>
      <c r="B1309" t="str">
        <f>VLOOKUP($A1309,[1]LISTA!$B:$C,2,0)</f>
        <v>NOVIEMBRE</v>
      </c>
      <c r="C1309" s="1">
        <v>2025</v>
      </c>
      <c r="D1309" s="1" t="str">
        <f>IF($A1309&lt;=[1]RESULTADOS!$D$6,"YTD","YTG")</f>
        <v>YTG</v>
      </c>
      <c r="E1309" t="s">
        <v>17</v>
      </c>
      <c r="F1309" t="s">
        <v>664</v>
      </c>
      <c r="G1309" t="s">
        <v>665</v>
      </c>
      <c r="H1309" t="s">
        <v>666</v>
      </c>
      <c r="I1309" t="s">
        <v>214</v>
      </c>
      <c r="J1309" t="str">
        <f>IFERROR(VLOOKUP(I1309,[1]AUTOS!$C:$G,2,0),"")</f>
        <v>VENTO</v>
      </c>
      <c r="K1309">
        <f>IFERROR(VLOOKUP(I1309,[1]AUTOS!$C:$G,3,0),"")</f>
        <v>2019</v>
      </c>
      <c r="L1309" t="str">
        <f>IFERROR(VLOOKUP(I1309,[1]AUTOS!$C:$G,4,0),"")</f>
        <v>BLANCO</v>
      </c>
      <c r="M1309" t="s">
        <v>215</v>
      </c>
      <c r="N1309" s="3">
        <v>0</v>
      </c>
      <c r="O1309" s="3">
        <v>0</v>
      </c>
      <c r="P1309" s="3">
        <v>-2500</v>
      </c>
    </row>
    <row r="1310" spans="1:16" hidden="1" x14ac:dyDescent="0.3">
      <c r="A1310">
        <v>46</v>
      </c>
      <c r="B1310" t="str">
        <f>VLOOKUP($A1310,[1]LISTA!$B:$C,2,0)</f>
        <v>NOVIEMBRE</v>
      </c>
      <c r="C1310" s="1">
        <v>2025</v>
      </c>
      <c r="D1310" s="1" t="str">
        <f>IF($A1310&lt;=[1]RESULTADOS!$D$6,"YTD","YTG")</f>
        <v>YTG</v>
      </c>
      <c r="E1310" t="s">
        <v>17</v>
      </c>
      <c r="F1310" t="s">
        <v>664</v>
      </c>
      <c r="G1310" t="s">
        <v>665</v>
      </c>
      <c r="H1310" t="s">
        <v>666</v>
      </c>
      <c r="I1310" t="s">
        <v>214</v>
      </c>
      <c r="J1310" t="str">
        <f>IFERROR(VLOOKUP(I1310,[1]AUTOS!$C:$G,2,0),"")</f>
        <v>VENTO</v>
      </c>
      <c r="K1310">
        <f>IFERROR(VLOOKUP(I1310,[1]AUTOS!$C:$G,3,0),"")</f>
        <v>2019</v>
      </c>
      <c r="L1310" t="str">
        <f>IFERROR(VLOOKUP(I1310,[1]AUTOS!$C:$G,4,0),"")</f>
        <v>BLANCO</v>
      </c>
      <c r="M1310" t="s">
        <v>215</v>
      </c>
      <c r="N1310" s="3">
        <v>0</v>
      </c>
      <c r="O1310" s="3">
        <v>0</v>
      </c>
      <c r="P1310" s="3">
        <v>-2500</v>
      </c>
    </row>
    <row r="1311" spans="1:16" hidden="1" x14ac:dyDescent="0.3">
      <c r="A1311">
        <v>47</v>
      </c>
      <c r="B1311" t="str">
        <f>VLOOKUP($A1311,[1]LISTA!$B:$C,2,0)</f>
        <v>NOVIEMBRE</v>
      </c>
      <c r="C1311" s="1">
        <v>2025</v>
      </c>
      <c r="D1311" s="1" t="str">
        <f>IF($A1311&lt;=[1]RESULTADOS!$D$6,"YTD","YTG")</f>
        <v>YTG</v>
      </c>
      <c r="E1311" t="s">
        <v>17</v>
      </c>
      <c r="F1311" t="s">
        <v>664</v>
      </c>
      <c r="G1311" t="s">
        <v>665</v>
      </c>
      <c r="H1311" t="s">
        <v>666</v>
      </c>
      <c r="I1311" t="s">
        <v>214</v>
      </c>
      <c r="J1311" t="str">
        <f>IFERROR(VLOOKUP(I1311,[1]AUTOS!$C:$G,2,0),"")</f>
        <v>VENTO</v>
      </c>
      <c r="K1311">
        <f>IFERROR(VLOOKUP(I1311,[1]AUTOS!$C:$G,3,0),"")</f>
        <v>2019</v>
      </c>
      <c r="L1311" t="str">
        <f>IFERROR(VLOOKUP(I1311,[1]AUTOS!$C:$G,4,0),"")</f>
        <v>BLANCO</v>
      </c>
      <c r="M1311" t="s">
        <v>215</v>
      </c>
      <c r="N1311" s="3">
        <v>0</v>
      </c>
      <c r="O1311" s="3">
        <v>0</v>
      </c>
      <c r="P1311" s="3">
        <v>-2500</v>
      </c>
    </row>
    <row r="1312" spans="1:16" hidden="1" x14ac:dyDescent="0.3">
      <c r="A1312">
        <v>48</v>
      </c>
      <c r="B1312" t="str">
        <f>VLOOKUP($A1312,[1]LISTA!$B:$C,2,0)</f>
        <v>NOVIEMBRE</v>
      </c>
      <c r="C1312" s="1">
        <v>2025</v>
      </c>
      <c r="D1312" s="1" t="str">
        <f>IF($A1312&lt;=[1]RESULTADOS!$D$6,"YTD","YTG")</f>
        <v>YTG</v>
      </c>
      <c r="E1312" t="s">
        <v>17</v>
      </c>
      <c r="F1312" t="s">
        <v>664</v>
      </c>
      <c r="G1312" t="s">
        <v>665</v>
      </c>
      <c r="H1312" t="s">
        <v>666</v>
      </c>
      <c r="I1312" t="s">
        <v>214</v>
      </c>
      <c r="J1312" t="str">
        <f>IFERROR(VLOOKUP(I1312,[1]AUTOS!$C:$G,2,0),"")</f>
        <v>VENTO</v>
      </c>
      <c r="K1312">
        <f>IFERROR(VLOOKUP(I1312,[1]AUTOS!$C:$G,3,0),"")</f>
        <v>2019</v>
      </c>
      <c r="L1312" t="str">
        <f>IFERROR(VLOOKUP(I1312,[1]AUTOS!$C:$G,4,0),"")</f>
        <v>BLANCO</v>
      </c>
      <c r="M1312" t="s">
        <v>215</v>
      </c>
      <c r="N1312" s="3">
        <v>0</v>
      </c>
      <c r="O1312" s="3">
        <v>0</v>
      </c>
      <c r="P1312" s="3">
        <v>-2500</v>
      </c>
    </row>
    <row r="1313" spans="1:16" hidden="1" x14ac:dyDescent="0.3">
      <c r="A1313">
        <v>49</v>
      </c>
      <c r="B1313" t="str">
        <f>VLOOKUP($A1313,[1]LISTA!$B:$C,2,0)</f>
        <v>DICIEMBRE</v>
      </c>
      <c r="C1313" s="1">
        <v>2025</v>
      </c>
      <c r="D1313" s="1" t="str">
        <f>IF($A1313&lt;=[1]RESULTADOS!$D$6,"YTD","YTG")</f>
        <v>YTG</v>
      </c>
      <c r="E1313" t="s">
        <v>17</v>
      </c>
      <c r="F1313" t="s">
        <v>664</v>
      </c>
      <c r="G1313" t="s">
        <v>665</v>
      </c>
      <c r="H1313" t="s">
        <v>666</v>
      </c>
      <c r="I1313" t="s">
        <v>214</v>
      </c>
      <c r="J1313" t="str">
        <f>IFERROR(VLOOKUP(I1313,[1]AUTOS!$C:$G,2,0),"")</f>
        <v>VENTO</v>
      </c>
      <c r="K1313">
        <f>IFERROR(VLOOKUP(I1313,[1]AUTOS!$C:$G,3,0),"")</f>
        <v>2019</v>
      </c>
      <c r="L1313" t="str">
        <f>IFERROR(VLOOKUP(I1313,[1]AUTOS!$C:$G,4,0),"")</f>
        <v>BLANCO</v>
      </c>
      <c r="M1313" t="s">
        <v>215</v>
      </c>
      <c r="N1313" s="3">
        <v>0</v>
      </c>
      <c r="O1313" s="3">
        <v>0</v>
      </c>
      <c r="P1313" s="3">
        <v>-2500</v>
      </c>
    </row>
    <row r="1314" spans="1:16" hidden="1" x14ac:dyDescent="0.3">
      <c r="A1314">
        <v>50</v>
      </c>
      <c r="B1314" t="str">
        <f>VLOOKUP($A1314,[1]LISTA!$B:$C,2,0)</f>
        <v>DICIEMBRE</v>
      </c>
      <c r="C1314" s="1">
        <v>2025</v>
      </c>
      <c r="D1314" s="1" t="str">
        <f>IF($A1314&lt;=[1]RESULTADOS!$D$6,"YTD","YTG")</f>
        <v>YTG</v>
      </c>
      <c r="E1314" t="s">
        <v>17</v>
      </c>
      <c r="F1314" t="s">
        <v>664</v>
      </c>
      <c r="G1314" t="s">
        <v>665</v>
      </c>
      <c r="H1314" t="s">
        <v>666</v>
      </c>
      <c r="I1314" t="s">
        <v>214</v>
      </c>
      <c r="J1314" t="str">
        <f>IFERROR(VLOOKUP(I1314,[1]AUTOS!$C:$G,2,0),"")</f>
        <v>VENTO</v>
      </c>
      <c r="K1314">
        <f>IFERROR(VLOOKUP(I1314,[1]AUTOS!$C:$G,3,0),"")</f>
        <v>2019</v>
      </c>
      <c r="L1314" t="str">
        <f>IFERROR(VLOOKUP(I1314,[1]AUTOS!$C:$G,4,0),"")</f>
        <v>BLANCO</v>
      </c>
      <c r="M1314" t="s">
        <v>215</v>
      </c>
      <c r="N1314" s="3">
        <v>0</v>
      </c>
      <c r="O1314" s="3">
        <v>0</v>
      </c>
      <c r="P1314" s="3">
        <v>-2500</v>
      </c>
    </row>
    <row r="1315" spans="1:16" hidden="1" x14ac:dyDescent="0.3">
      <c r="A1315">
        <v>51</v>
      </c>
      <c r="B1315" t="str">
        <f>VLOOKUP($A1315,[1]LISTA!$B:$C,2,0)</f>
        <v>DICIEMBRE</v>
      </c>
      <c r="C1315" s="1">
        <v>2025</v>
      </c>
      <c r="D1315" s="1" t="str">
        <f>IF($A1315&lt;=[1]RESULTADOS!$D$6,"YTD","YTG")</f>
        <v>YTG</v>
      </c>
      <c r="E1315" t="s">
        <v>17</v>
      </c>
      <c r="F1315" t="s">
        <v>664</v>
      </c>
      <c r="G1315" t="s">
        <v>665</v>
      </c>
      <c r="H1315" t="s">
        <v>666</v>
      </c>
      <c r="I1315" t="s">
        <v>214</v>
      </c>
      <c r="J1315" t="str">
        <f>IFERROR(VLOOKUP(I1315,[1]AUTOS!$C:$G,2,0),"")</f>
        <v>VENTO</v>
      </c>
      <c r="K1315">
        <f>IFERROR(VLOOKUP(I1315,[1]AUTOS!$C:$G,3,0),"")</f>
        <v>2019</v>
      </c>
      <c r="L1315" t="str">
        <f>IFERROR(VLOOKUP(I1315,[1]AUTOS!$C:$G,4,0),"")</f>
        <v>BLANCO</v>
      </c>
      <c r="M1315" t="s">
        <v>215</v>
      </c>
      <c r="N1315" s="3">
        <v>0</v>
      </c>
      <c r="O1315" s="3">
        <v>0</v>
      </c>
      <c r="P1315" s="3">
        <v>-2500</v>
      </c>
    </row>
    <row r="1316" spans="1:16" hidden="1" x14ac:dyDescent="0.3">
      <c r="A1316">
        <v>52</v>
      </c>
      <c r="B1316" t="str">
        <f>VLOOKUP($A1316,[1]LISTA!$B:$C,2,0)</f>
        <v>DICIEMBRE</v>
      </c>
      <c r="C1316" s="1">
        <v>2025</v>
      </c>
      <c r="D1316" s="1" t="str">
        <f>IF($A1316&lt;=[1]RESULTADOS!$D$6,"YTD","YTG")</f>
        <v>YTG</v>
      </c>
      <c r="E1316" t="s">
        <v>17</v>
      </c>
      <c r="F1316" t="s">
        <v>664</v>
      </c>
      <c r="G1316" t="s">
        <v>665</v>
      </c>
      <c r="H1316" t="s">
        <v>666</v>
      </c>
      <c r="I1316" t="s">
        <v>214</v>
      </c>
      <c r="J1316" t="str">
        <f>IFERROR(VLOOKUP(I1316,[1]AUTOS!$C:$G,2,0),"")</f>
        <v>VENTO</v>
      </c>
      <c r="K1316">
        <f>IFERROR(VLOOKUP(I1316,[1]AUTOS!$C:$G,3,0),"")</f>
        <v>2019</v>
      </c>
      <c r="L1316" t="str">
        <f>IFERROR(VLOOKUP(I1316,[1]AUTOS!$C:$G,4,0),"")</f>
        <v>BLANCO</v>
      </c>
      <c r="M1316" t="s">
        <v>215</v>
      </c>
      <c r="N1316" s="3">
        <v>0</v>
      </c>
      <c r="O1316" s="3">
        <v>0</v>
      </c>
      <c r="P1316" s="3">
        <v>-2500</v>
      </c>
    </row>
    <row r="1317" spans="1:16" hidden="1" x14ac:dyDescent="0.3">
      <c r="A1317">
        <v>19</v>
      </c>
      <c r="B1317" t="str">
        <f>VLOOKUP($A1317,[1]LISTA!$B:$C,2,0)</f>
        <v>MAYO</v>
      </c>
      <c r="C1317" s="1">
        <v>2025</v>
      </c>
      <c r="D1317" s="1" t="str">
        <f>IF($A1317&lt;=[1]RESULTADOS!$D$6,"YTD","YTG")</f>
        <v>YTD</v>
      </c>
      <c r="E1317" t="s">
        <v>17</v>
      </c>
      <c r="F1317" t="s">
        <v>664</v>
      </c>
      <c r="G1317" t="s">
        <v>665</v>
      </c>
      <c r="H1317" t="s">
        <v>666</v>
      </c>
      <c r="I1317" t="s">
        <v>370</v>
      </c>
      <c r="J1317" t="str">
        <f>IFERROR(VLOOKUP(I1317,[1]AUTOS!$C:$G,2,0),"")</f>
        <v>KIA RIO</v>
      </c>
      <c r="K1317">
        <f>IFERROR(VLOOKUP(I1317,[1]AUTOS!$C:$G,3,0),"")</f>
        <v>2020</v>
      </c>
      <c r="L1317" t="str">
        <f>IFERROR(VLOOKUP(I1317,[1]AUTOS!$C:$G,4,0),"")</f>
        <v>AZUL</v>
      </c>
      <c r="M1317" t="s">
        <v>215</v>
      </c>
      <c r="N1317" s="3">
        <v>0</v>
      </c>
      <c r="O1317" s="3">
        <v>0</v>
      </c>
      <c r="P1317" s="3">
        <v>-2500</v>
      </c>
    </row>
    <row r="1318" spans="1:16" hidden="1" x14ac:dyDescent="0.3">
      <c r="A1318">
        <v>20</v>
      </c>
      <c r="B1318" t="str">
        <f>VLOOKUP($A1318,[1]LISTA!$B:$C,2,0)</f>
        <v>MAYO</v>
      </c>
      <c r="C1318" s="1">
        <v>2025</v>
      </c>
      <c r="D1318" s="1" t="str">
        <f>IF($A1318&lt;=[1]RESULTADOS!$D$6,"YTD","YTG")</f>
        <v>YTD</v>
      </c>
      <c r="E1318" t="s">
        <v>17</v>
      </c>
      <c r="F1318" t="s">
        <v>664</v>
      </c>
      <c r="G1318" t="s">
        <v>665</v>
      </c>
      <c r="H1318" t="s">
        <v>666</v>
      </c>
      <c r="I1318" t="s">
        <v>370</v>
      </c>
      <c r="J1318" t="str">
        <f>IFERROR(VLOOKUP(I1318,[1]AUTOS!$C:$G,2,0),"")</f>
        <v>KIA RIO</v>
      </c>
      <c r="K1318">
        <f>IFERROR(VLOOKUP(I1318,[1]AUTOS!$C:$G,3,0),"")</f>
        <v>2020</v>
      </c>
      <c r="L1318" t="str">
        <f>IFERROR(VLOOKUP(I1318,[1]AUTOS!$C:$G,4,0),"")</f>
        <v>AZUL</v>
      </c>
      <c r="M1318" t="s">
        <v>215</v>
      </c>
      <c r="N1318" s="3">
        <v>0</v>
      </c>
      <c r="O1318" s="3">
        <v>0</v>
      </c>
      <c r="P1318" s="3">
        <v>-2500</v>
      </c>
    </row>
    <row r="1319" spans="1:16" hidden="1" x14ac:dyDescent="0.3">
      <c r="A1319">
        <v>21</v>
      </c>
      <c r="B1319" t="str">
        <f>VLOOKUP($A1319,[1]LISTA!$B:$C,2,0)</f>
        <v>MAYO</v>
      </c>
      <c r="C1319" s="1">
        <v>2025</v>
      </c>
      <c r="D1319" s="1" t="str">
        <f>IF($A1319&lt;=[1]RESULTADOS!$D$6,"YTD","YTG")</f>
        <v>YTD</v>
      </c>
      <c r="E1319" t="s">
        <v>17</v>
      </c>
      <c r="F1319" t="s">
        <v>664</v>
      </c>
      <c r="G1319" t="s">
        <v>665</v>
      </c>
      <c r="H1319" t="s">
        <v>666</v>
      </c>
      <c r="I1319" t="s">
        <v>370</v>
      </c>
      <c r="J1319" t="str">
        <f>IFERROR(VLOOKUP(I1319,[1]AUTOS!$C:$G,2,0),"")</f>
        <v>KIA RIO</v>
      </c>
      <c r="K1319">
        <f>IFERROR(VLOOKUP(I1319,[1]AUTOS!$C:$G,3,0),"")</f>
        <v>2020</v>
      </c>
      <c r="L1319" t="str">
        <f>IFERROR(VLOOKUP(I1319,[1]AUTOS!$C:$G,4,0),"")</f>
        <v>AZUL</v>
      </c>
      <c r="M1319" t="s">
        <v>215</v>
      </c>
      <c r="N1319" s="3">
        <v>0</v>
      </c>
      <c r="O1319" s="3">
        <v>0</v>
      </c>
      <c r="P1319" s="3">
        <v>-2500</v>
      </c>
    </row>
    <row r="1320" spans="1:16" hidden="1" x14ac:dyDescent="0.3">
      <c r="A1320">
        <v>22</v>
      </c>
      <c r="B1320" t="str">
        <f>VLOOKUP($A1320,[1]LISTA!$B:$C,2,0)</f>
        <v>MAYO</v>
      </c>
      <c r="C1320" s="1">
        <v>2025</v>
      </c>
      <c r="D1320" s="1" t="str">
        <f>IF($A1320&lt;=[1]RESULTADOS!$D$6,"YTD","YTG")</f>
        <v>YTD</v>
      </c>
      <c r="E1320" t="s">
        <v>17</v>
      </c>
      <c r="F1320" t="s">
        <v>664</v>
      </c>
      <c r="G1320" t="s">
        <v>665</v>
      </c>
      <c r="H1320" t="s">
        <v>666</v>
      </c>
      <c r="I1320" t="s">
        <v>370</v>
      </c>
      <c r="J1320" t="str">
        <f>IFERROR(VLOOKUP(I1320,[1]AUTOS!$C:$G,2,0),"")</f>
        <v>KIA RIO</v>
      </c>
      <c r="K1320">
        <f>IFERROR(VLOOKUP(I1320,[1]AUTOS!$C:$G,3,0),"")</f>
        <v>2020</v>
      </c>
      <c r="L1320" t="str">
        <f>IFERROR(VLOOKUP(I1320,[1]AUTOS!$C:$G,4,0),"")</f>
        <v>AZUL</v>
      </c>
      <c r="M1320" t="s">
        <v>215</v>
      </c>
      <c r="N1320" s="3">
        <v>0</v>
      </c>
      <c r="O1320" s="3">
        <v>0</v>
      </c>
      <c r="P1320" s="3">
        <v>-2500</v>
      </c>
    </row>
    <row r="1321" spans="1:16" hidden="1" x14ac:dyDescent="0.3">
      <c r="A1321">
        <v>23</v>
      </c>
      <c r="B1321" t="str">
        <f>VLOOKUP($A1321,[1]LISTA!$B:$C,2,0)</f>
        <v>JUNIO</v>
      </c>
      <c r="C1321" s="1">
        <v>2025</v>
      </c>
      <c r="D1321" s="1" t="str">
        <f>IF($A1321&lt;=[1]RESULTADOS!$D$6,"YTD","YTG")</f>
        <v>YTD</v>
      </c>
      <c r="E1321" t="s">
        <v>17</v>
      </c>
      <c r="F1321" t="s">
        <v>664</v>
      </c>
      <c r="G1321" t="s">
        <v>665</v>
      </c>
      <c r="H1321" t="s">
        <v>666</v>
      </c>
      <c r="I1321" t="s">
        <v>370</v>
      </c>
      <c r="J1321" t="str">
        <f>IFERROR(VLOOKUP(I1321,[1]AUTOS!$C:$G,2,0),"")</f>
        <v>KIA RIO</v>
      </c>
      <c r="K1321">
        <f>IFERROR(VLOOKUP(I1321,[1]AUTOS!$C:$G,3,0),"")</f>
        <v>2020</v>
      </c>
      <c r="L1321" t="str">
        <f>IFERROR(VLOOKUP(I1321,[1]AUTOS!$C:$G,4,0),"")</f>
        <v>AZUL</v>
      </c>
      <c r="M1321" t="s">
        <v>215</v>
      </c>
      <c r="N1321" s="3">
        <v>0</v>
      </c>
      <c r="O1321" s="3">
        <v>0</v>
      </c>
      <c r="P1321" s="3">
        <v>-2500</v>
      </c>
    </row>
    <row r="1322" spans="1:16" hidden="1" x14ac:dyDescent="0.3">
      <c r="A1322">
        <v>24</v>
      </c>
      <c r="B1322" t="str">
        <f>VLOOKUP($A1322,[1]LISTA!$B:$C,2,0)</f>
        <v>JUNIO</v>
      </c>
      <c r="C1322" s="1">
        <v>2025</v>
      </c>
      <c r="D1322" s="1" t="str">
        <f>IF($A1322&lt;=[1]RESULTADOS!$D$6,"YTD","YTG")</f>
        <v>YTD</v>
      </c>
      <c r="E1322" t="s">
        <v>17</v>
      </c>
      <c r="F1322" t="s">
        <v>664</v>
      </c>
      <c r="G1322" t="s">
        <v>665</v>
      </c>
      <c r="H1322" t="s">
        <v>666</v>
      </c>
      <c r="I1322" t="s">
        <v>370</v>
      </c>
      <c r="J1322" t="str">
        <f>IFERROR(VLOOKUP(I1322,[1]AUTOS!$C:$G,2,0),"")</f>
        <v>KIA RIO</v>
      </c>
      <c r="K1322">
        <f>IFERROR(VLOOKUP(I1322,[1]AUTOS!$C:$G,3,0),"")</f>
        <v>2020</v>
      </c>
      <c r="L1322" t="str">
        <f>IFERROR(VLOOKUP(I1322,[1]AUTOS!$C:$G,4,0),"")</f>
        <v>AZUL</v>
      </c>
      <c r="M1322" t="s">
        <v>215</v>
      </c>
      <c r="N1322" s="3">
        <v>0</v>
      </c>
      <c r="O1322" s="3">
        <v>0</v>
      </c>
      <c r="P1322" s="3">
        <v>-2500</v>
      </c>
    </row>
    <row r="1323" spans="1:16" hidden="1" x14ac:dyDescent="0.3">
      <c r="A1323">
        <v>25</v>
      </c>
      <c r="B1323" t="str">
        <f>VLOOKUP($A1323,[1]LISTA!$B:$C,2,0)</f>
        <v>JUNIO</v>
      </c>
      <c r="C1323" s="1">
        <v>2025</v>
      </c>
      <c r="D1323" s="1" t="str">
        <f>IF($A1323&lt;=[1]RESULTADOS!$D$6,"YTD","YTG")</f>
        <v>YTD</v>
      </c>
      <c r="E1323" t="s">
        <v>17</v>
      </c>
      <c r="F1323" t="s">
        <v>664</v>
      </c>
      <c r="G1323" t="s">
        <v>665</v>
      </c>
      <c r="H1323" t="s">
        <v>666</v>
      </c>
      <c r="I1323" t="s">
        <v>370</v>
      </c>
      <c r="J1323" t="str">
        <f>IFERROR(VLOOKUP(I1323,[1]AUTOS!$C:$G,2,0),"")</f>
        <v>KIA RIO</v>
      </c>
      <c r="K1323">
        <f>IFERROR(VLOOKUP(I1323,[1]AUTOS!$C:$G,3,0),"")</f>
        <v>2020</v>
      </c>
      <c r="L1323" t="str">
        <f>IFERROR(VLOOKUP(I1323,[1]AUTOS!$C:$G,4,0),"")</f>
        <v>AZUL</v>
      </c>
      <c r="M1323" t="s">
        <v>215</v>
      </c>
      <c r="N1323" s="3">
        <v>0</v>
      </c>
      <c r="O1323" s="3">
        <v>0</v>
      </c>
      <c r="P1323" s="3">
        <v>-2500</v>
      </c>
    </row>
    <row r="1324" spans="1:16" hidden="1" x14ac:dyDescent="0.3">
      <c r="A1324">
        <v>26</v>
      </c>
      <c r="B1324" t="str">
        <f>VLOOKUP($A1324,[1]LISTA!$B:$C,2,0)</f>
        <v>JUNIO</v>
      </c>
      <c r="C1324" s="1">
        <v>2025</v>
      </c>
      <c r="D1324" s="1" t="str">
        <f>IF($A1324&lt;=[1]RESULTADOS!$D$6,"YTD","YTG")</f>
        <v>YTD</v>
      </c>
      <c r="E1324" t="s">
        <v>17</v>
      </c>
      <c r="F1324" t="s">
        <v>664</v>
      </c>
      <c r="G1324" t="s">
        <v>665</v>
      </c>
      <c r="H1324" t="s">
        <v>666</v>
      </c>
      <c r="I1324" t="s">
        <v>370</v>
      </c>
      <c r="J1324" t="str">
        <f>IFERROR(VLOOKUP(I1324,[1]AUTOS!$C:$G,2,0),"")</f>
        <v>KIA RIO</v>
      </c>
      <c r="K1324">
        <f>IFERROR(VLOOKUP(I1324,[1]AUTOS!$C:$G,3,0),"")</f>
        <v>2020</v>
      </c>
      <c r="L1324" t="str">
        <f>IFERROR(VLOOKUP(I1324,[1]AUTOS!$C:$G,4,0),"")</f>
        <v>AZUL</v>
      </c>
      <c r="M1324" t="s">
        <v>215</v>
      </c>
      <c r="N1324" s="3">
        <v>0</v>
      </c>
      <c r="O1324" s="3">
        <v>0</v>
      </c>
      <c r="P1324" s="3">
        <v>-2500</v>
      </c>
    </row>
    <row r="1325" spans="1:16" hidden="1" x14ac:dyDescent="0.3">
      <c r="A1325">
        <v>27</v>
      </c>
      <c r="B1325" t="str">
        <f>VLOOKUP($A1325,[1]LISTA!$B:$C,2,0)</f>
        <v>JULIO</v>
      </c>
      <c r="C1325" s="1">
        <v>2025</v>
      </c>
      <c r="D1325" s="1" t="str">
        <f>IF($A1325&lt;=[1]RESULTADOS!$D$6,"YTD","YTG")</f>
        <v>YTD</v>
      </c>
      <c r="E1325" t="s">
        <v>17</v>
      </c>
      <c r="F1325" t="s">
        <v>664</v>
      </c>
      <c r="G1325" t="s">
        <v>665</v>
      </c>
      <c r="H1325" t="s">
        <v>666</v>
      </c>
      <c r="I1325" t="s">
        <v>370</v>
      </c>
      <c r="J1325" t="str">
        <f>IFERROR(VLOOKUP(I1325,[1]AUTOS!$C:$G,2,0),"")</f>
        <v>KIA RIO</v>
      </c>
      <c r="K1325">
        <f>IFERROR(VLOOKUP(I1325,[1]AUTOS!$C:$G,3,0),"")</f>
        <v>2020</v>
      </c>
      <c r="L1325" t="str">
        <f>IFERROR(VLOOKUP(I1325,[1]AUTOS!$C:$G,4,0),"")</f>
        <v>AZUL</v>
      </c>
      <c r="M1325" t="s">
        <v>215</v>
      </c>
      <c r="N1325" s="3">
        <v>0</v>
      </c>
      <c r="O1325" s="3">
        <v>0</v>
      </c>
      <c r="P1325" s="3">
        <v>-2500</v>
      </c>
    </row>
    <row r="1326" spans="1:16" hidden="1" x14ac:dyDescent="0.3">
      <c r="A1326">
        <v>28</v>
      </c>
      <c r="B1326" t="str">
        <f>VLOOKUP($A1326,[1]LISTA!$B:$C,2,0)</f>
        <v>JULIO</v>
      </c>
      <c r="C1326" s="1">
        <v>2025</v>
      </c>
      <c r="D1326" s="1" t="str">
        <f>IF($A1326&lt;=[1]RESULTADOS!$D$6,"YTD","YTG")</f>
        <v>YTD</v>
      </c>
      <c r="E1326" t="s">
        <v>17</v>
      </c>
      <c r="F1326" t="s">
        <v>664</v>
      </c>
      <c r="G1326" t="s">
        <v>665</v>
      </c>
      <c r="H1326" t="s">
        <v>666</v>
      </c>
      <c r="I1326" t="s">
        <v>370</v>
      </c>
      <c r="J1326" t="str">
        <f>IFERROR(VLOOKUP(I1326,[1]AUTOS!$C:$G,2,0),"")</f>
        <v>KIA RIO</v>
      </c>
      <c r="K1326">
        <f>IFERROR(VLOOKUP(I1326,[1]AUTOS!$C:$G,3,0),"")</f>
        <v>2020</v>
      </c>
      <c r="L1326" t="str">
        <f>IFERROR(VLOOKUP(I1326,[1]AUTOS!$C:$G,4,0),"")</f>
        <v>AZUL</v>
      </c>
      <c r="M1326" t="s">
        <v>215</v>
      </c>
      <c r="N1326" s="3">
        <v>0</v>
      </c>
      <c r="O1326" s="3">
        <v>0</v>
      </c>
      <c r="P1326" s="3">
        <v>-2500</v>
      </c>
    </row>
    <row r="1327" spans="1:16" hidden="1" x14ac:dyDescent="0.3">
      <c r="A1327">
        <v>29</v>
      </c>
      <c r="B1327" t="str">
        <f>VLOOKUP($A1327,[1]LISTA!$B:$C,2,0)</f>
        <v>JULIO</v>
      </c>
      <c r="C1327" s="1">
        <v>2025</v>
      </c>
      <c r="D1327" s="1" t="str">
        <f>IF($A1327&lt;=[1]RESULTADOS!$D$6,"YTD","YTG")</f>
        <v>YTD</v>
      </c>
      <c r="E1327" t="s">
        <v>17</v>
      </c>
      <c r="F1327" t="s">
        <v>664</v>
      </c>
      <c r="G1327" t="s">
        <v>665</v>
      </c>
      <c r="H1327" t="s">
        <v>666</v>
      </c>
      <c r="I1327" t="s">
        <v>370</v>
      </c>
      <c r="J1327" t="str">
        <f>IFERROR(VLOOKUP(I1327,[1]AUTOS!$C:$G,2,0),"")</f>
        <v>KIA RIO</v>
      </c>
      <c r="K1327">
        <f>IFERROR(VLOOKUP(I1327,[1]AUTOS!$C:$G,3,0),"")</f>
        <v>2020</v>
      </c>
      <c r="L1327" t="str">
        <f>IFERROR(VLOOKUP(I1327,[1]AUTOS!$C:$G,4,0),"")</f>
        <v>AZUL</v>
      </c>
      <c r="M1327" t="s">
        <v>215</v>
      </c>
      <c r="N1327" s="3">
        <v>0</v>
      </c>
      <c r="O1327" s="3">
        <v>0</v>
      </c>
      <c r="P1327" s="3">
        <v>-2500</v>
      </c>
    </row>
    <row r="1328" spans="1:16" hidden="1" x14ac:dyDescent="0.3">
      <c r="A1328">
        <v>30</v>
      </c>
      <c r="B1328" t="str">
        <f>VLOOKUP($A1328,[1]LISTA!$B:$C,2,0)</f>
        <v>JULIO</v>
      </c>
      <c r="C1328" s="1">
        <v>2025</v>
      </c>
      <c r="D1328" s="1" t="str">
        <f>IF($A1328&lt;=[1]RESULTADOS!$D$6,"YTD","YTG")</f>
        <v>YTD</v>
      </c>
      <c r="E1328" t="s">
        <v>17</v>
      </c>
      <c r="F1328" t="s">
        <v>664</v>
      </c>
      <c r="G1328" t="s">
        <v>665</v>
      </c>
      <c r="H1328" t="s">
        <v>666</v>
      </c>
      <c r="I1328" t="s">
        <v>370</v>
      </c>
      <c r="J1328" t="str">
        <f>IFERROR(VLOOKUP(I1328,[1]AUTOS!$C:$G,2,0),"")</f>
        <v>KIA RIO</v>
      </c>
      <c r="K1328">
        <f>IFERROR(VLOOKUP(I1328,[1]AUTOS!$C:$G,3,0),"")</f>
        <v>2020</v>
      </c>
      <c r="L1328" t="str">
        <f>IFERROR(VLOOKUP(I1328,[1]AUTOS!$C:$G,4,0),"")</f>
        <v>AZUL</v>
      </c>
      <c r="M1328" t="s">
        <v>215</v>
      </c>
      <c r="N1328" s="3">
        <v>0</v>
      </c>
      <c r="O1328" s="3">
        <v>0</v>
      </c>
      <c r="P1328" s="3">
        <v>-2500</v>
      </c>
    </row>
    <row r="1329" spans="1:16" hidden="1" x14ac:dyDescent="0.3">
      <c r="A1329">
        <v>31</v>
      </c>
      <c r="B1329" t="str">
        <f>VLOOKUP($A1329,[1]LISTA!$B:$C,2,0)</f>
        <v>JULIO</v>
      </c>
      <c r="C1329" s="1">
        <v>2025</v>
      </c>
      <c r="D1329" s="1" t="str">
        <f>IF($A1329&lt;=[1]RESULTADOS!$D$6,"YTD","YTG")</f>
        <v>YTD</v>
      </c>
      <c r="E1329" t="s">
        <v>17</v>
      </c>
      <c r="F1329" t="s">
        <v>664</v>
      </c>
      <c r="G1329" t="s">
        <v>665</v>
      </c>
      <c r="H1329" t="s">
        <v>666</v>
      </c>
      <c r="I1329" t="s">
        <v>370</v>
      </c>
      <c r="J1329" t="str">
        <f>IFERROR(VLOOKUP(I1329,[1]AUTOS!$C:$G,2,0),"")</f>
        <v>KIA RIO</v>
      </c>
      <c r="K1329">
        <f>IFERROR(VLOOKUP(I1329,[1]AUTOS!$C:$G,3,0),"")</f>
        <v>2020</v>
      </c>
      <c r="L1329" t="str">
        <f>IFERROR(VLOOKUP(I1329,[1]AUTOS!$C:$G,4,0),"")</f>
        <v>AZUL</v>
      </c>
      <c r="M1329" t="s">
        <v>215</v>
      </c>
      <c r="N1329" s="3">
        <v>0</v>
      </c>
      <c r="O1329" s="3">
        <v>0</v>
      </c>
      <c r="P1329" s="3">
        <v>-2500</v>
      </c>
    </row>
    <row r="1330" spans="1:16" hidden="1" x14ac:dyDescent="0.3">
      <c r="A1330">
        <v>32</v>
      </c>
      <c r="B1330" t="str">
        <f>VLOOKUP($A1330,[1]LISTA!$B:$C,2,0)</f>
        <v>AGOSTO</v>
      </c>
      <c r="C1330" s="1">
        <v>2025</v>
      </c>
      <c r="D1330" s="1" t="str">
        <f>IF($A1330&lt;=[1]RESULTADOS!$D$6,"YTD","YTG")</f>
        <v>YTD</v>
      </c>
      <c r="E1330" t="s">
        <v>17</v>
      </c>
      <c r="F1330" t="s">
        <v>664</v>
      </c>
      <c r="G1330" t="s">
        <v>665</v>
      </c>
      <c r="H1330" t="s">
        <v>666</v>
      </c>
      <c r="I1330" t="s">
        <v>370</v>
      </c>
      <c r="J1330" t="str">
        <f>IFERROR(VLOOKUP(I1330,[1]AUTOS!$C:$G,2,0),"")</f>
        <v>KIA RIO</v>
      </c>
      <c r="K1330">
        <f>IFERROR(VLOOKUP(I1330,[1]AUTOS!$C:$G,3,0),"")</f>
        <v>2020</v>
      </c>
      <c r="L1330" t="str">
        <f>IFERROR(VLOOKUP(I1330,[1]AUTOS!$C:$G,4,0),"")</f>
        <v>AZUL</v>
      </c>
      <c r="M1330" t="s">
        <v>215</v>
      </c>
      <c r="N1330" s="3">
        <v>0</v>
      </c>
      <c r="O1330" s="3">
        <v>0</v>
      </c>
      <c r="P1330" s="3">
        <v>-2500</v>
      </c>
    </row>
    <row r="1331" spans="1:16" hidden="1" x14ac:dyDescent="0.3">
      <c r="A1331">
        <v>33</v>
      </c>
      <c r="B1331" t="str">
        <f>VLOOKUP($A1331,[1]LISTA!$B:$C,2,0)</f>
        <v>AGOSTO</v>
      </c>
      <c r="C1331" s="1">
        <v>2025</v>
      </c>
      <c r="D1331" s="1" t="str">
        <f>IF($A1331&lt;=[1]RESULTADOS!$D$6,"YTD","YTG")</f>
        <v>YTD</v>
      </c>
      <c r="E1331" t="s">
        <v>17</v>
      </c>
      <c r="F1331" t="s">
        <v>664</v>
      </c>
      <c r="G1331" t="s">
        <v>665</v>
      </c>
      <c r="H1331" t="s">
        <v>666</v>
      </c>
      <c r="I1331" t="s">
        <v>370</v>
      </c>
      <c r="J1331" t="str">
        <f>IFERROR(VLOOKUP(I1331,[1]AUTOS!$C:$G,2,0),"")</f>
        <v>KIA RIO</v>
      </c>
      <c r="K1331">
        <f>IFERROR(VLOOKUP(I1331,[1]AUTOS!$C:$G,3,0),"")</f>
        <v>2020</v>
      </c>
      <c r="L1331" t="str">
        <f>IFERROR(VLOOKUP(I1331,[1]AUTOS!$C:$G,4,0),"")</f>
        <v>AZUL</v>
      </c>
      <c r="M1331" t="s">
        <v>215</v>
      </c>
      <c r="N1331" s="3">
        <v>0</v>
      </c>
      <c r="O1331" s="3">
        <v>0</v>
      </c>
      <c r="P1331" s="3">
        <v>-2500</v>
      </c>
    </row>
    <row r="1332" spans="1:16" hidden="1" x14ac:dyDescent="0.3">
      <c r="A1332">
        <v>34</v>
      </c>
      <c r="B1332" t="str">
        <f>VLOOKUP($A1332,[1]LISTA!$B:$C,2,0)</f>
        <v>AGOSTO</v>
      </c>
      <c r="C1332" s="1">
        <v>2025</v>
      </c>
      <c r="D1332" s="1" t="str">
        <f>IF($A1332&lt;=[1]RESULTADOS!$D$6,"YTD","YTG")</f>
        <v>YTD</v>
      </c>
      <c r="E1332" t="s">
        <v>17</v>
      </c>
      <c r="F1332" t="s">
        <v>664</v>
      </c>
      <c r="G1332" t="s">
        <v>665</v>
      </c>
      <c r="H1332" t="s">
        <v>666</v>
      </c>
      <c r="I1332" t="s">
        <v>370</v>
      </c>
      <c r="J1332" t="str">
        <f>IFERROR(VLOOKUP(I1332,[1]AUTOS!$C:$G,2,0),"")</f>
        <v>KIA RIO</v>
      </c>
      <c r="K1332">
        <f>IFERROR(VLOOKUP(I1332,[1]AUTOS!$C:$G,3,0),"")</f>
        <v>2020</v>
      </c>
      <c r="L1332" t="str">
        <f>IFERROR(VLOOKUP(I1332,[1]AUTOS!$C:$G,4,0),"")</f>
        <v>AZUL</v>
      </c>
      <c r="M1332" t="s">
        <v>215</v>
      </c>
      <c r="N1332" s="3">
        <v>0</v>
      </c>
      <c r="O1332" s="3">
        <v>0</v>
      </c>
      <c r="P1332" s="3">
        <v>-2500</v>
      </c>
    </row>
    <row r="1333" spans="1:16" hidden="1" x14ac:dyDescent="0.3">
      <c r="A1333">
        <v>35</v>
      </c>
      <c r="B1333" t="str">
        <f>VLOOKUP($A1333,[1]LISTA!$B:$C,2,0)</f>
        <v>AGOSTO</v>
      </c>
      <c r="C1333" s="1">
        <v>2025</v>
      </c>
      <c r="D1333" s="1" t="str">
        <f>IF($A1333&lt;=[1]RESULTADOS!$D$6,"YTD","YTG")</f>
        <v>YTD</v>
      </c>
      <c r="E1333" t="s">
        <v>17</v>
      </c>
      <c r="F1333" t="s">
        <v>664</v>
      </c>
      <c r="G1333" t="s">
        <v>665</v>
      </c>
      <c r="H1333" t="s">
        <v>666</v>
      </c>
      <c r="I1333" t="s">
        <v>370</v>
      </c>
      <c r="J1333" t="str">
        <f>IFERROR(VLOOKUP(I1333,[1]AUTOS!$C:$G,2,0),"")</f>
        <v>KIA RIO</v>
      </c>
      <c r="K1333">
        <f>IFERROR(VLOOKUP(I1333,[1]AUTOS!$C:$G,3,0),"")</f>
        <v>2020</v>
      </c>
      <c r="L1333" t="str">
        <f>IFERROR(VLOOKUP(I1333,[1]AUTOS!$C:$G,4,0),"")</f>
        <v>AZUL</v>
      </c>
      <c r="M1333" t="s">
        <v>215</v>
      </c>
      <c r="N1333" s="3">
        <v>0</v>
      </c>
      <c r="O1333" s="3">
        <v>0</v>
      </c>
      <c r="P1333" s="3">
        <v>-2500</v>
      </c>
    </row>
    <row r="1334" spans="1:16" hidden="1" x14ac:dyDescent="0.3">
      <c r="A1334">
        <v>36</v>
      </c>
      <c r="B1334" t="str">
        <f>VLOOKUP($A1334,[1]LISTA!$B:$C,2,0)</f>
        <v>SEPTIEMBRE</v>
      </c>
      <c r="C1334" s="1">
        <v>2025</v>
      </c>
      <c r="D1334" s="1" t="str">
        <f>IF($A1334&lt;=[1]RESULTADOS!$D$6,"YTD","YTG")</f>
        <v>YTD</v>
      </c>
      <c r="E1334" t="s">
        <v>17</v>
      </c>
      <c r="F1334" t="s">
        <v>664</v>
      </c>
      <c r="G1334" t="s">
        <v>665</v>
      </c>
      <c r="H1334" t="s">
        <v>666</v>
      </c>
      <c r="I1334" t="s">
        <v>370</v>
      </c>
      <c r="J1334" t="str">
        <f>IFERROR(VLOOKUP(I1334,[1]AUTOS!$C:$G,2,0),"")</f>
        <v>KIA RIO</v>
      </c>
      <c r="K1334">
        <f>IFERROR(VLOOKUP(I1334,[1]AUTOS!$C:$G,3,0),"")</f>
        <v>2020</v>
      </c>
      <c r="L1334" t="str">
        <f>IFERROR(VLOOKUP(I1334,[1]AUTOS!$C:$G,4,0),"")</f>
        <v>AZUL</v>
      </c>
      <c r="M1334" t="s">
        <v>215</v>
      </c>
      <c r="N1334" s="3">
        <v>0</v>
      </c>
      <c r="O1334" s="3">
        <v>0</v>
      </c>
      <c r="P1334" s="3">
        <v>-2500</v>
      </c>
    </row>
    <row r="1335" spans="1:16" hidden="1" x14ac:dyDescent="0.3">
      <c r="A1335">
        <v>37</v>
      </c>
      <c r="B1335" t="str">
        <f>VLOOKUP($A1335,[1]LISTA!$B:$C,2,0)</f>
        <v>SEPTIEMBRE</v>
      </c>
      <c r="C1335" s="1">
        <v>2025</v>
      </c>
      <c r="D1335" s="1" t="str">
        <f>IF($A1335&lt;=[1]RESULTADOS!$D$6,"YTD","YTG")</f>
        <v>YTD</v>
      </c>
      <c r="E1335" t="s">
        <v>17</v>
      </c>
      <c r="F1335" t="s">
        <v>664</v>
      </c>
      <c r="G1335" t="s">
        <v>665</v>
      </c>
      <c r="H1335" t="s">
        <v>666</v>
      </c>
      <c r="I1335" t="s">
        <v>370</v>
      </c>
      <c r="J1335" t="str">
        <f>IFERROR(VLOOKUP(I1335,[1]AUTOS!$C:$G,2,0),"")</f>
        <v>KIA RIO</v>
      </c>
      <c r="K1335">
        <f>IFERROR(VLOOKUP(I1335,[1]AUTOS!$C:$G,3,0),"")</f>
        <v>2020</v>
      </c>
      <c r="L1335" t="str">
        <f>IFERROR(VLOOKUP(I1335,[1]AUTOS!$C:$G,4,0),"")</f>
        <v>AZUL</v>
      </c>
      <c r="M1335" t="s">
        <v>215</v>
      </c>
      <c r="N1335" s="3">
        <v>0</v>
      </c>
      <c r="O1335" s="3">
        <v>0</v>
      </c>
      <c r="P1335" s="3">
        <v>-2500</v>
      </c>
    </row>
    <row r="1336" spans="1:16" hidden="1" x14ac:dyDescent="0.3">
      <c r="A1336">
        <v>38</v>
      </c>
      <c r="B1336" t="str">
        <f>VLOOKUP($A1336,[1]LISTA!$B:$C,2,0)</f>
        <v>SEPTIEMBRE</v>
      </c>
      <c r="C1336" s="1">
        <v>2025</v>
      </c>
      <c r="D1336" s="1" t="str">
        <f>IF($A1336&lt;=[1]RESULTADOS!$D$6,"YTD","YTG")</f>
        <v>YTD</v>
      </c>
      <c r="E1336" t="s">
        <v>17</v>
      </c>
      <c r="F1336" t="s">
        <v>664</v>
      </c>
      <c r="G1336" t="s">
        <v>665</v>
      </c>
      <c r="H1336" t="s">
        <v>666</v>
      </c>
      <c r="I1336" t="s">
        <v>370</v>
      </c>
      <c r="J1336" t="str">
        <f>IFERROR(VLOOKUP(I1336,[1]AUTOS!$C:$G,2,0),"")</f>
        <v>KIA RIO</v>
      </c>
      <c r="K1336">
        <f>IFERROR(VLOOKUP(I1336,[1]AUTOS!$C:$G,3,0),"")</f>
        <v>2020</v>
      </c>
      <c r="L1336" t="str">
        <f>IFERROR(VLOOKUP(I1336,[1]AUTOS!$C:$G,4,0),"")</f>
        <v>AZUL</v>
      </c>
      <c r="M1336" t="s">
        <v>215</v>
      </c>
      <c r="N1336" s="3">
        <v>0</v>
      </c>
      <c r="O1336" s="3">
        <v>0</v>
      </c>
      <c r="P1336" s="3">
        <v>-2500</v>
      </c>
    </row>
    <row r="1337" spans="1:16" hidden="1" x14ac:dyDescent="0.3">
      <c r="A1337">
        <v>39</v>
      </c>
      <c r="B1337" t="str">
        <f>VLOOKUP($A1337,[1]LISTA!$B:$C,2,0)</f>
        <v>SEPTIEMBRE</v>
      </c>
      <c r="C1337" s="1">
        <v>2025</v>
      </c>
      <c r="D1337" s="1" t="str">
        <f>IF($A1337&lt;=[1]RESULTADOS!$D$6,"YTD","YTG")</f>
        <v>YTD</v>
      </c>
      <c r="E1337" t="s">
        <v>17</v>
      </c>
      <c r="F1337" t="s">
        <v>664</v>
      </c>
      <c r="G1337" t="s">
        <v>665</v>
      </c>
      <c r="H1337" t="s">
        <v>666</v>
      </c>
      <c r="I1337" t="s">
        <v>370</v>
      </c>
      <c r="J1337" t="str">
        <f>IFERROR(VLOOKUP(I1337,[1]AUTOS!$C:$G,2,0),"")</f>
        <v>KIA RIO</v>
      </c>
      <c r="K1337">
        <f>IFERROR(VLOOKUP(I1337,[1]AUTOS!$C:$G,3,0),"")</f>
        <v>2020</v>
      </c>
      <c r="L1337" t="str">
        <f>IFERROR(VLOOKUP(I1337,[1]AUTOS!$C:$G,4,0),"")</f>
        <v>AZUL</v>
      </c>
      <c r="M1337" t="s">
        <v>215</v>
      </c>
      <c r="N1337" s="3">
        <v>0</v>
      </c>
      <c r="O1337" s="3">
        <v>0</v>
      </c>
      <c r="P1337" s="3">
        <v>-2500</v>
      </c>
    </row>
    <row r="1338" spans="1:16" hidden="1" x14ac:dyDescent="0.3">
      <c r="A1338">
        <v>40</v>
      </c>
      <c r="B1338" t="str">
        <f>VLOOKUP($A1338,[1]LISTA!$B:$C,2,0)</f>
        <v>OCTUBRE</v>
      </c>
      <c r="C1338" s="1">
        <v>2025</v>
      </c>
      <c r="D1338" s="1" t="str">
        <f>IF($A1338&lt;=[1]RESULTADOS!$D$6,"YTD","YTG")</f>
        <v>YTG</v>
      </c>
      <c r="E1338" t="s">
        <v>17</v>
      </c>
      <c r="F1338" t="s">
        <v>664</v>
      </c>
      <c r="G1338" t="s">
        <v>665</v>
      </c>
      <c r="H1338" t="s">
        <v>666</v>
      </c>
      <c r="I1338" t="s">
        <v>370</v>
      </c>
      <c r="J1338" t="str">
        <f>IFERROR(VLOOKUP(I1338,[1]AUTOS!$C:$G,2,0),"")</f>
        <v>KIA RIO</v>
      </c>
      <c r="K1338">
        <f>IFERROR(VLOOKUP(I1338,[1]AUTOS!$C:$G,3,0),"")</f>
        <v>2020</v>
      </c>
      <c r="L1338" t="str">
        <f>IFERROR(VLOOKUP(I1338,[1]AUTOS!$C:$G,4,0),"")</f>
        <v>AZUL</v>
      </c>
      <c r="M1338" t="s">
        <v>215</v>
      </c>
      <c r="N1338" s="3">
        <v>0</v>
      </c>
      <c r="O1338" s="3">
        <v>0</v>
      </c>
      <c r="P1338" s="3">
        <v>-2500</v>
      </c>
    </row>
    <row r="1339" spans="1:16" hidden="1" x14ac:dyDescent="0.3">
      <c r="A1339">
        <v>41</v>
      </c>
      <c r="B1339" t="str">
        <f>VLOOKUP($A1339,[1]LISTA!$B:$C,2,0)</f>
        <v>OCTUBRE</v>
      </c>
      <c r="C1339" s="1">
        <v>2025</v>
      </c>
      <c r="D1339" s="1" t="str">
        <f>IF($A1339&lt;=[1]RESULTADOS!$D$6,"YTD","YTG")</f>
        <v>YTG</v>
      </c>
      <c r="E1339" t="s">
        <v>17</v>
      </c>
      <c r="F1339" t="s">
        <v>664</v>
      </c>
      <c r="G1339" t="s">
        <v>665</v>
      </c>
      <c r="H1339" t="s">
        <v>666</v>
      </c>
      <c r="I1339" t="s">
        <v>370</v>
      </c>
      <c r="J1339" t="str">
        <f>IFERROR(VLOOKUP(I1339,[1]AUTOS!$C:$G,2,0),"")</f>
        <v>KIA RIO</v>
      </c>
      <c r="K1339">
        <f>IFERROR(VLOOKUP(I1339,[1]AUTOS!$C:$G,3,0),"")</f>
        <v>2020</v>
      </c>
      <c r="L1339" t="str">
        <f>IFERROR(VLOOKUP(I1339,[1]AUTOS!$C:$G,4,0),"")</f>
        <v>AZUL</v>
      </c>
      <c r="M1339" t="s">
        <v>215</v>
      </c>
      <c r="N1339" s="3">
        <v>0</v>
      </c>
      <c r="O1339" s="3">
        <v>0</v>
      </c>
      <c r="P1339" s="3">
        <v>-2500</v>
      </c>
    </row>
    <row r="1340" spans="1:16" hidden="1" x14ac:dyDescent="0.3">
      <c r="A1340">
        <v>42</v>
      </c>
      <c r="B1340" t="str">
        <f>VLOOKUP($A1340,[1]LISTA!$B:$C,2,0)</f>
        <v>OCTUBRE</v>
      </c>
      <c r="C1340" s="1">
        <v>2025</v>
      </c>
      <c r="D1340" s="1" t="str">
        <f>IF($A1340&lt;=[1]RESULTADOS!$D$6,"YTD","YTG")</f>
        <v>YTG</v>
      </c>
      <c r="E1340" t="s">
        <v>17</v>
      </c>
      <c r="F1340" t="s">
        <v>664</v>
      </c>
      <c r="G1340" t="s">
        <v>665</v>
      </c>
      <c r="H1340" t="s">
        <v>666</v>
      </c>
      <c r="I1340" t="s">
        <v>370</v>
      </c>
      <c r="J1340" t="str">
        <f>IFERROR(VLOOKUP(I1340,[1]AUTOS!$C:$G,2,0),"")</f>
        <v>KIA RIO</v>
      </c>
      <c r="K1340">
        <f>IFERROR(VLOOKUP(I1340,[1]AUTOS!$C:$G,3,0),"")</f>
        <v>2020</v>
      </c>
      <c r="L1340" t="str">
        <f>IFERROR(VLOOKUP(I1340,[1]AUTOS!$C:$G,4,0),"")</f>
        <v>AZUL</v>
      </c>
      <c r="M1340" t="s">
        <v>215</v>
      </c>
      <c r="N1340" s="3">
        <v>0</v>
      </c>
      <c r="O1340" s="3">
        <v>0</v>
      </c>
      <c r="P1340" s="3">
        <v>-2500</v>
      </c>
    </row>
    <row r="1341" spans="1:16" hidden="1" x14ac:dyDescent="0.3">
      <c r="A1341">
        <v>43</v>
      </c>
      <c r="B1341" t="str">
        <f>VLOOKUP($A1341,[1]LISTA!$B:$C,2,0)</f>
        <v>OCTUBRE</v>
      </c>
      <c r="C1341" s="1">
        <v>2025</v>
      </c>
      <c r="D1341" s="1" t="str">
        <f>IF($A1341&lt;=[1]RESULTADOS!$D$6,"YTD","YTG")</f>
        <v>YTG</v>
      </c>
      <c r="E1341" t="s">
        <v>17</v>
      </c>
      <c r="F1341" t="s">
        <v>664</v>
      </c>
      <c r="G1341" t="s">
        <v>665</v>
      </c>
      <c r="H1341" t="s">
        <v>666</v>
      </c>
      <c r="I1341" t="s">
        <v>370</v>
      </c>
      <c r="J1341" t="str">
        <f>IFERROR(VLOOKUP(I1341,[1]AUTOS!$C:$G,2,0),"")</f>
        <v>KIA RIO</v>
      </c>
      <c r="K1341">
        <f>IFERROR(VLOOKUP(I1341,[1]AUTOS!$C:$G,3,0),"")</f>
        <v>2020</v>
      </c>
      <c r="L1341" t="str">
        <f>IFERROR(VLOOKUP(I1341,[1]AUTOS!$C:$G,4,0),"")</f>
        <v>AZUL</v>
      </c>
      <c r="M1341" t="s">
        <v>215</v>
      </c>
      <c r="N1341" s="3">
        <v>0</v>
      </c>
      <c r="O1341" s="3">
        <v>0</v>
      </c>
      <c r="P1341" s="3">
        <v>-2500</v>
      </c>
    </row>
    <row r="1342" spans="1:16" hidden="1" x14ac:dyDescent="0.3">
      <c r="A1342">
        <v>44</v>
      </c>
      <c r="B1342" t="str">
        <f>VLOOKUP($A1342,[1]LISTA!$B:$C,2,0)</f>
        <v>OCTUBRE</v>
      </c>
      <c r="C1342" s="1">
        <v>2025</v>
      </c>
      <c r="D1342" s="1" t="str">
        <f>IF($A1342&lt;=[1]RESULTADOS!$D$6,"YTD","YTG")</f>
        <v>YTG</v>
      </c>
      <c r="E1342" t="s">
        <v>17</v>
      </c>
      <c r="F1342" t="s">
        <v>664</v>
      </c>
      <c r="G1342" t="s">
        <v>665</v>
      </c>
      <c r="H1342" t="s">
        <v>666</v>
      </c>
      <c r="I1342" t="s">
        <v>370</v>
      </c>
      <c r="J1342" t="str">
        <f>IFERROR(VLOOKUP(I1342,[1]AUTOS!$C:$G,2,0),"")</f>
        <v>KIA RIO</v>
      </c>
      <c r="K1342">
        <f>IFERROR(VLOOKUP(I1342,[1]AUTOS!$C:$G,3,0),"")</f>
        <v>2020</v>
      </c>
      <c r="L1342" t="str">
        <f>IFERROR(VLOOKUP(I1342,[1]AUTOS!$C:$G,4,0),"")</f>
        <v>AZUL</v>
      </c>
      <c r="M1342" t="s">
        <v>215</v>
      </c>
      <c r="N1342" s="3">
        <v>0</v>
      </c>
      <c r="O1342" s="3">
        <v>0</v>
      </c>
      <c r="P1342" s="3">
        <v>-2500</v>
      </c>
    </row>
    <row r="1343" spans="1:16" hidden="1" x14ac:dyDescent="0.3">
      <c r="A1343">
        <v>45</v>
      </c>
      <c r="B1343" t="str">
        <f>VLOOKUP($A1343,[1]LISTA!$B:$C,2,0)</f>
        <v>NOVIEMBRE</v>
      </c>
      <c r="C1343" s="1">
        <v>2025</v>
      </c>
      <c r="D1343" s="1" t="str">
        <f>IF($A1343&lt;=[1]RESULTADOS!$D$6,"YTD","YTG")</f>
        <v>YTG</v>
      </c>
      <c r="E1343" t="s">
        <v>17</v>
      </c>
      <c r="F1343" t="s">
        <v>664</v>
      </c>
      <c r="G1343" t="s">
        <v>665</v>
      </c>
      <c r="H1343" t="s">
        <v>666</v>
      </c>
      <c r="I1343" t="s">
        <v>370</v>
      </c>
      <c r="J1343" t="str">
        <f>IFERROR(VLOOKUP(I1343,[1]AUTOS!$C:$G,2,0),"")</f>
        <v>KIA RIO</v>
      </c>
      <c r="K1343">
        <f>IFERROR(VLOOKUP(I1343,[1]AUTOS!$C:$G,3,0),"")</f>
        <v>2020</v>
      </c>
      <c r="L1343" t="str">
        <f>IFERROR(VLOOKUP(I1343,[1]AUTOS!$C:$G,4,0),"")</f>
        <v>AZUL</v>
      </c>
      <c r="M1343" t="s">
        <v>215</v>
      </c>
      <c r="N1343" s="3">
        <v>0</v>
      </c>
      <c r="O1343" s="3">
        <v>0</v>
      </c>
      <c r="P1343" s="3">
        <v>-2500</v>
      </c>
    </row>
    <row r="1344" spans="1:16" hidden="1" x14ac:dyDescent="0.3">
      <c r="A1344">
        <v>46</v>
      </c>
      <c r="B1344" t="str">
        <f>VLOOKUP($A1344,[1]LISTA!$B:$C,2,0)</f>
        <v>NOVIEMBRE</v>
      </c>
      <c r="C1344" s="1">
        <v>2025</v>
      </c>
      <c r="D1344" s="1" t="str">
        <f>IF($A1344&lt;=[1]RESULTADOS!$D$6,"YTD","YTG")</f>
        <v>YTG</v>
      </c>
      <c r="E1344" t="s">
        <v>17</v>
      </c>
      <c r="F1344" t="s">
        <v>664</v>
      </c>
      <c r="G1344" t="s">
        <v>665</v>
      </c>
      <c r="H1344" t="s">
        <v>666</v>
      </c>
      <c r="I1344" t="s">
        <v>370</v>
      </c>
      <c r="J1344" t="str">
        <f>IFERROR(VLOOKUP(I1344,[1]AUTOS!$C:$G,2,0),"")</f>
        <v>KIA RIO</v>
      </c>
      <c r="K1344">
        <f>IFERROR(VLOOKUP(I1344,[1]AUTOS!$C:$G,3,0),"")</f>
        <v>2020</v>
      </c>
      <c r="L1344" t="str">
        <f>IFERROR(VLOOKUP(I1344,[1]AUTOS!$C:$G,4,0),"")</f>
        <v>AZUL</v>
      </c>
      <c r="M1344" t="s">
        <v>215</v>
      </c>
      <c r="N1344" s="3">
        <v>0</v>
      </c>
      <c r="O1344" s="3">
        <v>0</v>
      </c>
      <c r="P1344" s="3">
        <v>-2500</v>
      </c>
    </row>
    <row r="1345" spans="1:16" hidden="1" x14ac:dyDescent="0.3">
      <c r="A1345">
        <v>47</v>
      </c>
      <c r="B1345" t="str">
        <f>VLOOKUP($A1345,[1]LISTA!$B:$C,2,0)</f>
        <v>NOVIEMBRE</v>
      </c>
      <c r="C1345" s="1">
        <v>2025</v>
      </c>
      <c r="D1345" s="1" t="str">
        <f>IF($A1345&lt;=[1]RESULTADOS!$D$6,"YTD","YTG")</f>
        <v>YTG</v>
      </c>
      <c r="E1345" t="s">
        <v>17</v>
      </c>
      <c r="F1345" t="s">
        <v>664</v>
      </c>
      <c r="G1345" t="s">
        <v>665</v>
      </c>
      <c r="H1345" t="s">
        <v>666</v>
      </c>
      <c r="I1345" t="s">
        <v>370</v>
      </c>
      <c r="J1345" t="str">
        <f>IFERROR(VLOOKUP(I1345,[1]AUTOS!$C:$G,2,0),"")</f>
        <v>KIA RIO</v>
      </c>
      <c r="K1345">
        <f>IFERROR(VLOOKUP(I1345,[1]AUTOS!$C:$G,3,0),"")</f>
        <v>2020</v>
      </c>
      <c r="L1345" t="str">
        <f>IFERROR(VLOOKUP(I1345,[1]AUTOS!$C:$G,4,0),"")</f>
        <v>AZUL</v>
      </c>
      <c r="M1345" t="s">
        <v>215</v>
      </c>
      <c r="N1345" s="3">
        <v>0</v>
      </c>
      <c r="O1345" s="3">
        <v>0</v>
      </c>
      <c r="P1345" s="3">
        <v>-2500</v>
      </c>
    </row>
    <row r="1346" spans="1:16" hidden="1" x14ac:dyDescent="0.3">
      <c r="A1346">
        <v>48</v>
      </c>
      <c r="B1346" t="str">
        <f>VLOOKUP($A1346,[1]LISTA!$B:$C,2,0)</f>
        <v>NOVIEMBRE</v>
      </c>
      <c r="C1346" s="1">
        <v>2025</v>
      </c>
      <c r="D1346" s="1" t="str">
        <f>IF($A1346&lt;=[1]RESULTADOS!$D$6,"YTD","YTG")</f>
        <v>YTG</v>
      </c>
      <c r="E1346" t="s">
        <v>17</v>
      </c>
      <c r="F1346" t="s">
        <v>664</v>
      </c>
      <c r="G1346" t="s">
        <v>665</v>
      </c>
      <c r="H1346" t="s">
        <v>666</v>
      </c>
      <c r="I1346" t="s">
        <v>370</v>
      </c>
      <c r="J1346" t="str">
        <f>IFERROR(VLOOKUP(I1346,[1]AUTOS!$C:$G,2,0),"")</f>
        <v>KIA RIO</v>
      </c>
      <c r="K1346">
        <f>IFERROR(VLOOKUP(I1346,[1]AUTOS!$C:$G,3,0),"")</f>
        <v>2020</v>
      </c>
      <c r="L1346" t="str">
        <f>IFERROR(VLOOKUP(I1346,[1]AUTOS!$C:$G,4,0),"")</f>
        <v>AZUL</v>
      </c>
      <c r="M1346" t="s">
        <v>215</v>
      </c>
      <c r="N1346" s="3">
        <v>0</v>
      </c>
      <c r="O1346" s="3">
        <v>0</v>
      </c>
      <c r="P1346" s="3">
        <v>-2500</v>
      </c>
    </row>
    <row r="1347" spans="1:16" hidden="1" x14ac:dyDescent="0.3">
      <c r="A1347">
        <v>49</v>
      </c>
      <c r="B1347" t="str">
        <f>VLOOKUP($A1347,[1]LISTA!$B:$C,2,0)</f>
        <v>DICIEMBRE</v>
      </c>
      <c r="C1347" s="1">
        <v>2025</v>
      </c>
      <c r="D1347" s="1" t="str">
        <f>IF($A1347&lt;=[1]RESULTADOS!$D$6,"YTD","YTG")</f>
        <v>YTG</v>
      </c>
      <c r="E1347" t="s">
        <v>17</v>
      </c>
      <c r="F1347" t="s">
        <v>664</v>
      </c>
      <c r="G1347" t="s">
        <v>665</v>
      </c>
      <c r="H1347" t="s">
        <v>666</v>
      </c>
      <c r="I1347" t="s">
        <v>370</v>
      </c>
      <c r="J1347" t="str">
        <f>IFERROR(VLOOKUP(I1347,[1]AUTOS!$C:$G,2,0),"")</f>
        <v>KIA RIO</v>
      </c>
      <c r="K1347">
        <f>IFERROR(VLOOKUP(I1347,[1]AUTOS!$C:$G,3,0),"")</f>
        <v>2020</v>
      </c>
      <c r="L1347" t="str">
        <f>IFERROR(VLOOKUP(I1347,[1]AUTOS!$C:$G,4,0),"")</f>
        <v>AZUL</v>
      </c>
      <c r="M1347" t="s">
        <v>215</v>
      </c>
      <c r="N1347" s="3">
        <v>0</v>
      </c>
      <c r="O1347" s="3">
        <v>0</v>
      </c>
      <c r="P1347" s="3">
        <v>-2500</v>
      </c>
    </row>
    <row r="1348" spans="1:16" hidden="1" x14ac:dyDescent="0.3">
      <c r="A1348">
        <v>50</v>
      </c>
      <c r="B1348" t="str">
        <f>VLOOKUP($A1348,[1]LISTA!$B:$C,2,0)</f>
        <v>DICIEMBRE</v>
      </c>
      <c r="C1348" s="1">
        <v>2025</v>
      </c>
      <c r="D1348" s="1" t="str">
        <f>IF($A1348&lt;=[1]RESULTADOS!$D$6,"YTD","YTG")</f>
        <v>YTG</v>
      </c>
      <c r="E1348" t="s">
        <v>17</v>
      </c>
      <c r="F1348" t="s">
        <v>664</v>
      </c>
      <c r="G1348" t="s">
        <v>665</v>
      </c>
      <c r="H1348" t="s">
        <v>666</v>
      </c>
      <c r="I1348" t="s">
        <v>370</v>
      </c>
      <c r="J1348" t="str">
        <f>IFERROR(VLOOKUP(I1348,[1]AUTOS!$C:$G,2,0),"")</f>
        <v>KIA RIO</v>
      </c>
      <c r="K1348">
        <f>IFERROR(VLOOKUP(I1348,[1]AUTOS!$C:$G,3,0),"")</f>
        <v>2020</v>
      </c>
      <c r="L1348" t="str">
        <f>IFERROR(VLOOKUP(I1348,[1]AUTOS!$C:$G,4,0),"")</f>
        <v>AZUL</v>
      </c>
      <c r="M1348" t="s">
        <v>215</v>
      </c>
      <c r="N1348" s="3">
        <v>0</v>
      </c>
      <c r="O1348" s="3">
        <v>0</v>
      </c>
      <c r="P1348" s="3">
        <v>-2500</v>
      </c>
    </row>
    <row r="1349" spans="1:16" hidden="1" x14ac:dyDescent="0.3">
      <c r="A1349">
        <v>51</v>
      </c>
      <c r="B1349" t="str">
        <f>VLOOKUP($A1349,[1]LISTA!$B:$C,2,0)</f>
        <v>DICIEMBRE</v>
      </c>
      <c r="C1349" s="1">
        <v>2025</v>
      </c>
      <c r="D1349" s="1" t="str">
        <f>IF($A1349&lt;=[1]RESULTADOS!$D$6,"YTD","YTG")</f>
        <v>YTG</v>
      </c>
      <c r="E1349" t="s">
        <v>17</v>
      </c>
      <c r="F1349" t="s">
        <v>664</v>
      </c>
      <c r="G1349" t="s">
        <v>665</v>
      </c>
      <c r="H1349" t="s">
        <v>666</v>
      </c>
      <c r="I1349" t="s">
        <v>370</v>
      </c>
      <c r="J1349" t="str">
        <f>IFERROR(VLOOKUP(I1349,[1]AUTOS!$C:$G,2,0),"")</f>
        <v>KIA RIO</v>
      </c>
      <c r="K1349">
        <f>IFERROR(VLOOKUP(I1349,[1]AUTOS!$C:$G,3,0),"")</f>
        <v>2020</v>
      </c>
      <c r="L1349" t="str">
        <f>IFERROR(VLOOKUP(I1349,[1]AUTOS!$C:$G,4,0),"")</f>
        <v>AZUL</v>
      </c>
      <c r="M1349" t="s">
        <v>215</v>
      </c>
      <c r="N1349" s="3">
        <v>0</v>
      </c>
      <c r="O1349" s="3">
        <v>0</v>
      </c>
      <c r="P1349" s="3">
        <v>-2500</v>
      </c>
    </row>
    <row r="1350" spans="1:16" hidden="1" x14ac:dyDescent="0.3">
      <c r="A1350">
        <v>52</v>
      </c>
      <c r="B1350" t="str">
        <f>VLOOKUP($A1350,[1]LISTA!$B:$C,2,0)</f>
        <v>DICIEMBRE</v>
      </c>
      <c r="C1350" s="1">
        <v>2025</v>
      </c>
      <c r="D1350" s="1" t="str">
        <f>IF($A1350&lt;=[1]RESULTADOS!$D$6,"YTD","YTG")</f>
        <v>YTG</v>
      </c>
      <c r="E1350" t="s">
        <v>17</v>
      </c>
      <c r="F1350" t="s">
        <v>664</v>
      </c>
      <c r="G1350" t="s">
        <v>665</v>
      </c>
      <c r="H1350" t="s">
        <v>666</v>
      </c>
      <c r="I1350" t="s">
        <v>370</v>
      </c>
      <c r="J1350" t="str">
        <f>IFERROR(VLOOKUP(I1350,[1]AUTOS!$C:$G,2,0),"")</f>
        <v>KIA RIO</v>
      </c>
      <c r="K1350">
        <f>IFERROR(VLOOKUP(I1350,[1]AUTOS!$C:$G,3,0),"")</f>
        <v>2020</v>
      </c>
      <c r="L1350" t="str">
        <f>IFERROR(VLOOKUP(I1350,[1]AUTOS!$C:$G,4,0),"")</f>
        <v>AZUL</v>
      </c>
      <c r="M1350" t="s">
        <v>215</v>
      </c>
      <c r="N1350" s="3">
        <v>0</v>
      </c>
      <c r="O1350" s="3">
        <v>0</v>
      </c>
      <c r="P1350" s="3">
        <v>-2500</v>
      </c>
    </row>
    <row r="1351" spans="1:16" hidden="1" x14ac:dyDescent="0.3">
      <c r="A1351">
        <v>32</v>
      </c>
      <c r="B1351" t="str">
        <f>VLOOKUP($A1351,[1]LISTA!$B:$C,2,0)</f>
        <v>AGOSTO</v>
      </c>
      <c r="C1351" s="1">
        <v>2025</v>
      </c>
      <c r="D1351" s="1" t="str">
        <f>IF($A1351&lt;=[1]RESULTADOS!$D$6,"YTD","YTG")</f>
        <v>YTD</v>
      </c>
      <c r="E1351" t="s">
        <v>17</v>
      </c>
      <c r="F1351" t="s">
        <v>664</v>
      </c>
      <c r="G1351" t="s">
        <v>665</v>
      </c>
      <c r="H1351" t="s">
        <v>666</v>
      </c>
      <c r="I1351" t="s">
        <v>366</v>
      </c>
      <c r="J1351" t="str">
        <f>IFERROR(VLOOKUP(I1351,[1]AUTOS!$C:$G,2,0),"")</f>
        <v>VENTO</v>
      </c>
      <c r="K1351">
        <f>IFERROR(VLOOKUP(I1351,[1]AUTOS!$C:$G,3,0),"")</f>
        <v>2019</v>
      </c>
      <c r="L1351" t="str">
        <f>IFERROR(VLOOKUP(I1351,[1]AUTOS!$C:$G,4,0),"")</f>
        <v>BLANCO</v>
      </c>
      <c r="M1351" t="s">
        <v>215</v>
      </c>
      <c r="N1351" s="3">
        <v>0</v>
      </c>
      <c r="O1351" s="3">
        <v>0</v>
      </c>
      <c r="P1351" s="3">
        <v>-2500</v>
      </c>
    </row>
    <row r="1352" spans="1:16" hidden="1" x14ac:dyDescent="0.3">
      <c r="A1352">
        <v>33</v>
      </c>
      <c r="B1352" t="str">
        <f>VLOOKUP($A1352,[1]LISTA!$B:$C,2,0)</f>
        <v>AGOSTO</v>
      </c>
      <c r="C1352" s="1">
        <v>2025</v>
      </c>
      <c r="D1352" s="1" t="str">
        <f>IF($A1352&lt;=[1]RESULTADOS!$D$6,"YTD","YTG")</f>
        <v>YTD</v>
      </c>
      <c r="E1352" t="s">
        <v>17</v>
      </c>
      <c r="F1352" t="s">
        <v>664</v>
      </c>
      <c r="G1352" t="s">
        <v>665</v>
      </c>
      <c r="H1352" t="s">
        <v>666</v>
      </c>
      <c r="I1352" t="s">
        <v>366</v>
      </c>
      <c r="J1352" t="str">
        <f>IFERROR(VLOOKUP(I1352,[1]AUTOS!$C:$G,2,0),"")</f>
        <v>VENTO</v>
      </c>
      <c r="K1352">
        <f>IFERROR(VLOOKUP(I1352,[1]AUTOS!$C:$G,3,0),"")</f>
        <v>2019</v>
      </c>
      <c r="L1352" t="str">
        <f>IFERROR(VLOOKUP(I1352,[1]AUTOS!$C:$G,4,0),"")</f>
        <v>BLANCO</v>
      </c>
      <c r="M1352" t="s">
        <v>215</v>
      </c>
      <c r="N1352" s="3">
        <v>0</v>
      </c>
      <c r="O1352" s="3">
        <v>0</v>
      </c>
      <c r="P1352" s="3">
        <v>-2500</v>
      </c>
    </row>
    <row r="1353" spans="1:16" hidden="1" x14ac:dyDescent="0.3">
      <c r="A1353">
        <v>34</v>
      </c>
      <c r="B1353" t="str">
        <f>VLOOKUP($A1353,[1]LISTA!$B:$C,2,0)</f>
        <v>AGOSTO</v>
      </c>
      <c r="C1353" s="1">
        <v>2025</v>
      </c>
      <c r="D1353" s="1" t="str">
        <f>IF($A1353&lt;=[1]RESULTADOS!$D$6,"YTD","YTG")</f>
        <v>YTD</v>
      </c>
      <c r="E1353" t="s">
        <v>17</v>
      </c>
      <c r="F1353" t="s">
        <v>664</v>
      </c>
      <c r="G1353" t="s">
        <v>665</v>
      </c>
      <c r="H1353" t="s">
        <v>666</v>
      </c>
      <c r="I1353" t="s">
        <v>366</v>
      </c>
      <c r="J1353" t="str">
        <f>IFERROR(VLOOKUP(I1353,[1]AUTOS!$C:$G,2,0),"")</f>
        <v>VENTO</v>
      </c>
      <c r="K1353">
        <f>IFERROR(VLOOKUP(I1353,[1]AUTOS!$C:$G,3,0),"")</f>
        <v>2019</v>
      </c>
      <c r="L1353" t="str">
        <f>IFERROR(VLOOKUP(I1353,[1]AUTOS!$C:$G,4,0),"")</f>
        <v>BLANCO</v>
      </c>
      <c r="M1353" t="s">
        <v>215</v>
      </c>
      <c r="N1353" s="3">
        <v>0</v>
      </c>
      <c r="O1353" s="3">
        <v>0</v>
      </c>
      <c r="P1353" s="3">
        <v>-2500</v>
      </c>
    </row>
    <row r="1354" spans="1:16" hidden="1" x14ac:dyDescent="0.3">
      <c r="A1354">
        <v>35</v>
      </c>
      <c r="B1354" t="str">
        <f>VLOOKUP($A1354,[1]LISTA!$B:$C,2,0)</f>
        <v>AGOSTO</v>
      </c>
      <c r="C1354" s="1">
        <v>2025</v>
      </c>
      <c r="D1354" s="1" t="str">
        <f>IF($A1354&lt;=[1]RESULTADOS!$D$6,"YTD","YTG")</f>
        <v>YTD</v>
      </c>
      <c r="E1354" t="s">
        <v>17</v>
      </c>
      <c r="F1354" t="s">
        <v>664</v>
      </c>
      <c r="G1354" t="s">
        <v>665</v>
      </c>
      <c r="H1354" t="s">
        <v>666</v>
      </c>
      <c r="I1354" t="s">
        <v>366</v>
      </c>
      <c r="J1354" t="str">
        <f>IFERROR(VLOOKUP(I1354,[1]AUTOS!$C:$G,2,0),"")</f>
        <v>VENTO</v>
      </c>
      <c r="K1354">
        <f>IFERROR(VLOOKUP(I1354,[1]AUTOS!$C:$G,3,0),"")</f>
        <v>2019</v>
      </c>
      <c r="L1354" t="str">
        <f>IFERROR(VLOOKUP(I1354,[1]AUTOS!$C:$G,4,0),"")</f>
        <v>BLANCO</v>
      </c>
      <c r="M1354" t="s">
        <v>215</v>
      </c>
      <c r="N1354" s="3">
        <v>0</v>
      </c>
      <c r="O1354" s="3">
        <v>0</v>
      </c>
      <c r="P1354" s="3">
        <v>-2500</v>
      </c>
    </row>
    <row r="1355" spans="1:16" hidden="1" x14ac:dyDescent="0.3">
      <c r="A1355">
        <v>36</v>
      </c>
      <c r="B1355" t="str">
        <f>VLOOKUP($A1355,[1]LISTA!$B:$C,2,0)</f>
        <v>SEPTIEMBRE</v>
      </c>
      <c r="C1355" s="1">
        <v>2025</v>
      </c>
      <c r="D1355" s="1" t="str">
        <f>IF($A1355&lt;=[1]RESULTADOS!$D$6,"YTD","YTG")</f>
        <v>YTD</v>
      </c>
      <c r="E1355" t="s">
        <v>17</v>
      </c>
      <c r="F1355" t="s">
        <v>664</v>
      </c>
      <c r="G1355" t="s">
        <v>665</v>
      </c>
      <c r="H1355" t="s">
        <v>666</v>
      </c>
      <c r="I1355" t="s">
        <v>366</v>
      </c>
      <c r="J1355" t="str">
        <f>IFERROR(VLOOKUP(I1355,[1]AUTOS!$C:$G,2,0),"")</f>
        <v>VENTO</v>
      </c>
      <c r="K1355">
        <f>IFERROR(VLOOKUP(I1355,[1]AUTOS!$C:$G,3,0),"")</f>
        <v>2019</v>
      </c>
      <c r="L1355" t="str">
        <f>IFERROR(VLOOKUP(I1355,[1]AUTOS!$C:$G,4,0),"")</f>
        <v>BLANCO</v>
      </c>
      <c r="M1355" t="s">
        <v>215</v>
      </c>
      <c r="N1355" s="3">
        <v>0</v>
      </c>
      <c r="O1355" s="3">
        <v>0</v>
      </c>
      <c r="P1355" s="3">
        <v>-2500</v>
      </c>
    </row>
    <row r="1356" spans="1:16" hidden="1" x14ac:dyDescent="0.3">
      <c r="A1356">
        <v>37</v>
      </c>
      <c r="B1356" t="str">
        <f>VLOOKUP($A1356,[1]LISTA!$B:$C,2,0)</f>
        <v>SEPTIEMBRE</v>
      </c>
      <c r="C1356" s="1">
        <v>2025</v>
      </c>
      <c r="D1356" s="1" t="str">
        <f>IF($A1356&lt;=[1]RESULTADOS!$D$6,"YTD","YTG")</f>
        <v>YTD</v>
      </c>
      <c r="E1356" t="s">
        <v>17</v>
      </c>
      <c r="F1356" t="s">
        <v>664</v>
      </c>
      <c r="G1356" t="s">
        <v>665</v>
      </c>
      <c r="H1356" t="s">
        <v>666</v>
      </c>
      <c r="I1356" t="s">
        <v>366</v>
      </c>
      <c r="J1356" t="str">
        <f>IFERROR(VLOOKUP(I1356,[1]AUTOS!$C:$G,2,0),"")</f>
        <v>VENTO</v>
      </c>
      <c r="K1356">
        <f>IFERROR(VLOOKUP(I1356,[1]AUTOS!$C:$G,3,0),"")</f>
        <v>2019</v>
      </c>
      <c r="L1356" t="str">
        <f>IFERROR(VLOOKUP(I1356,[1]AUTOS!$C:$G,4,0),"")</f>
        <v>BLANCO</v>
      </c>
      <c r="M1356" t="s">
        <v>215</v>
      </c>
      <c r="N1356" s="3">
        <v>0</v>
      </c>
      <c r="O1356" s="3">
        <v>0</v>
      </c>
      <c r="P1356" s="3">
        <v>-2500</v>
      </c>
    </row>
    <row r="1357" spans="1:16" hidden="1" x14ac:dyDescent="0.3">
      <c r="A1357">
        <v>38</v>
      </c>
      <c r="B1357" t="str">
        <f>VLOOKUP($A1357,[1]LISTA!$B:$C,2,0)</f>
        <v>SEPTIEMBRE</v>
      </c>
      <c r="C1357" s="1">
        <v>2025</v>
      </c>
      <c r="D1357" s="1" t="str">
        <f>IF($A1357&lt;=[1]RESULTADOS!$D$6,"YTD","YTG")</f>
        <v>YTD</v>
      </c>
      <c r="E1357" t="s">
        <v>17</v>
      </c>
      <c r="F1357" t="s">
        <v>664</v>
      </c>
      <c r="G1357" t="s">
        <v>665</v>
      </c>
      <c r="H1357" t="s">
        <v>666</v>
      </c>
      <c r="I1357" t="s">
        <v>366</v>
      </c>
      <c r="J1357" t="str">
        <f>IFERROR(VLOOKUP(I1357,[1]AUTOS!$C:$G,2,0),"")</f>
        <v>VENTO</v>
      </c>
      <c r="K1357">
        <f>IFERROR(VLOOKUP(I1357,[1]AUTOS!$C:$G,3,0),"")</f>
        <v>2019</v>
      </c>
      <c r="L1357" t="str">
        <f>IFERROR(VLOOKUP(I1357,[1]AUTOS!$C:$G,4,0),"")</f>
        <v>BLANCO</v>
      </c>
      <c r="M1357" t="s">
        <v>215</v>
      </c>
      <c r="N1357" s="3">
        <v>0</v>
      </c>
      <c r="O1357" s="3">
        <v>0</v>
      </c>
      <c r="P1357" s="3">
        <v>-2500</v>
      </c>
    </row>
    <row r="1358" spans="1:16" hidden="1" x14ac:dyDescent="0.3">
      <c r="A1358">
        <v>39</v>
      </c>
      <c r="B1358" t="str">
        <f>VLOOKUP($A1358,[1]LISTA!$B:$C,2,0)</f>
        <v>SEPTIEMBRE</v>
      </c>
      <c r="C1358" s="1">
        <v>2025</v>
      </c>
      <c r="D1358" s="1" t="str">
        <f>IF($A1358&lt;=[1]RESULTADOS!$D$6,"YTD","YTG")</f>
        <v>YTD</v>
      </c>
      <c r="E1358" t="s">
        <v>17</v>
      </c>
      <c r="F1358" t="s">
        <v>664</v>
      </c>
      <c r="G1358" t="s">
        <v>665</v>
      </c>
      <c r="H1358" t="s">
        <v>666</v>
      </c>
      <c r="I1358" t="s">
        <v>366</v>
      </c>
      <c r="J1358" t="str">
        <f>IFERROR(VLOOKUP(I1358,[1]AUTOS!$C:$G,2,0),"")</f>
        <v>VENTO</v>
      </c>
      <c r="K1358">
        <f>IFERROR(VLOOKUP(I1358,[1]AUTOS!$C:$G,3,0),"")</f>
        <v>2019</v>
      </c>
      <c r="L1358" t="str">
        <f>IFERROR(VLOOKUP(I1358,[1]AUTOS!$C:$G,4,0),"")</f>
        <v>BLANCO</v>
      </c>
      <c r="M1358" t="s">
        <v>215</v>
      </c>
      <c r="N1358" s="3">
        <v>0</v>
      </c>
      <c r="O1358" s="3">
        <v>0</v>
      </c>
      <c r="P1358" s="3">
        <v>-2500</v>
      </c>
    </row>
    <row r="1359" spans="1:16" hidden="1" x14ac:dyDescent="0.3">
      <c r="A1359">
        <v>40</v>
      </c>
      <c r="B1359" t="str">
        <f>VLOOKUP($A1359,[1]LISTA!$B:$C,2,0)</f>
        <v>OCTUBRE</v>
      </c>
      <c r="C1359" s="1">
        <v>2025</v>
      </c>
      <c r="D1359" s="1" t="str">
        <f>IF($A1359&lt;=[1]RESULTADOS!$D$6,"YTD","YTG")</f>
        <v>YTG</v>
      </c>
      <c r="E1359" t="s">
        <v>17</v>
      </c>
      <c r="F1359" t="s">
        <v>664</v>
      </c>
      <c r="G1359" t="s">
        <v>665</v>
      </c>
      <c r="H1359" t="s">
        <v>666</v>
      </c>
      <c r="I1359" t="s">
        <v>366</v>
      </c>
      <c r="J1359" t="str">
        <f>IFERROR(VLOOKUP(I1359,[1]AUTOS!$C:$G,2,0),"")</f>
        <v>VENTO</v>
      </c>
      <c r="K1359">
        <f>IFERROR(VLOOKUP(I1359,[1]AUTOS!$C:$G,3,0),"")</f>
        <v>2019</v>
      </c>
      <c r="L1359" t="str">
        <f>IFERROR(VLOOKUP(I1359,[1]AUTOS!$C:$G,4,0),"")</f>
        <v>BLANCO</v>
      </c>
      <c r="M1359" t="s">
        <v>215</v>
      </c>
      <c r="N1359" s="3">
        <v>0</v>
      </c>
      <c r="O1359" s="3">
        <v>0</v>
      </c>
      <c r="P1359" s="3">
        <v>-2500</v>
      </c>
    </row>
    <row r="1360" spans="1:16" hidden="1" x14ac:dyDescent="0.3">
      <c r="A1360">
        <v>41</v>
      </c>
      <c r="B1360" t="str">
        <f>VLOOKUP($A1360,[1]LISTA!$B:$C,2,0)</f>
        <v>OCTUBRE</v>
      </c>
      <c r="C1360" s="1">
        <v>2025</v>
      </c>
      <c r="D1360" s="1" t="str">
        <f>IF($A1360&lt;=[1]RESULTADOS!$D$6,"YTD","YTG")</f>
        <v>YTG</v>
      </c>
      <c r="E1360" t="s">
        <v>17</v>
      </c>
      <c r="F1360" t="s">
        <v>664</v>
      </c>
      <c r="G1360" t="s">
        <v>665</v>
      </c>
      <c r="H1360" t="s">
        <v>666</v>
      </c>
      <c r="I1360" t="s">
        <v>366</v>
      </c>
      <c r="J1360" t="str">
        <f>IFERROR(VLOOKUP(I1360,[1]AUTOS!$C:$G,2,0),"")</f>
        <v>VENTO</v>
      </c>
      <c r="K1360">
        <f>IFERROR(VLOOKUP(I1360,[1]AUTOS!$C:$G,3,0),"")</f>
        <v>2019</v>
      </c>
      <c r="L1360" t="str">
        <f>IFERROR(VLOOKUP(I1360,[1]AUTOS!$C:$G,4,0),"")</f>
        <v>BLANCO</v>
      </c>
      <c r="M1360" t="s">
        <v>215</v>
      </c>
      <c r="N1360" s="3">
        <v>0</v>
      </c>
      <c r="O1360" s="3">
        <v>0</v>
      </c>
      <c r="P1360" s="3">
        <v>-2500</v>
      </c>
    </row>
    <row r="1361" spans="1:16" hidden="1" x14ac:dyDescent="0.3">
      <c r="A1361">
        <v>42</v>
      </c>
      <c r="B1361" t="str">
        <f>VLOOKUP($A1361,[1]LISTA!$B:$C,2,0)</f>
        <v>OCTUBRE</v>
      </c>
      <c r="C1361" s="1">
        <v>2025</v>
      </c>
      <c r="D1361" s="1" t="str">
        <f>IF($A1361&lt;=[1]RESULTADOS!$D$6,"YTD","YTG")</f>
        <v>YTG</v>
      </c>
      <c r="E1361" t="s">
        <v>17</v>
      </c>
      <c r="F1361" t="s">
        <v>664</v>
      </c>
      <c r="G1361" t="s">
        <v>665</v>
      </c>
      <c r="H1361" t="s">
        <v>666</v>
      </c>
      <c r="I1361" t="s">
        <v>366</v>
      </c>
      <c r="J1361" t="str">
        <f>IFERROR(VLOOKUP(I1361,[1]AUTOS!$C:$G,2,0),"")</f>
        <v>VENTO</v>
      </c>
      <c r="K1361">
        <f>IFERROR(VLOOKUP(I1361,[1]AUTOS!$C:$G,3,0),"")</f>
        <v>2019</v>
      </c>
      <c r="L1361" t="str">
        <f>IFERROR(VLOOKUP(I1361,[1]AUTOS!$C:$G,4,0),"")</f>
        <v>BLANCO</v>
      </c>
      <c r="M1361" t="s">
        <v>215</v>
      </c>
      <c r="N1361" s="3">
        <v>0</v>
      </c>
      <c r="O1361" s="3">
        <v>0</v>
      </c>
      <c r="P1361" s="3">
        <v>-2500</v>
      </c>
    </row>
    <row r="1362" spans="1:16" hidden="1" x14ac:dyDescent="0.3">
      <c r="A1362">
        <v>43</v>
      </c>
      <c r="B1362" t="str">
        <f>VLOOKUP($A1362,[1]LISTA!$B:$C,2,0)</f>
        <v>OCTUBRE</v>
      </c>
      <c r="C1362" s="1">
        <v>2025</v>
      </c>
      <c r="D1362" s="1" t="str">
        <f>IF($A1362&lt;=[1]RESULTADOS!$D$6,"YTD","YTG")</f>
        <v>YTG</v>
      </c>
      <c r="E1362" t="s">
        <v>17</v>
      </c>
      <c r="F1362" t="s">
        <v>664</v>
      </c>
      <c r="G1362" t="s">
        <v>665</v>
      </c>
      <c r="H1362" t="s">
        <v>666</v>
      </c>
      <c r="I1362" t="s">
        <v>366</v>
      </c>
      <c r="J1362" t="str">
        <f>IFERROR(VLOOKUP(I1362,[1]AUTOS!$C:$G,2,0),"")</f>
        <v>VENTO</v>
      </c>
      <c r="K1362">
        <f>IFERROR(VLOOKUP(I1362,[1]AUTOS!$C:$G,3,0),"")</f>
        <v>2019</v>
      </c>
      <c r="L1362" t="str">
        <f>IFERROR(VLOOKUP(I1362,[1]AUTOS!$C:$G,4,0),"")</f>
        <v>BLANCO</v>
      </c>
      <c r="M1362" t="s">
        <v>215</v>
      </c>
      <c r="N1362" s="3">
        <v>0</v>
      </c>
      <c r="O1362" s="3">
        <v>0</v>
      </c>
      <c r="P1362" s="3">
        <v>-2500</v>
      </c>
    </row>
    <row r="1363" spans="1:16" hidden="1" x14ac:dyDescent="0.3">
      <c r="A1363">
        <v>44</v>
      </c>
      <c r="B1363" t="str">
        <f>VLOOKUP($A1363,[1]LISTA!$B:$C,2,0)</f>
        <v>OCTUBRE</v>
      </c>
      <c r="C1363" s="1">
        <v>2025</v>
      </c>
      <c r="D1363" s="1" t="str">
        <f>IF($A1363&lt;=[1]RESULTADOS!$D$6,"YTD","YTG")</f>
        <v>YTG</v>
      </c>
      <c r="E1363" t="s">
        <v>17</v>
      </c>
      <c r="F1363" t="s">
        <v>664</v>
      </c>
      <c r="G1363" t="s">
        <v>665</v>
      </c>
      <c r="H1363" t="s">
        <v>666</v>
      </c>
      <c r="I1363" t="s">
        <v>366</v>
      </c>
      <c r="J1363" t="str">
        <f>IFERROR(VLOOKUP(I1363,[1]AUTOS!$C:$G,2,0),"")</f>
        <v>VENTO</v>
      </c>
      <c r="K1363">
        <f>IFERROR(VLOOKUP(I1363,[1]AUTOS!$C:$G,3,0),"")</f>
        <v>2019</v>
      </c>
      <c r="L1363" t="str">
        <f>IFERROR(VLOOKUP(I1363,[1]AUTOS!$C:$G,4,0),"")</f>
        <v>BLANCO</v>
      </c>
      <c r="M1363" t="s">
        <v>215</v>
      </c>
      <c r="N1363" s="3">
        <v>0</v>
      </c>
      <c r="O1363" s="3">
        <v>0</v>
      </c>
      <c r="P1363" s="3">
        <v>-2500</v>
      </c>
    </row>
    <row r="1364" spans="1:16" hidden="1" x14ac:dyDescent="0.3">
      <c r="A1364">
        <v>45</v>
      </c>
      <c r="B1364" t="str">
        <f>VLOOKUP($A1364,[1]LISTA!$B:$C,2,0)</f>
        <v>NOVIEMBRE</v>
      </c>
      <c r="C1364" s="1">
        <v>2025</v>
      </c>
      <c r="D1364" s="1" t="str">
        <f>IF($A1364&lt;=[1]RESULTADOS!$D$6,"YTD","YTG")</f>
        <v>YTG</v>
      </c>
      <c r="E1364" t="s">
        <v>17</v>
      </c>
      <c r="F1364" t="s">
        <v>664</v>
      </c>
      <c r="G1364" t="s">
        <v>665</v>
      </c>
      <c r="H1364" t="s">
        <v>666</v>
      </c>
      <c r="I1364" t="s">
        <v>366</v>
      </c>
      <c r="J1364" t="str">
        <f>IFERROR(VLOOKUP(I1364,[1]AUTOS!$C:$G,2,0),"")</f>
        <v>VENTO</v>
      </c>
      <c r="K1364">
        <f>IFERROR(VLOOKUP(I1364,[1]AUTOS!$C:$G,3,0),"")</f>
        <v>2019</v>
      </c>
      <c r="L1364" t="str">
        <f>IFERROR(VLOOKUP(I1364,[1]AUTOS!$C:$G,4,0),"")</f>
        <v>BLANCO</v>
      </c>
      <c r="M1364" t="s">
        <v>215</v>
      </c>
      <c r="N1364" s="3">
        <v>0</v>
      </c>
      <c r="O1364" s="3">
        <v>0</v>
      </c>
      <c r="P1364" s="3">
        <v>-2500</v>
      </c>
    </row>
    <row r="1365" spans="1:16" hidden="1" x14ac:dyDescent="0.3">
      <c r="A1365">
        <v>46</v>
      </c>
      <c r="B1365" t="str">
        <f>VLOOKUP($A1365,[1]LISTA!$B:$C,2,0)</f>
        <v>NOVIEMBRE</v>
      </c>
      <c r="C1365" s="1">
        <v>2025</v>
      </c>
      <c r="D1365" s="1" t="str">
        <f>IF($A1365&lt;=[1]RESULTADOS!$D$6,"YTD","YTG")</f>
        <v>YTG</v>
      </c>
      <c r="E1365" t="s">
        <v>17</v>
      </c>
      <c r="F1365" t="s">
        <v>664</v>
      </c>
      <c r="G1365" t="s">
        <v>665</v>
      </c>
      <c r="H1365" t="s">
        <v>666</v>
      </c>
      <c r="I1365" t="s">
        <v>366</v>
      </c>
      <c r="J1365" t="str">
        <f>IFERROR(VLOOKUP(I1365,[1]AUTOS!$C:$G,2,0),"")</f>
        <v>VENTO</v>
      </c>
      <c r="K1365">
        <f>IFERROR(VLOOKUP(I1365,[1]AUTOS!$C:$G,3,0),"")</f>
        <v>2019</v>
      </c>
      <c r="L1365" t="str">
        <f>IFERROR(VLOOKUP(I1365,[1]AUTOS!$C:$G,4,0),"")</f>
        <v>BLANCO</v>
      </c>
      <c r="M1365" t="s">
        <v>215</v>
      </c>
      <c r="N1365" s="3">
        <v>0</v>
      </c>
      <c r="O1365" s="3">
        <v>0</v>
      </c>
      <c r="P1365" s="3">
        <v>-2500</v>
      </c>
    </row>
    <row r="1366" spans="1:16" hidden="1" x14ac:dyDescent="0.3">
      <c r="A1366">
        <v>47</v>
      </c>
      <c r="B1366" t="str">
        <f>VLOOKUP($A1366,[1]LISTA!$B:$C,2,0)</f>
        <v>NOVIEMBRE</v>
      </c>
      <c r="C1366" s="1">
        <v>2025</v>
      </c>
      <c r="D1366" s="1" t="str">
        <f>IF($A1366&lt;=[1]RESULTADOS!$D$6,"YTD","YTG")</f>
        <v>YTG</v>
      </c>
      <c r="E1366" t="s">
        <v>17</v>
      </c>
      <c r="F1366" t="s">
        <v>664</v>
      </c>
      <c r="G1366" t="s">
        <v>665</v>
      </c>
      <c r="H1366" t="s">
        <v>666</v>
      </c>
      <c r="I1366" t="s">
        <v>366</v>
      </c>
      <c r="J1366" t="str">
        <f>IFERROR(VLOOKUP(I1366,[1]AUTOS!$C:$G,2,0),"")</f>
        <v>VENTO</v>
      </c>
      <c r="K1366">
        <f>IFERROR(VLOOKUP(I1366,[1]AUTOS!$C:$G,3,0),"")</f>
        <v>2019</v>
      </c>
      <c r="L1366" t="str">
        <f>IFERROR(VLOOKUP(I1366,[1]AUTOS!$C:$G,4,0),"")</f>
        <v>BLANCO</v>
      </c>
      <c r="M1366" t="s">
        <v>215</v>
      </c>
      <c r="N1366" s="3">
        <v>0</v>
      </c>
      <c r="O1366" s="3">
        <v>0</v>
      </c>
      <c r="P1366" s="3">
        <v>-2500</v>
      </c>
    </row>
    <row r="1367" spans="1:16" hidden="1" x14ac:dyDescent="0.3">
      <c r="A1367">
        <v>48</v>
      </c>
      <c r="B1367" t="str">
        <f>VLOOKUP($A1367,[1]LISTA!$B:$C,2,0)</f>
        <v>NOVIEMBRE</v>
      </c>
      <c r="C1367" s="1">
        <v>2025</v>
      </c>
      <c r="D1367" s="1" t="str">
        <f>IF($A1367&lt;=[1]RESULTADOS!$D$6,"YTD","YTG")</f>
        <v>YTG</v>
      </c>
      <c r="E1367" t="s">
        <v>17</v>
      </c>
      <c r="F1367" t="s">
        <v>664</v>
      </c>
      <c r="G1367" t="s">
        <v>665</v>
      </c>
      <c r="H1367" t="s">
        <v>666</v>
      </c>
      <c r="I1367" t="s">
        <v>366</v>
      </c>
      <c r="J1367" t="str">
        <f>IFERROR(VLOOKUP(I1367,[1]AUTOS!$C:$G,2,0),"")</f>
        <v>VENTO</v>
      </c>
      <c r="K1367">
        <f>IFERROR(VLOOKUP(I1367,[1]AUTOS!$C:$G,3,0),"")</f>
        <v>2019</v>
      </c>
      <c r="L1367" t="str">
        <f>IFERROR(VLOOKUP(I1367,[1]AUTOS!$C:$G,4,0),"")</f>
        <v>BLANCO</v>
      </c>
      <c r="M1367" t="s">
        <v>215</v>
      </c>
      <c r="N1367" s="3">
        <v>0</v>
      </c>
      <c r="O1367" s="3">
        <v>0</v>
      </c>
      <c r="P1367" s="3">
        <v>-2500</v>
      </c>
    </row>
    <row r="1368" spans="1:16" hidden="1" x14ac:dyDescent="0.3">
      <c r="A1368">
        <v>49</v>
      </c>
      <c r="B1368" t="str">
        <f>VLOOKUP($A1368,[1]LISTA!$B:$C,2,0)</f>
        <v>DICIEMBRE</v>
      </c>
      <c r="C1368" s="1">
        <v>2025</v>
      </c>
      <c r="D1368" s="1" t="str">
        <f>IF($A1368&lt;=[1]RESULTADOS!$D$6,"YTD","YTG")</f>
        <v>YTG</v>
      </c>
      <c r="E1368" t="s">
        <v>17</v>
      </c>
      <c r="F1368" t="s">
        <v>664</v>
      </c>
      <c r="G1368" t="s">
        <v>665</v>
      </c>
      <c r="H1368" t="s">
        <v>666</v>
      </c>
      <c r="I1368" t="s">
        <v>366</v>
      </c>
      <c r="J1368" t="str">
        <f>IFERROR(VLOOKUP(I1368,[1]AUTOS!$C:$G,2,0),"")</f>
        <v>VENTO</v>
      </c>
      <c r="K1368">
        <f>IFERROR(VLOOKUP(I1368,[1]AUTOS!$C:$G,3,0),"")</f>
        <v>2019</v>
      </c>
      <c r="L1368" t="str">
        <f>IFERROR(VLOOKUP(I1368,[1]AUTOS!$C:$G,4,0),"")</f>
        <v>BLANCO</v>
      </c>
      <c r="M1368" t="s">
        <v>215</v>
      </c>
      <c r="N1368" s="3">
        <v>0</v>
      </c>
      <c r="O1368" s="3">
        <v>0</v>
      </c>
      <c r="P1368" s="3">
        <v>-2500</v>
      </c>
    </row>
    <row r="1369" spans="1:16" hidden="1" x14ac:dyDescent="0.3">
      <c r="A1369">
        <v>50</v>
      </c>
      <c r="B1369" t="str">
        <f>VLOOKUP($A1369,[1]LISTA!$B:$C,2,0)</f>
        <v>DICIEMBRE</v>
      </c>
      <c r="C1369" s="1">
        <v>2025</v>
      </c>
      <c r="D1369" s="1" t="str">
        <f>IF($A1369&lt;=[1]RESULTADOS!$D$6,"YTD","YTG")</f>
        <v>YTG</v>
      </c>
      <c r="E1369" t="s">
        <v>17</v>
      </c>
      <c r="F1369" t="s">
        <v>664</v>
      </c>
      <c r="G1369" t="s">
        <v>665</v>
      </c>
      <c r="H1369" t="s">
        <v>666</v>
      </c>
      <c r="I1369" t="s">
        <v>366</v>
      </c>
      <c r="J1369" t="str">
        <f>IFERROR(VLOOKUP(I1369,[1]AUTOS!$C:$G,2,0),"")</f>
        <v>VENTO</v>
      </c>
      <c r="K1369">
        <f>IFERROR(VLOOKUP(I1369,[1]AUTOS!$C:$G,3,0),"")</f>
        <v>2019</v>
      </c>
      <c r="L1369" t="str">
        <f>IFERROR(VLOOKUP(I1369,[1]AUTOS!$C:$G,4,0),"")</f>
        <v>BLANCO</v>
      </c>
      <c r="M1369" t="s">
        <v>215</v>
      </c>
      <c r="N1369" s="3">
        <v>0</v>
      </c>
      <c r="O1369" s="3">
        <v>0</v>
      </c>
      <c r="P1369" s="3">
        <v>-2500</v>
      </c>
    </row>
    <row r="1370" spans="1:16" hidden="1" x14ac:dyDescent="0.3">
      <c r="A1370">
        <v>51</v>
      </c>
      <c r="B1370" t="str">
        <f>VLOOKUP($A1370,[1]LISTA!$B:$C,2,0)</f>
        <v>DICIEMBRE</v>
      </c>
      <c r="C1370" s="1">
        <v>2025</v>
      </c>
      <c r="D1370" s="1" t="str">
        <f>IF($A1370&lt;=[1]RESULTADOS!$D$6,"YTD","YTG")</f>
        <v>YTG</v>
      </c>
      <c r="E1370" t="s">
        <v>17</v>
      </c>
      <c r="F1370" t="s">
        <v>664</v>
      </c>
      <c r="G1370" t="s">
        <v>665</v>
      </c>
      <c r="H1370" t="s">
        <v>666</v>
      </c>
      <c r="I1370" t="s">
        <v>366</v>
      </c>
      <c r="J1370" t="str">
        <f>IFERROR(VLOOKUP(I1370,[1]AUTOS!$C:$G,2,0),"")</f>
        <v>VENTO</v>
      </c>
      <c r="K1370">
        <f>IFERROR(VLOOKUP(I1370,[1]AUTOS!$C:$G,3,0),"")</f>
        <v>2019</v>
      </c>
      <c r="L1370" t="str">
        <f>IFERROR(VLOOKUP(I1370,[1]AUTOS!$C:$G,4,0),"")</f>
        <v>BLANCO</v>
      </c>
      <c r="M1370" t="s">
        <v>215</v>
      </c>
      <c r="N1370" s="3">
        <v>0</v>
      </c>
      <c r="O1370" s="3">
        <v>0</v>
      </c>
      <c r="P1370" s="3">
        <v>-2500</v>
      </c>
    </row>
    <row r="1371" spans="1:16" hidden="1" x14ac:dyDescent="0.3">
      <c r="A1371">
        <v>52</v>
      </c>
      <c r="B1371" t="str">
        <f>VLOOKUP($A1371,[1]LISTA!$B:$C,2,0)</f>
        <v>DICIEMBRE</v>
      </c>
      <c r="C1371" s="1">
        <v>2025</v>
      </c>
      <c r="D1371" s="1" t="str">
        <f>IF($A1371&lt;=[1]RESULTADOS!$D$6,"YTD","YTG")</f>
        <v>YTG</v>
      </c>
      <c r="E1371" t="s">
        <v>17</v>
      </c>
      <c r="F1371" t="s">
        <v>664</v>
      </c>
      <c r="G1371" t="s">
        <v>665</v>
      </c>
      <c r="H1371" t="s">
        <v>666</v>
      </c>
      <c r="I1371" t="s">
        <v>366</v>
      </c>
      <c r="J1371" t="str">
        <f>IFERROR(VLOOKUP(I1371,[1]AUTOS!$C:$G,2,0),"")</f>
        <v>VENTO</v>
      </c>
      <c r="K1371">
        <f>IFERROR(VLOOKUP(I1371,[1]AUTOS!$C:$G,3,0),"")</f>
        <v>2019</v>
      </c>
      <c r="L1371" t="str">
        <f>IFERROR(VLOOKUP(I1371,[1]AUTOS!$C:$G,4,0),"")</f>
        <v>BLANCO</v>
      </c>
      <c r="M1371" t="s">
        <v>215</v>
      </c>
      <c r="N1371" s="3">
        <v>0</v>
      </c>
      <c r="O1371" s="3">
        <v>0</v>
      </c>
      <c r="P1371" s="3">
        <v>-2500</v>
      </c>
    </row>
    <row r="1372" spans="1:16" hidden="1" x14ac:dyDescent="0.3">
      <c r="A1372">
        <v>32</v>
      </c>
      <c r="B1372" t="str">
        <f>VLOOKUP($A1372,[1]LISTA!$B:$C,2,0)</f>
        <v>AGOSTO</v>
      </c>
      <c r="C1372" s="1">
        <v>2025</v>
      </c>
      <c r="D1372" s="1" t="str">
        <f>IF($A1372&lt;=[1]RESULTADOS!$D$6,"YTD","YTG")</f>
        <v>YTD</v>
      </c>
      <c r="E1372" t="s">
        <v>17</v>
      </c>
      <c r="F1372" t="s">
        <v>664</v>
      </c>
      <c r="G1372" t="s">
        <v>665</v>
      </c>
      <c r="H1372" t="s">
        <v>666</v>
      </c>
      <c r="I1372" t="s">
        <v>383</v>
      </c>
      <c r="J1372" t="str">
        <f>IFERROR(VLOOKUP(I1372,[1]AUTOS!$C:$G,2,0),"")</f>
        <v>VENTO</v>
      </c>
      <c r="K1372">
        <f>IFERROR(VLOOKUP(I1372,[1]AUTOS!$C:$G,3,0),"")</f>
        <v>2020</v>
      </c>
      <c r="L1372" t="str">
        <f>IFERROR(VLOOKUP(I1372,[1]AUTOS!$C:$G,4,0),"")</f>
        <v>GRIS</v>
      </c>
      <c r="M1372" t="s">
        <v>215</v>
      </c>
      <c r="N1372" s="3">
        <v>0</v>
      </c>
      <c r="O1372" s="3">
        <v>0</v>
      </c>
      <c r="P1372" s="3">
        <v>-2500</v>
      </c>
    </row>
    <row r="1373" spans="1:16" hidden="1" x14ac:dyDescent="0.3">
      <c r="A1373">
        <v>33</v>
      </c>
      <c r="B1373" t="str">
        <f>VLOOKUP($A1373,[1]LISTA!$B:$C,2,0)</f>
        <v>AGOSTO</v>
      </c>
      <c r="C1373" s="1">
        <v>2025</v>
      </c>
      <c r="D1373" s="1" t="str">
        <f>IF($A1373&lt;=[1]RESULTADOS!$D$6,"YTD","YTG")</f>
        <v>YTD</v>
      </c>
      <c r="E1373" t="s">
        <v>17</v>
      </c>
      <c r="F1373" t="s">
        <v>664</v>
      </c>
      <c r="G1373" t="s">
        <v>665</v>
      </c>
      <c r="H1373" t="s">
        <v>666</v>
      </c>
      <c r="I1373" t="s">
        <v>383</v>
      </c>
      <c r="J1373" t="str">
        <f>IFERROR(VLOOKUP(I1373,[1]AUTOS!$C:$G,2,0),"")</f>
        <v>VENTO</v>
      </c>
      <c r="K1373">
        <f>IFERROR(VLOOKUP(I1373,[1]AUTOS!$C:$G,3,0),"")</f>
        <v>2020</v>
      </c>
      <c r="L1373" t="str">
        <f>IFERROR(VLOOKUP(I1373,[1]AUTOS!$C:$G,4,0),"")</f>
        <v>GRIS</v>
      </c>
      <c r="M1373" t="s">
        <v>215</v>
      </c>
      <c r="N1373" s="3">
        <v>0</v>
      </c>
      <c r="O1373" s="3">
        <v>0</v>
      </c>
      <c r="P1373" s="3">
        <v>-2500</v>
      </c>
    </row>
    <row r="1374" spans="1:16" hidden="1" x14ac:dyDescent="0.3">
      <c r="A1374">
        <v>34</v>
      </c>
      <c r="B1374" t="str">
        <f>VLOOKUP($A1374,[1]LISTA!$B:$C,2,0)</f>
        <v>AGOSTO</v>
      </c>
      <c r="C1374" s="1">
        <v>2025</v>
      </c>
      <c r="D1374" s="1" t="str">
        <f>IF($A1374&lt;=[1]RESULTADOS!$D$6,"YTD","YTG")</f>
        <v>YTD</v>
      </c>
      <c r="E1374" t="s">
        <v>17</v>
      </c>
      <c r="F1374" t="s">
        <v>664</v>
      </c>
      <c r="G1374" t="s">
        <v>665</v>
      </c>
      <c r="H1374" t="s">
        <v>666</v>
      </c>
      <c r="I1374" t="s">
        <v>383</v>
      </c>
      <c r="J1374" t="str">
        <f>IFERROR(VLOOKUP(I1374,[1]AUTOS!$C:$G,2,0),"")</f>
        <v>VENTO</v>
      </c>
      <c r="K1374">
        <f>IFERROR(VLOOKUP(I1374,[1]AUTOS!$C:$G,3,0),"")</f>
        <v>2020</v>
      </c>
      <c r="L1374" t="str">
        <f>IFERROR(VLOOKUP(I1374,[1]AUTOS!$C:$G,4,0),"")</f>
        <v>GRIS</v>
      </c>
      <c r="M1374" t="s">
        <v>215</v>
      </c>
      <c r="N1374" s="3">
        <v>0</v>
      </c>
      <c r="O1374" s="3">
        <v>0</v>
      </c>
      <c r="P1374" s="3">
        <v>-2500</v>
      </c>
    </row>
    <row r="1375" spans="1:16" hidden="1" x14ac:dyDescent="0.3">
      <c r="A1375">
        <v>35</v>
      </c>
      <c r="B1375" t="str">
        <f>VLOOKUP($A1375,[1]LISTA!$B:$C,2,0)</f>
        <v>AGOSTO</v>
      </c>
      <c r="C1375" s="1">
        <v>2025</v>
      </c>
      <c r="D1375" s="1" t="str">
        <f>IF($A1375&lt;=[1]RESULTADOS!$D$6,"YTD","YTG")</f>
        <v>YTD</v>
      </c>
      <c r="E1375" t="s">
        <v>17</v>
      </c>
      <c r="F1375" t="s">
        <v>664</v>
      </c>
      <c r="G1375" t="s">
        <v>665</v>
      </c>
      <c r="H1375" t="s">
        <v>666</v>
      </c>
      <c r="I1375" t="s">
        <v>383</v>
      </c>
      <c r="J1375" t="str">
        <f>IFERROR(VLOOKUP(I1375,[1]AUTOS!$C:$G,2,0),"")</f>
        <v>VENTO</v>
      </c>
      <c r="K1375">
        <f>IFERROR(VLOOKUP(I1375,[1]AUTOS!$C:$G,3,0),"")</f>
        <v>2020</v>
      </c>
      <c r="L1375" t="str">
        <f>IFERROR(VLOOKUP(I1375,[1]AUTOS!$C:$G,4,0),"")</f>
        <v>GRIS</v>
      </c>
      <c r="M1375" t="s">
        <v>215</v>
      </c>
      <c r="N1375" s="3">
        <v>0</v>
      </c>
      <c r="O1375" s="3">
        <v>0</v>
      </c>
      <c r="P1375" s="3">
        <v>-2500</v>
      </c>
    </row>
    <row r="1376" spans="1:16" hidden="1" x14ac:dyDescent="0.3">
      <c r="A1376">
        <v>36</v>
      </c>
      <c r="B1376" t="str">
        <f>VLOOKUP($A1376,[1]LISTA!$B:$C,2,0)</f>
        <v>SEPTIEMBRE</v>
      </c>
      <c r="C1376" s="1">
        <v>2025</v>
      </c>
      <c r="D1376" s="1" t="str">
        <f>IF($A1376&lt;=[1]RESULTADOS!$D$6,"YTD","YTG")</f>
        <v>YTD</v>
      </c>
      <c r="E1376" t="s">
        <v>17</v>
      </c>
      <c r="F1376" t="s">
        <v>664</v>
      </c>
      <c r="G1376" t="s">
        <v>665</v>
      </c>
      <c r="H1376" t="s">
        <v>666</v>
      </c>
      <c r="I1376" t="s">
        <v>383</v>
      </c>
      <c r="J1376" t="str">
        <f>IFERROR(VLOOKUP(I1376,[1]AUTOS!$C:$G,2,0),"")</f>
        <v>VENTO</v>
      </c>
      <c r="K1376">
        <f>IFERROR(VLOOKUP(I1376,[1]AUTOS!$C:$G,3,0),"")</f>
        <v>2020</v>
      </c>
      <c r="L1376" t="str">
        <f>IFERROR(VLOOKUP(I1376,[1]AUTOS!$C:$G,4,0),"")</f>
        <v>GRIS</v>
      </c>
      <c r="M1376" t="s">
        <v>215</v>
      </c>
      <c r="N1376" s="3">
        <v>0</v>
      </c>
      <c r="O1376" s="3">
        <v>0</v>
      </c>
      <c r="P1376" s="3">
        <v>-2500</v>
      </c>
    </row>
    <row r="1377" spans="1:16" hidden="1" x14ac:dyDescent="0.3">
      <c r="A1377">
        <v>37</v>
      </c>
      <c r="B1377" t="str">
        <f>VLOOKUP($A1377,[1]LISTA!$B:$C,2,0)</f>
        <v>SEPTIEMBRE</v>
      </c>
      <c r="C1377" s="1">
        <v>2025</v>
      </c>
      <c r="D1377" s="1" t="str">
        <f>IF($A1377&lt;=[1]RESULTADOS!$D$6,"YTD","YTG")</f>
        <v>YTD</v>
      </c>
      <c r="E1377" t="s">
        <v>17</v>
      </c>
      <c r="F1377" t="s">
        <v>664</v>
      </c>
      <c r="G1377" t="s">
        <v>665</v>
      </c>
      <c r="H1377" t="s">
        <v>666</v>
      </c>
      <c r="I1377" t="s">
        <v>383</v>
      </c>
      <c r="J1377" t="str">
        <f>IFERROR(VLOOKUP(I1377,[1]AUTOS!$C:$G,2,0),"")</f>
        <v>VENTO</v>
      </c>
      <c r="K1377">
        <f>IFERROR(VLOOKUP(I1377,[1]AUTOS!$C:$G,3,0),"")</f>
        <v>2020</v>
      </c>
      <c r="L1377" t="str">
        <f>IFERROR(VLOOKUP(I1377,[1]AUTOS!$C:$G,4,0),"")</f>
        <v>GRIS</v>
      </c>
      <c r="M1377" t="s">
        <v>215</v>
      </c>
      <c r="N1377" s="3">
        <v>0</v>
      </c>
      <c r="O1377" s="3">
        <v>0</v>
      </c>
      <c r="P1377" s="3">
        <v>-2500</v>
      </c>
    </row>
    <row r="1378" spans="1:16" hidden="1" x14ac:dyDescent="0.3">
      <c r="A1378">
        <v>38</v>
      </c>
      <c r="B1378" t="str">
        <f>VLOOKUP($A1378,[1]LISTA!$B:$C,2,0)</f>
        <v>SEPTIEMBRE</v>
      </c>
      <c r="C1378" s="1">
        <v>2025</v>
      </c>
      <c r="D1378" s="1" t="str">
        <f>IF($A1378&lt;=[1]RESULTADOS!$D$6,"YTD","YTG")</f>
        <v>YTD</v>
      </c>
      <c r="E1378" t="s">
        <v>17</v>
      </c>
      <c r="F1378" t="s">
        <v>664</v>
      </c>
      <c r="G1378" t="s">
        <v>665</v>
      </c>
      <c r="H1378" t="s">
        <v>666</v>
      </c>
      <c r="I1378" t="s">
        <v>383</v>
      </c>
      <c r="J1378" t="str">
        <f>IFERROR(VLOOKUP(I1378,[1]AUTOS!$C:$G,2,0),"")</f>
        <v>VENTO</v>
      </c>
      <c r="K1378">
        <f>IFERROR(VLOOKUP(I1378,[1]AUTOS!$C:$G,3,0),"")</f>
        <v>2020</v>
      </c>
      <c r="L1378" t="str">
        <f>IFERROR(VLOOKUP(I1378,[1]AUTOS!$C:$G,4,0),"")</f>
        <v>GRIS</v>
      </c>
      <c r="M1378" t="s">
        <v>215</v>
      </c>
      <c r="N1378" s="3">
        <v>0</v>
      </c>
      <c r="O1378" s="3">
        <v>0</v>
      </c>
      <c r="P1378" s="3">
        <v>-2500</v>
      </c>
    </row>
    <row r="1379" spans="1:16" hidden="1" x14ac:dyDescent="0.3">
      <c r="A1379">
        <v>39</v>
      </c>
      <c r="B1379" t="str">
        <f>VLOOKUP($A1379,[1]LISTA!$B:$C,2,0)</f>
        <v>SEPTIEMBRE</v>
      </c>
      <c r="C1379" s="1">
        <v>2025</v>
      </c>
      <c r="D1379" s="1" t="str">
        <f>IF($A1379&lt;=[1]RESULTADOS!$D$6,"YTD","YTG")</f>
        <v>YTD</v>
      </c>
      <c r="E1379" t="s">
        <v>17</v>
      </c>
      <c r="F1379" t="s">
        <v>664</v>
      </c>
      <c r="G1379" t="s">
        <v>665</v>
      </c>
      <c r="H1379" t="s">
        <v>666</v>
      </c>
      <c r="I1379" t="s">
        <v>383</v>
      </c>
      <c r="J1379" t="str">
        <f>IFERROR(VLOOKUP(I1379,[1]AUTOS!$C:$G,2,0),"")</f>
        <v>VENTO</v>
      </c>
      <c r="K1379">
        <f>IFERROR(VLOOKUP(I1379,[1]AUTOS!$C:$G,3,0),"")</f>
        <v>2020</v>
      </c>
      <c r="L1379" t="str">
        <f>IFERROR(VLOOKUP(I1379,[1]AUTOS!$C:$G,4,0),"")</f>
        <v>GRIS</v>
      </c>
      <c r="M1379" t="s">
        <v>215</v>
      </c>
      <c r="N1379" s="3">
        <v>0</v>
      </c>
      <c r="O1379" s="3">
        <v>0</v>
      </c>
      <c r="P1379" s="3">
        <v>-2500</v>
      </c>
    </row>
    <row r="1380" spans="1:16" hidden="1" x14ac:dyDescent="0.3">
      <c r="A1380">
        <v>40</v>
      </c>
      <c r="B1380" t="str">
        <f>VLOOKUP($A1380,[1]LISTA!$B:$C,2,0)</f>
        <v>OCTUBRE</v>
      </c>
      <c r="C1380" s="1">
        <v>2025</v>
      </c>
      <c r="D1380" s="1" t="str">
        <f>IF($A1380&lt;=[1]RESULTADOS!$D$6,"YTD","YTG")</f>
        <v>YTG</v>
      </c>
      <c r="E1380" t="s">
        <v>17</v>
      </c>
      <c r="F1380" t="s">
        <v>664</v>
      </c>
      <c r="G1380" t="s">
        <v>665</v>
      </c>
      <c r="H1380" t="s">
        <v>666</v>
      </c>
      <c r="I1380" t="s">
        <v>383</v>
      </c>
      <c r="J1380" t="str">
        <f>IFERROR(VLOOKUP(I1380,[1]AUTOS!$C:$G,2,0),"")</f>
        <v>VENTO</v>
      </c>
      <c r="K1380">
        <f>IFERROR(VLOOKUP(I1380,[1]AUTOS!$C:$G,3,0),"")</f>
        <v>2020</v>
      </c>
      <c r="L1380" t="str">
        <f>IFERROR(VLOOKUP(I1380,[1]AUTOS!$C:$G,4,0),"")</f>
        <v>GRIS</v>
      </c>
      <c r="M1380" t="s">
        <v>215</v>
      </c>
      <c r="N1380" s="3">
        <v>0</v>
      </c>
      <c r="O1380" s="3">
        <v>0</v>
      </c>
      <c r="P1380" s="3">
        <v>-2500</v>
      </c>
    </row>
    <row r="1381" spans="1:16" hidden="1" x14ac:dyDescent="0.3">
      <c r="A1381">
        <v>41</v>
      </c>
      <c r="B1381" t="str">
        <f>VLOOKUP($A1381,[1]LISTA!$B:$C,2,0)</f>
        <v>OCTUBRE</v>
      </c>
      <c r="C1381" s="1">
        <v>2025</v>
      </c>
      <c r="D1381" s="1" t="str">
        <f>IF($A1381&lt;=[1]RESULTADOS!$D$6,"YTD","YTG")</f>
        <v>YTG</v>
      </c>
      <c r="E1381" t="s">
        <v>17</v>
      </c>
      <c r="F1381" t="s">
        <v>664</v>
      </c>
      <c r="G1381" t="s">
        <v>665</v>
      </c>
      <c r="H1381" t="s">
        <v>666</v>
      </c>
      <c r="I1381" t="s">
        <v>383</v>
      </c>
      <c r="J1381" t="str">
        <f>IFERROR(VLOOKUP(I1381,[1]AUTOS!$C:$G,2,0),"")</f>
        <v>VENTO</v>
      </c>
      <c r="K1381">
        <f>IFERROR(VLOOKUP(I1381,[1]AUTOS!$C:$G,3,0),"")</f>
        <v>2020</v>
      </c>
      <c r="L1381" t="str">
        <f>IFERROR(VLOOKUP(I1381,[1]AUTOS!$C:$G,4,0),"")</f>
        <v>GRIS</v>
      </c>
      <c r="M1381" t="s">
        <v>215</v>
      </c>
      <c r="N1381" s="3">
        <v>0</v>
      </c>
      <c r="O1381" s="3">
        <v>0</v>
      </c>
      <c r="P1381" s="3">
        <v>-2500</v>
      </c>
    </row>
    <row r="1382" spans="1:16" hidden="1" x14ac:dyDescent="0.3">
      <c r="A1382">
        <v>42</v>
      </c>
      <c r="B1382" t="str">
        <f>VLOOKUP($A1382,[1]LISTA!$B:$C,2,0)</f>
        <v>OCTUBRE</v>
      </c>
      <c r="C1382" s="1">
        <v>2025</v>
      </c>
      <c r="D1382" s="1" t="str">
        <f>IF($A1382&lt;=[1]RESULTADOS!$D$6,"YTD","YTG")</f>
        <v>YTG</v>
      </c>
      <c r="E1382" t="s">
        <v>17</v>
      </c>
      <c r="F1382" t="s">
        <v>664</v>
      </c>
      <c r="G1382" t="s">
        <v>665</v>
      </c>
      <c r="H1382" t="s">
        <v>666</v>
      </c>
      <c r="I1382" t="s">
        <v>383</v>
      </c>
      <c r="J1382" t="str">
        <f>IFERROR(VLOOKUP(I1382,[1]AUTOS!$C:$G,2,0),"")</f>
        <v>VENTO</v>
      </c>
      <c r="K1382">
        <f>IFERROR(VLOOKUP(I1382,[1]AUTOS!$C:$G,3,0),"")</f>
        <v>2020</v>
      </c>
      <c r="L1382" t="str">
        <f>IFERROR(VLOOKUP(I1382,[1]AUTOS!$C:$G,4,0),"")</f>
        <v>GRIS</v>
      </c>
      <c r="M1382" t="s">
        <v>215</v>
      </c>
      <c r="N1382" s="3">
        <v>0</v>
      </c>
      <c r="O1382" s="3">
        <v>0</v>
      </c>
      <c r="P1382" s="3">
        <v>-2500</v>
      </c>
    </row>
    <row r="1383" spans="1:16" hidden="1" x14ac:dyDescent="0.3">
      <c r="A1383">
        <v>43</v>
      </c>
      <c r="B1383" t="str">
        <f>VLOOKUP($A1383,[1]LISTA!$B:$C,2,0)</f>
        <v>OCTUBRE</v>
      </c>
      <c r="C1383" s="1">
        <v>2025</v>
      </c>
      <c r="D1383" s="1" t="str">
        <f>IF($A1383&lt;=[1]RESULTADOS!$D$6,"YTD","YTG")</f>
        <v>YTG</v>
      </c>
      <c r="E1383" t="s">
        <v>17</v>
      </c>
      <c r="F1383" t="s">
        <v>664</v>
      </c>
      <c r="G1383" t="s">
        <v>665</v>
      </c>
      <c r="H1383" t="s">
        <v>666</v>
      </c>
      <c r="I1383" t="s">
        <v>383</v>
      </c>
      <c r="J1383" t="str">
        <f>IFERROR(VLOOKUP(I1383,[1]AUTOS!$C:$G,2,0),"")</f>
        <v>VENTO</v>
      </c>
      <c r="K1383">
        <f>IFERROR(VLOOKUP(I1383,[1]AUTOS!$C:$G,3,0),"")</f>
        <v>2020</v>
      </c>
      <c r="L1383" t="str">
        <f>IFERROR(VLOOKUP(I1383,[1]AUTOS!$C:$G,4,0),"")</f>
        <v>GRIS</v>
      </c>
      <c r="M1383" t="s">
        <v>215</v>
      </c>
      <c r="N1383" s="3">
        <v>0</v>
      </c>
      <c r="O1383" s="3">
        <v>0</v>
      </c>
      <c r="P1383" s="3">
        <v>-2500</v>
      </c>
    </row>
    <row r="1384" spans="1:16" hidden="1" x14ac:dyDescent="0.3">
      <c r="A1384">
        <v>44</v>
      </c>
      <c r="B1384" t="str">
        <f>VLOOKUP($A1384,[1]LISTA!$B:$C,2,0)</f>
        <v>OCTUBRE</v>
      </c>
      <c r="C1384" s="1">
        <v>2025</v>
      </c>
      <c r="D1384" s="1" t="str">
        <f>IF($A1384&lt;=[1]RESULTADOS!$D$6,"YTD","YTG")</f>
        <v>YTG</v>
      </c>
      <c r="E1384" t="s">
        <v>17</v>
      </c>
      <c r="F1384" t="s">
        <v>664</v>
      </c>
      <c r="G1384" t="s">
        <v>665</v>
      </c>
      <c r="H1384" t="s">
        <v>666</v>
      </c>
      <c r="I1384" t="s">
        <v>383</v>
      </c>
      <c r="J1384" t="str">
        <f>IFERROR(VLOOKUP(I1384,[1]AUTOS!$C:$G,2,0),"")</f>
        <v>VENTO</v>
      </c>
      <c r="K1384">
        <f>IFERROR(VLOOKUP(I1384,[1]AUTOS!$C:$G,3,0),"")</f>
        <v>2020</v>
      </c>
      <c r="L1384" t="str">
        <f>IFERROR(VLOOKUP(I1384,[1]AUTOS!$C:$G,4,0),"")</f>
        <v>GRIS</v>
      </c>
      <c r="M1384" t="s">
        <v>215</v>
      </c>
      <c r="N1384" s="3">
        <v>0</v>
      </c>
      <c r="O1384" s="3">
        <v>0</v>
      </c>
      <c r="P1384" s="3">
        <v>-2500</v>
      </c>
    </row>
    <row r="1385" spans="1:16" hidden="1" x14ac:dyDescent="0.3">
      <c r="A1385">
        <v>45</v>
      </c>
      <c r="B1385" t="str">
        <f>VLOOKUP($A1385,[1]LISTA!$B:$C,2,0)</f>
        <v>NOVIEMBRE</v>
      </c>
      <c r="C1385" s="1">
        <v>2025</v>
      </c>
      <c r="D1385" s="1" t="str">
        <f>IF($A1385&lt;=[1]RESULTADOS!$D$6,"YTD","YTG")</f>
        <v>YTG</v>
      </c>
      <c r="E1385" t="s">
        <v>17</v>
      </c>
      <c r="F1385" t="s">
        <v>664</v>
      </c>
      <c r="G1385" t="s">
        <v>665</v>
      </c>
      <c r="H1385" t="s">
        <v>666</v>
      </c>
      <c r="I1385" t="s">
        <v>383</v>
      </c>
      <c r="J1385" t="str">
        <f>IFERROR(VLOOKUP(I1385,[1]AUTOS!$C:$G,2,0),"")</f>
        <v>VENTO</v>
      </c>
      <c r="K1385">
        <f>IFERROR(VLOOKUP(I1385,[1]AUTOS!$C:$G,3,0),"")</f>
        <v>2020</v>
      </c>
      <c r="L1385" t="str">
        <f>IFERROR(VLOOKUP(I1385,[1]AUTOS!$C:$G,4,0),"")</f>
        <v>GRIS</v>
      </c>
      <c r="M1385" t="s">
        <v>215</v>
      </c>
      <c r="N1385" s="3">
        <v>0</v>
      </c>
      <c r="O1385" s="3">
        <v>0</v>
      </c>
      <c r="P1385" s="3">
        <v>-2500</v>
      </c>
    </row>
    <row r="1386" spans="1:16" hidden="1" x14ac:dyDescent="0.3">
      <c r="A1386">
        <v>46</v>
      </c>
      <c r="B1386" t="str">
        <f>VLOOKUP($A1386,[1]LISTA!$B:$C,2,0)</f>
        <v>NOVIEMBRE</v>
      </c>
      <c r="C1386" s="1">
        <v>2025</v>
      </c>
      <c r="D1386" s="1" t="str">
        <f>IF($A1386&lt;=[1]RESULTADOS!$D$6,"YTD","YTG")</f>
        <v>YTG</v>
      </c>
      <c r="E1386" t="s">
        <v>17</v>
      </c>
      <c r="F1386" t="s">
        <v>664</v>
      </c>
      <c r="G1386" t="s">
        <v>665</v>
      </c>
      <c r="H1386" t="s">
        <v>666</v>
      </c>
      <c r="I1386" t="s">
        <v>383</v>
      </c>
      <c r="J1386" t="str">
        <f>IFERROR(VLOOKUP(I1386,[1]AUTOS!$C:$G,2,0),"")</f>
        <v>VENTO</v>
      </c>
      <c r="K1386">
        <f>IFERROR(VLOOKUP(I1386,[1]AUTOS!$C:$G,3,0),"")</f>
        <v>2020</v>
      </c>
      <c r="L1386" t="str">
        <f>IFERROR(VLOOKUP(I1386,[1]AUTOS!$C:$G,4,0),"")</f>
        <v>GRIS</v>
      </c>
      <c r="M1386" t="s">
        <v>215</v>
      </c>
      <c r="N1386" s="3">
        <v>0</v>
      </c>
      <c r="O1386" s="3">
        <v>0</v>
      </c>
      <c r="P1386" s="3">
        <v>-2500</v>
      </c>
    </row>
    <row r="1387" spans="1:16" hidden="1" x14ac:dyDescent="0.3">
      <c r="A1387">
        <v>47</v>
      </c>
      <c r="B1387" t="str">
        <f>VLOOKUP($A1387,[1]LISTA!$B:$C,2,0)</f>
        <v>NOVIEMBRE</v>
      </c>
      <c r="C1387" s="1">
        <v>2025</v>
      </c>
      <c r="D1387" s="1" t="str">
        <f>IF($A1387&lt;=[1]RESULTADOS!$D$6,"YTD","YTG")</f>
        <v>YTG</v>
      </c>
      <c r="E1387" t="s">
        <v>17</v>
      </c>
      <c r="F1387" t="s">
        <v>664</v>
      </c>
      <c r="G1387" t="s">
        <v>665</v>
      </c>
      <c r="H1387" t="s">
        <v>666</v>
      </c>
      <c r="I1387" t="s">
        <v>383</v>
      </c>
      <c r="J1387" t="str">
        <f>IFERROR(VLOOKUP(I1387,[1]AUTOS!$C:$G,2,0),"")</f>
        <v>VENTO</v>
      </c>
      <c r="K1387">
        <f>IFERROR(VLOOKUP(I1387,[1]AUTOS!$C:$G,3,0),"")</f>
        <v>2020</v>
      </c>
      <c r="L1387" t="str">
        <f>IFERROR(VLOOKUP(I1387,[1]AUTOS!$C:$G,4,0),"")</f>
        <v>GRIS</v>
      </c>
      <c r="M1387" t="s">
        <v>215</v>
      </c>
      <c r="N1387" s="3">
        <v>0</v>
      </c>
      <c r="O1387" s="3">
        <v>0</v>
      </c>
      <c r="P1387" s="3">
        <v>-2500</v>
      </c>
    </row>
    <row r="1388" spans="1:16" hidden="1" x14ac:dyDescent="0.3">
      <c r="A1388">
        <v>48</v>
      </c>
      <c r="B1388" t="str">
        <f>VLOOKUP($A1388,[1]LISTA!$B:$C,2,0)</f>
        <v>NOVIEMBRE</v>
      </c>
      <c r="C1388" s="1">
        <v>2025</v>
      </c>
      <c r="D1388" s="1" t="str">
        <f>IF($A1388&lt;=[1]RESULTADOS!$D$6,"YTD","YTG")</f>
        <v>YTG</v>
      </c>
      <c r="E1388" t="s">
        <v>17</v>
      </c>
      <c r="F1388" t="s">
        <v>664</v>
      </c>
      <c r="G1388" t="s">
        <v>665</v>
      </c>
      <c r="H1388" t="s">
        <v>666</v>
      </c>
      <c r="I1388" t="s">
        <v>383</v>
      </c>
      <c r="J1388" t="str">
        <f>IFERROR(VLOOKUP(I1388,[1]AUTOS!$C:$G,2,0),"")</f>
        <v>VENTO</v>
      </c>
      <c r="K1388">
        <f>IFERROR(VLOOKUP(I1388,[1]AUTOS!$C:$G,3,0),"")</f>
        <v>2020</v>
      </c>
      <c r="L1388" t="str">
        <f>IFERROR(VLOOKUP(I1388,[1]AUTOS!$C:$G,4,0),"")</f>
        <v>GRIS</v>
      </c>
      <c r="M1388" t="s">
        <v>215</v>
      </c>
      <c r="N1388" s="3">
        <v>0</v>
      </c>
      <c r="O1388" s="3">
        <v>0</v>
      </c>
      <c r="P1388" s="3">
        <v>-2500</v>
      </c>
    </row>
    <row r="1389" spans="1:16" hidden="1" x14ac:dyDescent="0.3">
      <c r="A1389">
        <v>49</v>
      </c>
      <c r="B1389" t="str">
        <f>VLOOKUP($A1389,[1]LISTA!$B:$C,2,0)</f>
        <v>DICIEMBRE</v>
      </c>
      <c r="C1389" s="1">
        <v>2025</v>
      </c>
      <c r="D1389" s="1" t="str">
        <f>IF($A1389&lt;=[1]RESULTADOS!$D$6,"YTD","YTG")</f>
        <v>YTG</v>
      </c>
      <c r="E1389" t="s">
        <v>17</v>
      </c>
      <c r="F1389" t="s">
        <v>664</v>
      </c>
      <c r="G1389" t="s">
        <v>665</v>
      </c>
      <c r="H1389" t="s">
        <v>666</v>
      </c>
      <c r="I1389" t="s">
        <v>383</v>
      </c>
      <c r="J1389" t="str">
        <f>IFERROR(VLOOKUP(I1389,[1]AUTOS!$C:$G,2,0),"")</f>
        <v>VENTO</v>
      </c>
      <c r="K1389">
        <f>IFERROR(VLOOKUP(I1389,[1]AUTOS!$C:$G,3,0),"")</f>
        <v>2020</v>
      </c>
      <c r="L1389" t="str">
        <f>IFERROR(VLOOKUP(I1389,[1]AUTOS!$C:$G,4,0),"")</f>
        <v>GRIS</v>
      </c>
      <c r="M1389" t="s">
        <v>215</v>
      </c>
      <c r="N1389" s="3">
        <v>0</v>
      </c>
      <c r="O1389" s="3">
        <v>0</v>
      </c>
      <c r="P1389" s="3">
        <v>-2500</v>
      </c>
    </row>
    <row r="1390" spans="1:16" hidden="1" x14ac:dyDescent="0.3">
      <c r="A1390">
        <v>50</v>
      </c>
      <c r="B1390" t="str">
        <f>VLOOKUP($A1390,[1]LISTA!$B:$C,2,0)</f>
        <v>DICIEMBRE</v>
      </c>
      <c r="C1390" s="1">
        <v>2025</v>
      </c>
      <c r="D1390" s="1" t="str">
        <f>IF($A1390&lt;=[1]RESULTADOS!$D$6,"YTD","YTG")</f>
        <v>YTG</v>
      </c>
      <c r="E1390" t="s">
        <v>17</v>
      </c>
      <c r="F1390" t="s">
        <v>664</v>
      </c>
      <c r="G1390" t="s">
        <v>665</v>
      </c>
      <c r="H1390" t="s">
        <v>666</v>
      </c>
      <c r="I1390" t="s">
        <v>383</v>
      </c>
      <c r="J1390" t="str">
        <f>IFERROR(VLOOKUP(I1390,[1]AUTOS!$C:$G,2,0),"")</f>
        <v>VENTO</v>
      </c>
      <c r="K1390">
        <f>IFERROR(VLOOKUP(I1390,[1]AUTOS!$C:$G,3,0),"")</f>
        <v>2020</v>
      </c>
      <c r="L1390" t="str">
        <f>IFERROR(VLOOKUP(I1390,[1]AUTOS!$C:$G,4,0),"")</f>
        <v>GRIS</v>
      </c>
      <c r="M1390" t="s">
        <v>215</v>
      </c>
      <c r="N1390" s="3">
        <v>0</v>
      </c>
      <c r="O1390" s="3">
        <v>0</v>
      </c>
      <c r="P1390" s="3">
        <v>-2500</v>
      </c>
    </row>
    <row r="1391" spans="1:16" hidden="1" x14ac:dyDescent="0.3">
      <c r="A1391">
        <v>51</v>
      </c>
      <c r="B1391" t="str">
        <f>VLOOKUP($A1391,[1]LISTA!$B:$C,2,0)</f>
        <v>DICIEMBRE</v>
      </c>
      <c r="C1391" s="1">
        <v>2025</v>
      </c>
      <c r="D1391" s="1" t="str">
        <f>IF($A1391&lt;=[1]RESULTADOS!$D$6,"YTD","YTG")</f>
        <v>YTG</v>
      </c>
      <c r="E1391" t="s">
        <v>17</v>
      </c>
      <c r="F1391" t="s">
        <v>664</v>
      </c>
      <c r="G1391" t="s">
        <v>665</v>
      </c>
      <c r="H1391" t="s">
        <v>666</v>
      </c>
      <c r="I1391" t="s">
        <v>383</v>
      </c>
      <c r="J1391" t="str">
        <f>IFERROR(VLOOKUP(I1391,[1]AUTOS!$C:$G,2,0),"")</f>
        <v>VENTO</v>
      </c>
      <c r="K1391">
        <f>IFERROR(VLOOKUP(I1391,[1]AUTOS!$C:$G,3,0),"")</f>
        <v>2020</v>
      </c>
      <c r="L1391" t="str">
        <f>IFERROR(VLOOKUP(I1391,[1]AUTOS!$C:$G,4,0),"")</f>
        <v>GRIS</v>
      </c>
      <c r="M1391" t="s">
        <v>215</v>
      </c>
      <c r="N1391" s="3">
        <v>0</v>
      </c>
      <c r="O1391" s="3">
        <v>0</v>
      </c>
      <c r="P1391" s="3">
        <v>-2500</v>
      </c>
    </row>
    <row r="1392" spans="1:16" hidden="1" x14ac:dyDescent="0.3">
      <c r="A1392">
        <v>52</v>
      </c>
      <c r="B1392" t="str">
        <f>VLOOKUP($A1392,[1]LISTA!$B:$C,2,0)</f>
        <v>DICIEMBRE</v>
      </c>
      <c r="C1392" s="1">
        <v>2025</v>
      </c>
      <c r="D1392" s="1" t="str">
        <f>IF($A1392&lt;=[1]RESULTADOS!$D$6,"YTD","YTG")</f>
        <v>YTG</v>
      </c>
      <c r="E1392" t="s">
        <v>17</v>
      </c>
      <c r="F1392" t="s">
        <v>664</v>
      </c>
      <c r="G1392" t="s">
        <v>665</v>
      </c>
      <c r="H1392" t="s">
        <v>666</v>
      </c>
      <c r="I1392" t="s">
        <v>383</v>
      </c>
      <c r="J1392" t="str">
        <f>IFERROR(VLOOKUP(I1392,[1]AUTOS!$C:$G,2,0),"")</f>
        <v>VENTO</v>
      </c>
      <c r="K1392">
        <f>IFERROR(VLOOKUP(I1392,[1]AUTOS!$C:$G,3,0),"")</f>
        <v>2020</v>
      </c>
      <c r="L1392" t="str">
        <f>IFERROR(VLOOKUP(I1392,[1]AUTOS!$C:$G,4,0),"")</f>
        <v>GRIS</v>
      </c>
      <c r="M1392" t="s">
        <v>215</v>
      </c>
      <c r="N1392" s="3">
        <v>0</v>
      </c>
      <c r="O1392" s="3">
        <v>0</v>
      </c>
      <c r="P1392" s="3">
        <v>-2500</v>
      </c>
    </row>
    <row r="1393" spans="1:16" hidden="1" x14ac:dyDescent="0.3">
      <c r="A1393">
        <v>32</v>
      </c>
      <c r="B1393" t="str">
        <f>VLOOKUP($A1393,[1]LISTA!$B:$C,2,0)</f>
        <v>AGOSTO</v>
      </c>
      <c r="C1393" s="1">
        <v>2025</v>
      </c>
      <c r="D1393" s="1" t="str">
        <f>IF($A1393&lt;=[1]RESULTADOS!$D$6,"YTD","YTG")</f>
        <v>YTD</v>
      </c>
      <c r="E1393" t="s">
        <v>17</v>
      </c>
      <c r="F1393" t="s">
        <v>664</v>
      </c>
      <c r="G1393" t="s">
        <v>665</v>
      </c>
      <c r="H1393" t="s">
        <v>666</v>
      </c>
      <c r="I1393" t="s">
        <v>384</v>
      </c>
      <c r="J1393" t="str">
        <f>IFERROR(VLOOKUP(I1393,[1]AUTOS!$C:$G,2,0),"")</f>
        <v>MARCH</v>
      </c>
      <c r="K1393">
        <f>IFERROR(VLOOKUP(I1393,[1]AUTOS!$C:$G,3,0),"")</f>
        <v>2022</v>
      </c>
      <c r="L1393" t="str">
        <f>IFERROR(VLOOKUP(I1393,[1]AUTOS!$C:$G,4,0),"")</f>
        <v>BLANCO</v>
      </c>
      <c r="M1393" t="s">
        <v>215</v>
      </c>
      <c r="N1393" s="3">
        <v>0</v>
      </c>
      <c r="O1393" s="3">
        <v>0</v>
      </c>
      <c r="P1393" s="3">
        <v>-2500</v>
      </c>
    </row>
    <row r="1394" spans="1:16" hidden="1" x14ac:dyDescent="0.3">
      <c r="A1394">
        <v>33</v>
      </c>
      <c r="B1394" t="str">
        <f>VLOOKUP($A1394,[1]LISTA!$B:$C,2,0)</f>
        <v>AGOSTO</v>
      </c>
      <c r="C1394" s="1">
        <v>2025</v>
      </c>
      <c r="D1394" s="1" t="str">
        <f>IF($A1394&lt;=[1]RESULTADOS!$D$6,"YTD","YTG")</f>
        <v>YTD</v>
      </c>
      <c r="E1394" t="s">
        <v>17</v>
      </c>
      <c r="F1394" t="s">
        <v>664</v>
      </c>
      <c r="G1394" t="s">
        <v>665</v>
      </c>
      <c r="H1394" t="s">
        <v>666</v>
      </c>
      <c r="I1394" t="s">
        <v>384</v>
      </c>
      <c r="J1394" t="str">
        <f>IFERROR(VLOOKUP(I1394,[1]AUTOS!$C:$G,2,0),"")</f>
        <v>MARCH</v>
      </c>
      <c r="K1394">
        <f>IFERROR(VLOOKUP(I1394,[1]AUTOS!$C:$G,3,0),"")</f>
        <v>2022</v>
      </c>
      <c r="L1394" t="str">
        <f>IFERROR(VLOOKUP(I1394,[1]AUTOS!$C:$G,4,0),"")</f>
        <v>BLANCO</v>
      </c>
      <c r="M1394" t="s">
        <v>215</v>
      </c>
      <c r="N1394" s="3">
        <v>0</v>
      </c>
      <c r="O1394" s="3">
        <v>0</v>
      </c>
      <c r="P1394" s="3">
        <v>-2500</v>
      </c>
    </row>
    <row r="1395" spans="1:16" hidden="1" x14ac:dyDescent="0.3">
      <c r="A1395">
        <v>34</v>
      </c>
      <c r="B1395" t="str">
        <f>VLOOKUP($A1395,[1]LISTA!$B:$C,2,0)</f>
        <v>AGOSTO</v>
      </c>
      <c r="C1395" s="1">
        <v>2025</v>
      </c>
      <c r="D1395" s="1" t="str">
        <f>IF($A1395&lt;=[1]RESULTADOS!$D$6,"YTD","YTG")</f>
        <v>YTD</v>
      </c>
      <c r="E1395" t="s">
        <v>17</v>
      </c>
      <c r="F1395" t="s">
        <v>664</v>
      </c>
      <c r="G1395" t="s">
        <v>665</v>
      </c>
      <c r="H1395" t="s">
        <v>666</v>
      </c>
      <c r="I1395" t="s">
        <v>384</v>
      </c>
      <c r="J1395" t="str">
        <f>IFERROR(VLOOKUP(I1395,[1]AUTOS!$C:$G,2,0),"")</f>
        <v>MARCH</v>
      </c>
      <c r="K1395">
        <f>IFERROR(VLOOKUP(I1395,[1]AUTOS!$C:$G,3,0),"")</f>
        <v>2022</v>
      </c>
      <c r="L1395" t="str">
        <f>IFERROR(VLOOKUP(I1395,[1]AUTOS!$C:$G,4,0),"")</f>
        <v>BLANCO</v>
      </c>
      <c r="M1395" t="s">
        <v>215</v>
      </c>
      <c r="N1395" s="3">
        <v>0</v>
      </c>
      <c r="O1395" s="3">
        <v>0</v>
      </c>
      <c r="P1395" s="3">
        <v>-2500</v>
      </c>
    </row>
    <row r="1396" spans="1:16" hidden="1" x14ac:dyDescent="0.3">
      <c r="A1396">
        <v>35</v>
      </c>
      <c r="B1396" t="str">
        <f>VLOOKUP($A1396,[1]LISTA!$B:$C,2,0)</f>
        <v>AGOSTO</v>
      </c>
      <c r="C1396" s="1">
        <v>2025</v>
      </c>
      <c r="D1396" s="1" t="str">
        <f>IF($A1396&lt;=[1]RESULTADOS!$D$6,"YTD","YTG")</f>
        <v>YTD</v>
      </c>
      <c r="E1396" t="s">
        <v>17</v>
      </c>
      <c r="F1396" t="s">
        <v>664</v>
      </c>
      <c r="G1396" t="s">
        <v>665</v>
      </c>
      <c r="H1396" t="s">
        <v>666</v>
      </c>
      <c r="I1396" t="s">
        <v>384</v>
      </c>
      <c r="J1396" t="str">
        <f>IFERROR(VLOOKUP(I1396,[1]AUTOS!$C:$G,2,0),"")</f>
        <v>MARCH</v>
      </c>
      <c r="K1396">
        <f>IFERROR(VLOOKUP(I1396,[1]AUTOS!$C:$G,3,0),"")</f>
        <v>2022</v>
      </c>
      <c r="L1396" t="str">
        <f>IFERROR(VLOOKUP(I1396,[1]AUTOS!$C:$G,4,0),"")</f>
        <v>BLANCO</v>
      </c>
      <c r="M1396" t="s">
        <v>215</v>
      </c>
      <c r="N1396" s="3">
        <v>0</v>
      </c>
      <c r="O1396" s="3">
        <v>0</v>
      </c>
      <c r="P1396" s="3">
        <v>-2500</v>
      </c>
    </row>
    <row r="1397" spans="1:16" hidden="1" x14ac:dyDescent="0.3">
      <c r="A1397">
        <v>36</v>
      </c>
      <c r="B1397" t="str">
        <f>VLOOKUP($A1397,[1]LISTA!$B:$C,2,0)</f>
        <v>SEPTIEMBRE</v>
      </c>
      <c r="C1397" s="1">
        <v>2025</v>
      </c>
      <c r="D1397" s="1" t="str">
        <f>IF($A1397&lt;=[1]RESULTADOS!$D$6,"YTD","YTG")</f>
        <v>YTD</v>
      </c>
      <c r="E1397" t="s">
        <v>17</v>
      </c>
      <c r="F1397" t="s">
        <v>664</v>
      </c>
      <c r="G1397" t="s">
        <v>665</v>
      </c>
      <c r="H1397" t="s">
        <v>666</v>
      </c>
      <c r="I1397" t="s">
        <v>384</v>
      </c>
      <c r="J1397" t="str">
        <f>IFERROR(VLOOKUP(I1397,[1]AUTOS!$C:$G,2,0),"")</f>
        <v>MARCH</v>
      </c>
      <c r="K1397">
        <f>IFERROR(VLOOKUP(I1397,[1]AUTOS!$C:$G,3,0),"")</f>
        <v>2022</v>
      </c>
      <c r="L1397" t="str">
        <f>IFERROR(VLOOKUP(I1397,[1]AUTOS!$C:$G,4,0),"")</f>
        <v>BLANCO</v>
      </c>
      <c r="M1397" t="s">
        <v>215</v>
      </c>
      <c r="N1397" s="3">
        <v>0</v>
      </c>
      <c r="O1397" s="3">
        <v>0</v>
      </c>
      <c r="P1397" s="3">
        <v>-2500</v>
      </c>
    </row>
    <row r="1398" spans="1:16" hidden="1" x14ac:dyDescent="0.3">
      <c r="A1398">
        <v>37</v>
      </c>
      <c r="B1398" t="str">
        <f>VLOOKUP($A1398,[1]LISTA!$B:$C,2,0)</f>
        <v>SEPTIEMBRE</v>
      </c>
      <c r="C1398" s="1">
        <v>2025</v>
      </c>
      <c r="D1398" s="1" t="str">
        <f>IF($A1398&lt;=[1]RESULTADOS!$D$6,"YTD","YTG")</f>
        <v>YTD</v>
      </c>
      <c r="E1398" t="s">
        <v>17</v>
      </c>
      <c r="F1398" t="s">
        <v>664</v>
      </c>
      <c r="G1398" t="s">
        <v>665</v>
      </c>
      <c r="H1398" t="s">
        <v>666</v>
      </c>
      <c r="I1398" t="s">
        <v>384</v>
      </c>
      <c r="J1398" t="str">
        <f>IFERROR(VLOOKUP(I1398,[1]AUTOS!$C:$G,2,0),"")</f>
        <v>MARCH</v>
      </c>
      <c r="K1398">
        <f>IFERROR(VLOOKUP(I1398,[1]AUTOS!$C:$G,3,0),"")</f>
        <v>2022</v>
      </c>
      <c r="L1398" t="str">
        <f>IFERROR(VLOOKUP(I1398,[1]AUTOS!$C:$G,4,0),"")</f>
        <v>BLANCO</v>
      </c>
      <c r="M1398" t="s">
        <v>215</v>
      </c>
      <c r="N1398" s="3">
        <v>0</v>
      </c>
      <c r="O1398" s="3">
        <v>0</v>
      </c>
      <c r="P1398" s="3">
        <v>-2500</v>
      </c>
    </row>
    <row r="1399" spans="1:16" hidden="1" x14ac:dyDescent="0.3">
      <c r="A1399">
        <v>38</v>
      </c>
      <c r="B1399" t="str">
        <f>VLOOKUP($A1399,[1]LISTA!$B:$C,2,0)</f>
        <v>SEPTIEMBRE</v>
      </c>
      <c r="C1399" s="1">
        <v>2025</v>
      </c>
      <c r="D1399" s="1" t="str">
        <f>IF($A1399&lt;=[1]RESULTADOS!$D$6,"YTD","YTG")</f>
        <v>YTD</v>
      </c>
      <c r="E1399" t="s">
        <v>17</v>
      </c>
      <c r="F1399" t="s">
        <v>664</v>
      </c>
      <c r="G1399" t="s">
        <v>665</v>
      </c>
      <c r="H1399" t="s">
        <v>666</v>
      </c>
      <c r="I1399" t="s">
        <v>384</v>
      </c>
      <c r="J1399" t="str">
        <f>IFERROR(VLOOKUP(I1399,[1]AUTOS!$C:$G,2,0),"")</f>
        <v>MARCH</v>
      </c>
      <c r="K1399">
        <f>IFERROR(VLOOKUP(I1399,[1]AUTOS!$C:$G,3,0),"")</f>
        <v>2022</v>
      </c>
      <c r="L1399" t="str">
        <f>IFERROR(VLOOKUP(I1399,[1]AUTOS!$C:$G,4,0),"")</f>
        <v>BLANCO</v>
      </c>
      <c r="M1399" t="s">
        <v>215</v>
      </c>
      <c r="N1399" s="3">
        <v>0</v>
      </c>
      <c r="O1399" s="3">
        <v>0</v>
      </c>
      <c r="P1399" s="3">
        <v>-2500</v>
      </c>
    </row>
    <row r="1400" spans="1:16" hidden="1" x14ac:dyDescent="0.3">
      <c r="A1400">
        <v>39</v>
      </c>
      <c r="B1400" t="str">
        <f>VLOOKUP($A1400,[1]LISTA!$B:$C,2,0)</f>
        <v>SEPTIEMBRE</v>
      </c>
      <c r="C1400" s="1">
        <v>2025</v>
      </c>
      <c r="D1400" s="1" t="str">
        <f>IF($A1400&lt;=[1]RESULTADOS!$D$6,"YTD","YTG")</f>
        <v>YTD</v>
      </c>
      <c r="E1400" t="s">
        <v>17</v>
      </c>
      <c r="F1400" t="s">
        <v>664</v>
      </c>
      <c r="G1400" t="s">
        <v>665</v>
      </c>
      <c r="H1400" t="s">
        <v>666</v>
      </c>
      <c r="I1400" t="s">
        <v>384</v>
      </c>
      <c r="J1400" t="str">
        <f>IFERROR(VLOOKUP(I1400,[1]AUTOS!$C:$G,2,0),"")</f>
        <v>MARCH</v>
      </c>
      <c r="K1400">
        <f>IFERROR(VLOOKUP(I1400,[1]AUTOS!$C:$G,3,0),"")</f>
        <v>2022</v>
      </c>
      <c r="L1400" t="str">
        <f>IFERROR(VLOOKUP(I1400,[1]AUTOS!$C:$G,4,0),"")</f>
        <v>BLANCO</v>
      </c>
      <c r="M1400" t="s">
        <v>215</v>
      </c>
      <c r="N1400" s="3">
        <v>0</v>
      </c>
      <c r="O1400" s="3">
        <v>0</v>
      </c>
      <c r="P1400" s="3">
        <v>-2500</v>
      </c>
    </row>
    <row r="1401" spans="1:16" hidden="1" x14ac:dyDescent="0.3">
      <c r="A1401">
        <v>40</v>
      </c>
      <c r="B1401" t="str">
        <f>VLOOKUP($A1401,[1]LISTA!$B:$C,2,0)</f>
        <v>OCTUBRE</v>
      </c>
      <c r="C1401" s="1">
        <v>2025</v>
      </c>
      <c r="D1401" s="1" t="str">
        <f>IF($A1401&lt;=[1]RESULTADOS!$D$6,"YTD","YTG")</f>
        <v>YTG</v>
      </c>
      <c r="E1401" t="s">
        <v>17</v>
      </c>
      <c r="F1401" t="s">
        <v>664</v>
      </c>
      <c r="G1401" t="s">
        <v>665</v>
      </c>
      <c r="H1401" t="s">
        <v>666</v>
      </c>
      <c r="I1401" t="s">
        <v>384</v>
      </c>
      <c r="J1401" t="str">
        <f>IFERROR(VLOOKUP(I1401,[1]AUTOS!$C:$G,2,0),"")</f>
        <v>MARCH</v>
      </c>
      <c r="K1401">
        <f>IFERROR(VLOOKUP(I1401,[1]AUTOS!$C:$G,3,0),"")</f>
        <v>2022</v>
      </c>
      <c r="L1401" t="str">
        <f>IFERROR(VLOOKUP(I1401,[1]AUTOS!$C:$G,4,0),"")</f>
        <v>BLANCO</v>
      </c>
      <c r="M1401" t="s">
        <v>215</v>
      </c>
      <c r="N1401" s="3">
        <v>0</v>
      </c>
      <c r="O1401" s="3">
        <v>0</v>
      </c>
      <c r="P1401" s="3">
        <v>-2500</v>
      </c>
    </row>
    <row r="1402" spans="1:16" hidden="1" x14ac:dyDescent="0.3">
      <c r="A1402">
        <v>41</v>
      </c>
      <c r="B1402" t="str">
        <f>VLOOKUP($A1402,[1]LISTA!$B:$C,2,0)</f>
        <v>OCTUBRE</v>
      </c>
      <c r="C1402" s="1">
        <v>2025</v>
      </c>
      <c r="D1402" s="1" t="str">
        <f>IF($A1402&lt;=[1]RESULTADOS!$D$6,"YTD","YTG")</f>
        <v>YTG</v>
      </c>
      <c r="E1402" t="s">
        <v>17</v>
      </c>
      <c r="F1402" t="s">
        <v>664</v>
      </c>
      <c r="G1402" t="s">
        <v>665</v>
      </c>
      <c r="H1402" t="s">
        <v>666</v>
      </c>
      <c r="I1402" t="s">
        <v>384</v>
      </c>
      <c r="J1402" t="str">
        <f>IFERROR(VLOOKUP(I1402,[1]AUTOS!$C:$G,2,0),"")</f>
        <v>MARCH</v>
      </c>
      <c r="K1402">
        <f>IFERROR(VLOOKUP(I1402,[1]AUTOS!$C:$G,3,0),"")</f>
        <v>2022</v>
      </c>
      <c r="L1402" t="str">
        <f>IFERROR(VLOOKUP(I1402,[1]AUTOS!$C:$G,4,0),"")</f>
        <v>BLANCO</v>
      </c>
      <c r="M1402" t="s">
        <v>215</v>
      </c>
      <c r="N1402" s="3">
        <v>0</v>
      </c>
      <c r="O1402" s="3">
        <v>0</v>
      </c>
      <c r="P1402" s="3">
        <v>-2500</v>
      </c>
    </row>
    <row r="1403" spans="1:16" hidden="1" x14ac:dyDescent="0.3">
      <c r="A1403">
        <v>42</v>
      </c>
      <c r="B1403" t="str">
        <f>VLOOKUP($A1403,[1]LISTA!$B:$C,2,0)</f>
        <v>OCTUBRE</v>
      </c>
      <c r="C1403" s="1">
        <v>2025</v>
      </c>
      <c r="D1403" s="1" t="str">
        <f>IF($A1403&lt;=[1]RESULTADOS!$D$6,"YTD","YTG")</f>
        <v>YTG</v>
      </c>
      <c r="E1403" t="s">
        <v>17</v>
      </c>
      <c r="F1403" t="s">
        <v>664</v>
      </c>
      <c r="G1403" t="s">
        <v>665</v>
      </c>
      <c r="H1403" t="s">
        <v>666</v>
      </c>
      <c r="I1403" t="s">
        <v>384</v>
      </c>
      <c r="J1403" t="str">
        <f>IFERROR(VLOOKUP(I1403,[1]AUTOS!$C:$G,2,0),"")</f>
        <v>MARCH</v>
      </c>
      <c r="K1403">
        <f>IFERROR(VLOOKUP(I1403,[1]AUTOS!$C:$G,3,0),"")</f>
        <v>2022</v>
      </c>
      <c r="L1403" t="str">
        <f>IFERROR(VLOOKUP(I1403,[1]AUTOS!$C:$G,4,0),"")</f>
        <v>BLANCO</v>
      </c>
      <c r="M1403" t="s">
        <v>215</v>
      </c>
      <c r="N1403" s="3">
        <v>0</v>
      </c>
      <c r="O1403" s="3">
        <v>0</v>
      </c>
      <c r="P1403" s="3">
        <v>-2500</v>
      </c>
    </row>
    <row r="1404" spans="1:16" hidden="1" x14ac:dyDescent="0.3">
      <c r="A1404">
        <v>43</v>
      </c>
      <c r="B1404" t="str">
        <f>VLOOKUP($A1404,[1]LISTA!$B:$C,2,0)</f>
        <v>OCTUBRE</v>
      </c>
      <c r="C1404" s="1">
        <v>2025</v>
      </c>
      <c r="D1404" s="1" t="str">
        <f>IF($A1404&lt;=[1]RESULTADOS!$D$6,"YTD","YTG")</f>
        <v>YTG</v>
      </c>
      <c r="E1404" t="s">
        <v>17</v>
      </c>
      <c r="F1404" t="s">
        <v>664</v>
      </c>
      <c r="G1404" t="s">
        <v>665</v>
      </c>
      <c r="H1404" t="s">
        <v>666</v>
      </c>
      <c r="I1404" t="s">
        <v>384</v>
      </c>
      <c r="J1404" t="str">
        <f>IFERROR(VLOOKUP(I1404,[1]AUTOS!$C:$G,2,0),"")</f>
        <v>MARCH</v>
      </c>
      <c r="K1404">
        <f>IFERROR(VLOOKUP(I1404,[1]AUTOS!$C:$G,3,0),"")</f>
        <v>2022</v>
      </c>
      <c r="L1404" t="str">
        <f>IFERROR(VLOOKUP(I1404,[1]AUTOS!$C:$G,4,0),"")</f>
        <v>BLANCO</v>
      </c>
      <c r="M1404" t="s">
        <v>215</v>
      </c>
      <c r="N1404" s="3">
        <v>0</v>
      </c>
      <c r="O1404" s="3">
        <v>0</v>
      </c>
      <c r="P1404" s="3">
        <v>-2500</v>
      </c>
    </row>
    <row r="1405" spans="1:16" hidden="1" x14ac:dyDescent="0.3">
      <c r="A1405">
        <v>44</v>
      </c>
      <c r="B1405" t="str">
        <f>VLOOKUP($A1405,[1]LISTA!$B:$C,2,0)</f>
        <v>OCTUBRE</v>
      </c>
      <c r="C1405" s="1">
        <v>2025</v>
      </c>
      <c r="D1405" s="1" t="str">
        <f>IF($A1405&lt;=[1]RESULTADOS!$D$6,"YTD","YTG")</f>
        <v>YTG</v>
      </c>
      <c r="E1405" t="s">
        <v>17</v>
      </c>
      <c r="F1405" t="s">
        <v>664</v>
      </c>
      <c r="G1405" t="s">
        <v>665</v>
      </c>
      <c r="H1405" t="s">
        <v>666</v>
      </c>
      <c r="I1405" t="s">
        <v>384</v>
      </c>
      <c r="J1405" t="str">
        <f>IFERROR(VLOOKUP(I1405,[1]AUTOS!$C:$G,2,0),"")</f>
        <v>MARCH</v>
      </c>
      <c r="K1405">
        <f>IFERROR(VLOOKUP(I1405,[1]AUTOS!$C:$G,3,0),"")</f>
        <v>2022</v>
      </c>
      <c r="L1405" t="str">
        <f>IFERROR(VLOOKUP(I1405,[1]AUTOS!$C:$G,4,0),"")</f>
        <v>BLANCO</v>
      </c>
      <c r="M1405" t="s">
        <v>215</v>
      </c>
      <c r="N1405" s="3">
        <v>0</v>
      </c>
      <c r="O1405" s="3">
        <v>0</v>
      </c>
      <c r="P1405" s="3">
        <v>-2500</v>
      </c>
    </row>
    <row r="1406" spans="1:16" hidden="1" x14ac:dyDescent="0.3">
      <c r="A1406">
        <v>45</v>
      </c>
      <c r="B1406" t="str">
        <f>VLOOKUP($A1406,[1]LISTA!$B:$C,2,0)</f>
        <v>NOVIEMBRE</v>
      </c>
      <c r="C1406" s="1">
        <v>2025</v>
      </c>
      <c r="D1406" s="1" t="str">
        <f>IF($A1406&lt;=[1]RESULTADOS!$D$6,"YTD","YTG")</f>
        <v>YTG</v>
      </c>
      <c r="E1406" t="s">
        <v>17</v>
      </c>
      <c r="F1406" t="s">
        <v>664</v>
      </c>
      <c r="G1406" t="s">
        <v>665</v>
      </c>
      <c r="H1406" t="s">
        <v>666</v>
      </c>
      <c r="I1406" t="s">
        <v>384</v>
      </c>
      <c r="J1406" t="str">
        <f>IFERROR(VLOOKUP(I1406,[1]AUTOS!$C:$G,2,0),"")</f>
        <v>MARCH</v>
      </c>
      <c r="K1406">
        <f>IFERROR(VLOOKUP(I1406,[1]AUTOS!$C:$G,3,0),"")</f>
        <v>2022</v>
      </c>
      <c r="L1406" t="str">
        <f>IFERROR(VLOOKUP(I1406,[1]AUTOS!$C:$G,4,0),"")</f>
        <v>BLANCO</v>
      </c>
      <c r="M1406" t="s">
        <v>215</v>
      </c>
      <c r="N1406" s="3">
        <v>0</v>
      </c>
      <c r="O1406" s="3">
        <v>0</v>
      </c>
      <c r="P1406" s="3">
        <v>-2500</v>
      </c>
    </row>
    <row r="1407" spans="1:16" hidden="1" x14ac:dyDescent="0.3">
      <c r="A1407">
        <v>46</v>
      </c>
      <c r="B1407" t="str">
        <f>VLOOKUP($A1407,[1]LISTA!$B:$C,2,0)</f>
        <v>NOVIEMBRE</v>
      </c>
      <c r="C1407" s="1">
        <v>2025</v>
      </c>
      <c r="D1407" s="1" t="str">
        <f>IF($A1407&lt;=[1]RESULTADOS!$D$6,"YTD","YTG")</f>
        <v>YTG</v>
      </c>
      <c r="E1407" t="s">
        <v>17</v>
      </c>
      <c r="F1407" t="s">
        <v>664</v>
      </c>
      <c r="G1407" t="s">
        <v>665</v>
      </c>
      <c r="H1407" t="s">
        <v>666</v>
      </c>
      <c r="I1407" t="s">
        <v>384</v>
      </c>
      <c r="J1407" t="str">
        <f>IFERROR(VLOOKUP(I1407,[1]AUTOS!$C:$G,2,0),"")</f>
        <v>MARCH</v>
      </c>
      <c r="K1407">
        <f>IFERROR(VLOOKUP(I1407,[1]AUTOS!$C:$G,3,0),"")</f>
        <v>2022</v>
      </c>
      <c r="L1407" t="str">
        <f>IFERROR(VLOOKUP(I1407,[1]AUTOS!$C:$G,4,0),"")</f>
        <v>BLANCO</v>
      </c>
      <c r="M1407" t="s">
        <v>215</v>
      </c>
      <c r="N1407" s="3">
        <v>0</v>
      </c>
      <c r="O1407" s="3">
        <v>0</v>
      </c>
      <c r="P1407" s="3">
        <v>-2500</v>
      </c>
    </row>
    <row r="1408" spans="1:16" hidden="1" x14ac:dyDescent="0.3">
      <c r="A1408">
        <v>47</v>
      </c>
      <c r="B1408" t="str">
        <f>VLOOKUP($A1408,[1]LISTA!$B:$C,2,0)</f>
        <v>NOVIEMBRE</v>
      </c>
      <c r="C1408" s="1">
        <v>2025</v>
      </c>
      <c r="D1408" s="1" t="str">
        <f>IF($A1408&lt;=[1]RESULTADOS!$D$6,"YTD","YTG")</f>
        <v>YTG</v>
      </c>
      <c r="E1408" t="s">
        <v>17</v>
      </c>
      <c r="F1408" t="s">
        <v>664</v>
      </c>
      <c r="G1408" t="s">
        <v>665</v>
      </c>
      <c r="H1408" t="s">
        <v>666</v>
      </c>
      <c r="I1408" t="s">
        <v>384</v>
      </c>
      <c r="J1408" t="str">
        <f>IFERROR(VLOOKUP(I1408,[1]AUTOS!$C:$G,2,0),"")</f>
        <v>MARCH</v>
      </c>
      <c r="K1408">
        <f>IFERROR(VLOOKUP(I1408,[1]AUTOS!$C:$G,3,0),"")</f>
        <v>2022</v>
      </c>
      <c r="L1408" t="str">
        <f>IFERROR(VLOOKUP(I1408,[1]AUTOS!$C:$G,4,0),"")</f>
        <v>BLANCO</v>
      </c>
      <c r="M1408" t="s">
        <v>215</v>
      </c>
      <c r="N1408" s="3">
        <v>0</v>
      </c>
      <c r="O1408" s="3">
        <v>0</v>
      </c>
      <c r="P1408" s="3">
        <v>-2500</v>
      </c>
    </row>
    <row r="1409" spans="1:16" hidden="1" x14ac:dyDescent="0.3">
      <c r="A1409">
        <v>48</v>
      </c>
      <c r="B1409" t="str">
        <f>VLOOKUP($A1409,[1]LISTA!$B:$C,2,0)</f>
        <v>NOVIEMBRE</v>
      </c>
      <c r="C1409" s="1">
        <v>2025</v>
      </c>
      <c r="D1409" s="1" t="str">
        <f>IF($A1409&lt;=[1]RESULTADOS!$D$6,"YTD","YTG")</f>
        <v>YTG</v>
      </c>
      <c r="E1409" t="s">
        <v>17</v>
      </c>
      <c r="F1409" t="s">
        <v>664</v>
      </c>
      <c r="G1409" t="s">
        <v>665</v>
      </c>
      <c r="H1409" t="s">
        <v>666</v>
      </c>
      <c r="I1409" t="s">
        <v>384</v>
      </c>
      <c r="J1409" t="str">
        <f>IFERROR(VLOOKUP(I1409,[1]AUTOS!$C:$G,2,0),"")</f>
        <v>MARCH</v>
      </c>
      <c r="K1409">
        <f>IFERROR(VLOOKUP(I1409,[1]AUTOS!$C:$G,3,0),"")</f>
        <v>2022</v>
      </c>
      <c r="L1409" t="str">
        <f>IFERROR(VLOOKUP(I1409,[1]AUTOS!$C:$G,4,0),"")</f>
        <v>BLANCO</v>
      </c>
      <c r="M1409" t="s">
        <v>215</v>
      </c>
      <c r="N1409" s="3">
        <v>0</v>
      </c>
      <c r="O1409" s="3">
        <v>0</v>
      </c>
      <c r="P1409" s="3">
        <v>-2500</v>
      </c>
    </row>
    <row r="1410" spans="1:16" hidden="1" x14ac:dyDescent="0.3">
      <c r="A1410">
        <v>49</v>
      </c>
      <c r="B1410" t="str">
        <f>VLOOKUP($A1410,[1]LISTA!$B:$C,2,0)</f>
        <v>DICIEMBRE</v>
      </c>
      <c r="C1410" s="1">
        <v>2025</v>
      </c>
      <c r="D1410" s="1" t="str">
        <f>IF($A1410&lt;=[1]RESULTADOS!$D$6,"YTD","YTG")</f>
        <v>YTG</v>
      </c>
      <c r="E1410" t="s">
        <v>17</v>
      </c>
      <c r="F1410" t="s">
        <v>664</v>
      </c>
      <c r="G1410" t="s">
        <v>665</v>
      </c>
      <c r="H1410" t="s">
        <v>666</v>
      </c>
      <c r="I1410" t="s">
        <v>384</v>
      </c>
      <c r="J1410" t="str">
        <f>IFERROR(VLOOKUP(I1410,[1]AUTOS!$C:$G,2,0),"")</f>
        <v>MARCH</v>
      </c>
      <c r="K1410">
        <f>IFERROR(VLOOKUP(I1410,[1]AUTOS!$C:$G,3,0),"")</f>
        <v>2022</v>
      </c>
      <c r="L1410" t="str">
        <f>IFERROR(VLOOKUP(I1410,[1]AUTOS!$C:$G,4,0),"")</f>
        <v>BLANCO</v>
      </c>
      <c r="M1410" t="s">
        <v>215</v>
      </c>
      <c r="N1410" s="3">
        <v>0</v>
      </c>
      <c r="O1410" s="3">
        <v>0</v>
      </c>
      <c r="P1410" s="3">
        <v>-2500</v>
      </c>
    </row>
    <row r="1411" spans="1:16" hidden="1" x14ac:dyDescent="0.3">
      <c r="A1411">
        <v>50</v>
      </c>
      <c r="B1411" t="str">
        <f>VLOOKUP($A1411,[1]LISTA!$B:$C,2,0)</f>
        <v>DICIEMBRE</v>
      </c>
      <c r="C1411" s="1">
        <v>2025</v>
      </c>
      <c r="D1411" s="1" t="str">
        <f>IF($A1411&lt;=[1]RESULTADOS!$D$6,"YTD","YTG")</f>
        <v>YTG</v>
      </c>
      <c r="E1411" t="s">
        <v>17</v>
      </c>
      <c r="F1411" t="s">
        <v>664</v>
      </c>
      <c r="G1411" t="s">
        <v>665</v>
      </c>
      <c r="H1411" t="s">
        <v>666</v>
      </c>
      <c r="I1411" t="s">
        <v>384</v>
      </c>
      <c r="J1411" t="str">
        <f>IFERROR(VLOOKUP(I1411,[1]AUTOS!$C:$G,2,0),"")</f>
        <v>MARCH</v>
      </c>
      <c r="K1411">
        <f>IFERROR(VLOOKUP(I1411,[1]AUTOS!$C:$G,3,0),"")</f>
        <v>2022</v>
      </c>
      <c r="L1411" t="str">
        <f>IFERROR(VLOOKUP(I1411,[1]AUTOS!$C:$G,4,0),"")</f>
        <v>BLANCO</v>
      </c>
      <c r="M1411" t="s">
        <v>215</v>
      </c>
      <c r="N1411" s="3">
        <v>0</v>
      </c>
      <c r="O1411" s="3">
        <v>0</v>
      </c>
      <c r="P1411" s="3">
        <v>-2500</v>
      </c>
    </row>
    <row r="1412" spans="1:16" hidden="1" x14ac:dyDescent="0.3">
      <c r="A1412">
        <v>51</v>
      </c>
      <c r="B1412" t="str">
        <f>VLOOKUP($A1412,[1]LISTA!$B:$C,2,0)</f>
        <v>DICIEMBRE</v>
      </c>
      <c r="C1412" s="1">
        <v>2025</v>
      </c>
      <c r="D1412" s="1" t="str">
        <f>IF($A1412&lt;=[1]RESULTADOS!$D$6,"YTD","YTG")</f>
        <v>YTG</v>
      </c>
      <c r="E1412" t="s">
        <v>17</v>
      </c>
      <c r="F1412" t="s">
        <v>664</v>
      </c>
      <c r="G1412" t="s">
        <v>665</v>
      </c>
      <c r="H1412" t="s">
        <v>666</v>
      </c>
      <c r="I1412" t="s">
        <v>384</v>
      </c>
      <c r="J1412" t="str">
        <f>IFERROR(VLOOKUP(I1412,[1]AUTOS!$C:$G,2,0),"")</f>
        <v>MARCH</v>
      </c>
      <c r="K1412">
        <f>IFERROR(VLOOKUP(I1412,[1]AUTOS!$C:$G,3,0),"")</f>
        <v>2022</v>
      </c>
      <c r="L1412" t="str">
        <f>IFERROR(VLOOKUP(I1412,[1]AUTOS!$C:$G,4,0),"")</f>
        <v>BLANCO</v>
      </c>
      <c r="M1412" t="s">
        <v>215</v>
      </c>
      <c r="N1412" s="3">
        <v>0</v>
      </c>
      <c r="O1412" s="3">
        <v>0</v>
      </c>
      <c r="P1412" s="3">
        <v>-2500</v>
      </c>
    </row>
    <row r="1413" spans="1:16" hidden="1" x14ac:dyDescent="0.3">
      <c r="A1413">
        <v>52</v>
      </c>
      <c r="B1413" t="str">
        <f>VLOOKUP($A1413,[1]LISTA!$B:$C,2,0)</f>
        <v>DICIEMBRE</v>
      </c>
      <c r="C1413" s="1">
        <v>2025</v>
      </c>
      <c r="D1413" s="1" t="str">
        <f>IF($A1413&lt;=[1]RESULTADOS!$D$6,"YTD","YTG")</f>
        <v>YTG</v>
      </c>
      <c r="E1413" t="s">
        <v>17</v>
      </c>
      <c r="F1413" t="s">
        <v>664</v>
      </c>
      <c r="G1413" t="s">
        <v>665</v>
      </c>
      <c r="H1413" t="s">
        <v>666</v>
      </c>
      <c r="I1413" t="s">
        <v>384</v>
      </c>
      <c r="J1413" t="str">
        <f>IFERROR(VLOOKUP(I1413,[1]AUTOS!$C:$G,2,0),"")</f>
        <v>MARCH</v>
      </c>
      <c r="K1413">
        <f>IFERROR(VLOOKUP(I1413,[1]AUTOS!$C:$G,3,0),"")</f>
        <v>2022</v>
      </c>
      <c r="L1413" t="str">
        <f>IFERROR(VLOOKUP(I1413,[1]AUTOS!$C:$G,4,0),"")</f>
        <v>BLANCO</v>
      </c>
      <c r="M1413" t="s">
        <v>215</v>
      </c>
      <c r="N1413" s="3">
        <v>0</v>
      </c>
      <c r="O1413" s="3">
        <v>0</v>
      </c>
      <c r="P1413" s="3">
        <v>-2500</v>
      </c>
    </row>
    <row r="1414" spans="1:16" hidden="1" x14ac:dyDescent="0.3">
      <c r="A1414">
        <v>25</v>
      </c>
      <c r="B1414" t="str">
        <f>VLOOKUP($A1414,[1]LISTA!$B:$C,2,0)</f>
        <v>JUNIO</v>
      </c>
      <c r="C1414" s="1">
        <v>2025</v>
      </c>
      <c r="D1414" s="1" t="str">
        <f>IF($A1414&lt;=[1]RESULTADOS!$D$6,"YTD","YTG")</f>
        <v>YTD</v>
      </c>
      <c r="E1414" t="s">
        <v>17</v>
      </c>
      <c r="F1414" t="s">
        <v>664</v>
      </c>
      <c r="G1414" t="s">
        <v>665</v>
      </c>
      <c r="H1414" t="s">
        <v>666</v>
      </c>
      <c r="I1414" t="s">
        <v>313</v>
      </c>
      <c r="J1414" t="str">
        <f>IFERROR(VLOOKUP(I1414,[1]AUTOS!$C:$G,2,0),"")</f>
        <v>MARCH</v>
      </c>
      <c r="K1414">
        <f>IFERROR(VLOOKUP(I1414,[1]AUTOS!$C:$G,3,0),"")</f>
        <v>2019</v>
      </c>
      <c r="L1414" t="str">
        <f>IFERROR(VLOOKUP(I1414,[1]AUTOS!$C:$G,4,0),"")</f>
        <v>TURQ</v>
      </c>
      <c r="M1414" t="s">
        <v>140</v>
      </c>
      <c r="N1414" s="3">
        <v>0</v>
      </c>
      <c r="O1414" s="3">
        <v>0</v>
      </c>
      <c r="P1414" s="3">
        <v>-2500</v>
      </c>
    </row>
    <row r="1415" spans="1:16" hidden="1" x14ac:dyDescent="0.3">
      <c r="A1415">
        <v>26</v>
      </c>
      <c r="B1415" t="str">
        <f>VLOOKUP($A1415,[1]LISTA!$B:$C,2,0)</f>
        <v>JUNIO</v>
      </c>
      <c r="C1415" s="1">
        <v>2025</v>
      </c>
      <c r="D1415" s="1" t="str">
        <f>IF($A1415&lt;=[1]RESULTADOS!$D$6,"YTD","YTG")</f>
        <v>YTD</v>
      </c>
      <c r="E1415" t="s">
        <v>17</v>
      </c>
      <c r="F1415" t="s">
        <v>664</v>
      </c>
      <c r="G1415" t="s">
        <v>665</v>
      </c>
      <c r="H1415" t="s">
        <v>666</v>
      </c>
      <c r="I1415" t="s">
        <v>313</v>
      </c>
      <c r="J1415" t="str">
        <f>IFERROR(VLOOKUP(I1415,[1]AUTOS!$C:$G,2,0),"")</f>
        <v>MARCH</v>
      </c>
      <c r="K1415">
        <f>IFERROR(VLOOKUP(I1415,[1]AUTOS!$C:$G,3,0),"")</f>
        <v>2019</v>
      </c>
      <c r="L1415" t="str">
        <f>IFERROR(VLOOKUP(I1415,[1]AUTOS!$C:$G,4,0),"")</f>
        <v>TURQ</v>
      </c>
      <c r="M1415" t="s">
        <v>140</v>
      </c>
      <c r="N1415" s="3">
        <v>0</v>
      </c>
      <c r="O1415" s="3">
        <v>0</v>
      </c>
      <c r="P1415" s="3">
        <v>-2500</v>
      </c>
    </row>
    <row r="1416" spans="1:16" hidden="1" x14ac:dyDescent="0.3">
      <c r="A1416">
        <v>27</v>
      </c>
      <c r="B1416" t="str">
        <f>VLOOKUP($A1416,[1]LISTA!$B:$C,2,0)</f>
        <v>JULIO</v>
      </c>
      <c r="C1416" s="1">
        <v>2025</v>
      </c>
      <c r="D1416" s="1" t="str">
        <f>IF($A1416&lt;=[1]RESULTADOS!$D$6,"YTD","YTG")</f>
        <v>YTD</v>
      </c>
      <c r="E1416" t="s">
        <v>17</v>
      </c>
      <c r="F1416" t="s">
        <v>664</v>
      </c>
      <c r="G1416" t="s">
        <v>665</v>
      </c>
      <c r="H1416" t="s">
        <v>666</v>
      </c>
      <c r="I1416" t="s">
        <v>313</v>
      </c>
      <c r="J1416" t="str">
        <f>IFERROR(VLOOKUP(I1416,[1]AUTOS!$C:$G,2,0),"")</f>
        <v>MARCH</v>
      </c>
      <c r="K1416">
        <f>IFERROR(VLOOKUP(I1416,[1]AUTOS!$C:$G,3,0),"")</f>
        <v>2019</v>
      </c>
      <c r="L1416" t="str">
        <f>IFERROR(VLOOKUP(I1416,[1]AUTOS!$C:$G,4,0),"")</f>
        <v>TURQ</v>
      </c>
      <c r="M1416" t="s">
        <v>140</v>
      </c>
      <c r="N1416" s="3">
        <v>0</v>
      </c>
      <c r="O1416" s="3">
        <v>0</v>
      </c>
      <c r="P1416" s="3">
        <v>-2500</v>
      </c>
    </row>
    <row r="1417" spans="1:16" hidden="1" x14ac:dyDescent="0.3">
      <c r="A1417">
        <v>28</v>
      </c>
      <c r="B1417" t="str">
        <f>VLOOKUP($A1417,[1]LISTA!$B:$C,2,0)</f>
        <v>JULIO</v>
      </c>
      <c r="C1417" s="1">
        <v>2025</v>
      </c>
      <c r="D1417" s="1" t="str">
        <f>IF($A1417&lt;=[1]RESULTADOS!$D$6,"YTD","YTG")</f>
        <v>YTD</v>
      </c>
      <c r="E1417" t="s">
        <v>17</v>
      </c>
      <c r="F1417" t="s">
        <v>664</v>
      </c>
      <c r="G1417" t="s">
        <v>665</v>
      </c>
      <c r="H1417" t="s">
        <v>666</v>
      </c>
      <c r="I1417" t="s">
        <v>313</v>
      </c>
      <c r="J1417" t="str">
        <f>IFERROR(VLOOKUP(I1417,[1]AUTOS!$C:$G,2,0),"")</f>
        <v>MARCH</v>
      </c>
      <c r="K1417">
        <f>IFERROR(VLOOKUP(I1417,[1]AUTOS!$C:$G,3,0),"")</f>
        <v>2019</v>
      </c>
      <c r="L1417" t="str">
        <f>IFERROR(VLOOKUP(I1417,[1]AUTOS!$C:$G,4,0),"")</f>
        <v>TURQ</v>
      </c>
      <c r="M1417" t="s">
        <v>140</v>
      </c>
      <c r="N1417" s="3">
        <v>0</v>
      </c>
      <c r="O1417" s="3">
        <v>0</v>
      </c>
      <c r="P1417" s="3">
        <v>-2500</v>
      </c>
    </row>
    <row r="1418" spans="1:16" hidden="1" x14ac:dyDescent="0.3">
      <c r="A1418">
        <v>29</v>
      </c>
      <c r="B1418" t="str">
        <f>VLOOKUP($A1418,[1]LISTA!$B:$C,2,0)</f>
        <v>JULIO</v>
      </c>
      <c r="C1418" s="1">
        <v>2025</v>
      </c>
      <c r="D1418" s="1" t="str">
        <f>IF($A1418&lt;=[1]RESULTADOS!$D$6,"YTD","YTG")</f>
        <v>YTD</v>
      </c>
      <c r="E1418" t="s">
        <v>17</v>
      </c>
      <c r="F1418" t="s">
        <v>664</v>
      </c>
      <c r="G1418" t="s">
        <v>665</v>
      </c>
      <c r="H1418" t="s">
        <v>666</v>
      </c>
      <c r="I1418" t="s">
        <v>313</v>
      </c>
      <c r="J1418" t="str">
        <f>IFERROR(VLOOKUP(I1418,[1]AUTOS!$C:$G,2,0),"")</f>
        <v>MARCH</v>
      </c>
      <c r="K1418">
        <f>IFERROR(VLOOKUP(I1418,[1]AUTOS!$C:$G,3,0),"")</f>
        <v>2019</v>
      </c>
      <c r="L1418" t="str">
        <f>IFERROR(VLOOKUP(I1418,[1]AUTOS!$C:$G,4,0),"")</f>
        <v>TURQ</v>
      </c>
      <c r="M1418" t="s">
        <v>140</v>
      </c>
      <c r="N1418" s="3">
        <v>0</v>
      </c>
      <c r="O1418" s="3">
        <v>0</v>
      </c>
      <c r="P1418" s="3">
        <v>-2500</v>
      </c>
    </row>
    <row r="1419" spans="1:16" hidden="1" x14ac:dyDescent="0.3">
      <c r="A1419">
        <v>30</v>
      </c>
      <c r="B1419" t="str">
        <f>VLOOKUP($A1419,[1]LISTA!$B:$C,2,0)</f>
        <v>JULIO</v>
      </c>
      <c r="C1419" s="1">
        <v>2025</v>
      </c>
      <c r="D1419" s="1" t="str">
        <f>IF($A1419&lt;=[1]RESULTADOS!$D$6,"YTD","YTG")</f>
        <v>YTD</v>
      </c>
      <c r="E1419" t="s">
        <v>17</v>
      </c>
      <c r="F1419" t="s">
        <v>664</v>
      </c>
      <c r="G1419" t="s">
        <v>665</v>
      </c>
      <c r="H1419" t="s">
        <v>666</v>
      </c>
      <c r="I1419" t="s">
        <v>313</v>
      </c>
      <c r="J1419" t="str">
        <f>IFERROR(VLOOKUP(I1419,[1]AUTOS!$C:$G,2,0),"")</f>
        <v>MARCH</v>
      </c>
      <c r="K1419">
        <f>IFERROR(VLOOKUP(I1419,[1]AUTOS!$C:$G,3,0),"")</f>
        <v>2019</v>
      </c>
      <c r="L1419" t="str">
        <f>IFERROR(VLOOKUP(I1419,[1]AUTOS!$C:$G,4,0),"")</f>
        <v>TURQ</v>
      </c>
      <c r="M1419" t="s">
        <v>140</v>
      </c>
      <c r="N1419" s="3">
        <v>0</v>
      </c>
      <c r="O1419" s="3">
        <v>0</v>
      </c>
      <c r="P1419" s="3">
        <v>-2500</v>
      </c>
    </row>
    <row r="1420" spans="1:16" hidden="1" x14ac:dyDescent="0.3">
      <c r="A1420">
        <v>31</v>
      </c>
      <c r="B1420" t="str">
        <f>VLOOKUP($A1420,[1]LISTA!$B:$C,2,0)</f>
        <v>JULIO</v>
      </c>
      <c r="C1420" s="1">
        <v>2025</v>
      </c>
      <c r="D1420" s="1" t="str">
        <f>IF($A1420&lt;=[1]RESULTADOS!$D$6,"YTD","YTG")</f>
        <v>YTD</v>
      </c>
      <c r="E1420" t="s">
        <v>17</v>
      </c>
      <c r="F1420" t="s">
        <v>664</v>
      </c>
      <c r="G1420" t="s">
        <v>665</v>
      </c>
      <c r="H1420" t="s">
        <v>666</v>
      </c>
      <c r="I1420" t="s">
        <v>313</v>
      </c>
      <c r="J1420" t="str">
        <f>IFERROR(VLOOKUP(I1420,[1]AUTOS!$C:$G,2,0),"")</f>
        <v>MARCH</v>
      </c>
      <c r="K1420">
        <f>IFERROR(VLOOKUP(I1420,[1]AUTOS!$C:$G,3,0),"")</f>
        <v>2019</v>
      </c>
      <c r="L1420" t="str">
        <f>IFERROR(VLOOKUP(I1420,[1]AUTOS!$C:$G,4,0),"")</f>
        <v>TURQ</v>
      </c>
      <c r="M1420" t="s">
        <v>140</v>
      </c>
      <c r="N1420" s="3">
        <v>0</v>
      </c>
      <c r="O1420" s="3">
        <v>0</v>
      </c>
      <c r="P1420" s="3">
        <v>-2500</v>
      </c>
    </row>
    <row r="1421" spans="1:16" hidden="1" x14ac:dyDescent="0.3">
      <c r="A1421">
        <v>32</v>
      </c>
      <c r="B1421" t="str">
        <f>VLOOKUP($A1421,[1]LISTA!$B:$C,2,0)</f>
        <v>AGOSTO</v>
      </c>
      <c r="C1421" s="1">
        <v>2025</v>
      </c>
      <c r="D1421" s="1" t="str">
        <f>IF($A1421&lt;=[1]RESULTADOS!$D$6,"YTD","YTG")</f>
        <v>YTD</v>
      </c>
      <c r="E1421" t="s">
        <v>17</v>
      </c>
      <c r="F1421" t="s">
        <v>664</v>
      </c>
      <c r="G1421" t="s">
        <v>665</v>
      </c>
      <c r="H1421" t="s">
        <v>666</v>
      </c>
      <c r="I1421" t="s">
        <v>313</v>
      </c>
      <c r="J1421" t="str">
        <f>IFERROR(VLOOKUP(I1421,[1]AUTOS!$C:$G,2,0),"")</f>
        <v>MARCH</v>
      </c>
      <c r="K1421">
        <f>IFERROR(VLOOKUP(I1421,[1]AUTOS!$C:$G,3,0),"")</f>
        <v>2019</v>
      </c>
      <c r="L1421" t="str">
        <f>IFERROR(VLOOKUP(I1421,[1]AUTOS!$C:$G,4,0),"")</f>
        <v>TURQ</v>
      </c>
      <c r="M1421" t="s">
        <v>140</v>
      </c>
      <c r="N1421" s="3">
        <v>0</v>
      </c>
      <c r="O1421" s="3">
        <v>0</v>
      </c>
      <c r="P1421" s="3">
        <v>-2500</v>
      </c>
    </row>
    <row r="1422" spans="1:16" hidden="1" x14ac:dyDescent="0.3">
      <c r="A1422">
        <v>33</v>
      </c>
      <c r="B1422" t="str">
        <f>VLOOKUP($A1422,[1]LISTA!$B:$C,2,0)</f>
        <v>AGOSTO</v>
      </c>
      <c r="C1422" s="1">
        <v>2025</v>
      </c>
      <c r="D1422" s="1" t="str">
        <f>IF($A1422&lt;=[1]RESULTADOS!$D$6,"YTD","YTG")</f>
        <v>YTD</v>
      </c>
      <c r="E1422" t="s">
        <v>17</v>
      </c>
      <c r="F1422" t="s">
        <v>664</v>
      </c>
      <c r="G1422" t="s">
        <v>665</v>
      </c>
      <c r="H1422" t="s">
        <v>666</v>
      </c>
      <c r="I1422" t="s">
        <v>313</v>
      </c>
      <c r="J1422" t="str">
        <f>IFERROR(VLOOKUP(I1422,[1]AUTOS!$C:$G,2,0),"")</f>
        <v>MARCH</v>
      </c>
      <c r="K1422">
        <f>IFERROR(VLOOKUP(I1422,[1]AUTOS!$C:$G,3,0),"")</f>
        <v>2019</v>
      </c>
      <c r="L1422" t="str">
        <f>IFERROR(VLOOKUP(I1422,[1]AUTOS!$C:$G,4,0),"")</f>
        <v>TURQ</v>
      </c>
      <c r="M1422" t="s">
        <v>140</v>
      </c>
      <c r="N1422" s="3">
        <v>0</v>
      </c>
      <c r="O1422" s="3">
        <v>0</v>
      </c>
      <c r="P1422" s="3">
        <v>-2500</v>
      </c>
    </row>
    <row r="1423" spans="1:16" hidden="1" x14ac:dyDescent="0.3">
      <c r="A1423">
        <v>34</v>
      </c>
      <c r="B1423" t="str">
        <f>VLOOKUP($A1423,[1]LISTA!$B:$C,2,0)</f>
        <v>AGOSTO</v>
      </c>
      <c r="C1423" s="1">
        <v>2025</v>
      </c>
      <c r="D1423" s="1" t="str">
        <f>IF($A1423&lt;=[1]RESULTADOS!$D$6,"YTD","YTG")</f>
        <v>YTD</v>
      </c>
      <c r="E1423" t="s">
        <v>17</v>
      </c>
      <c r="F1423" t="s">
        <v>664</v>
      </c>
      <c r="G1423" t="s">
        <v>665</v>
      </c>
      <c r="H1423" t="s">
        <v>666</v>
      </c>
      <c r="I1423" t="s">
        <v>313</v>
      </c>
      <c r="J1423" t="str">
        <f>IFERROR(VLOOKUP(I1423,[1]AUTOS!$C:$G,2,0),"")</f>
        <v>MARCH</v>
      </c>
      <c r="K1423">
        <f>IFERROR(VLOOKUP(I1423,[1]AUTOS!$C:$G,3,0),"")</f>
        <v>2019</v>
      </c>
      <c r="L1423" t="str">
        <f>IFERROR(VLOOKUP(I1423,[1]AUTOS!$C:$G,4,0),"")</f>
        <v>TURQ</v>
      </c>
      <c r="M1423" t="s">
        <v>140</v>
      </c>
      <c r="N1423" s="3">
        <v>0</v>
      </c>
      <c r="O1423" s="3">
        <v>0</v>
      </c>
      <c r="P1423" s="3">
        <v>-2500</v>
      </c>
    </row>
    <row r="1424" spans="1:16" hidden="1" x14ac:dyDescent="0.3">
      <c r="A1424">
        <v>35</v>
      </c>
      <c r="B1424" t="str">
        <f>VLOOKUP($A1424,[1]LISTA!$B:$C,2,0)</f>
        <v>AGOSTO</v>
      </c>
      <c r="C1424" s="1">
        <v>2025</v>
      </c>
      <c r="D1424" s="1" t="str">
        <f>IF($A1424&lt;=[1]RESULTADOS!$D$6,"YTD","YTG")</f>
        <v>YTD</v>
      </c>
      <c r="E1424" t="s">
        <v>17</v>
      </c>
      <c r="F1424" t="s">
        <v>664</v>
      </c>
      <c r="G1424" t="s">
        <v>665</v>
      </c>
      <c r="H1424" t="s">
        <v>666</v>
      </c>
      <c r="I1424" t="s">
        <v>313</v>
      </c>
      <c r="J1424" t="str">
        <f>IFERROR(VLOOKUP(I1424,[1]AUTOS!$C:$G,2,0),"")</f>
        <v>MARCH</v>
      </c>
      <c r="K1424">
        <f>IFERROR(VLOOKUP(I1424,[1]AUTOS!$C:$G,3,0),"")</f>
        <v>2019</v>
      </c>
      <c r="L1424" t="str">
        <f>IFERROR(VLOOKUP(I1424,[1]AUTOS!$C:$G,4,0),"")</f>
        <v>TURQ</v>
      </c>
      <c r="M1424" t="s">
        <v>140</v>
      </c>
      <c r="N1424" s="3">
        <v>0</v>
      </c>
      <c r="O1424" s="3">
        <v>0</v>
      </c>
      <c r="P1424" s="3">
        <v>-2500</v>
      </c>
    </row>
    <row r="1425" spans="1:16" hidden="1" x14ac:dyDescent="0.3">
      <c r="A1425">
        <v>36</v>
      </c>
      <c r="B1425" t="str">
        <f>VLOOKUP($A1425,[1]LISTA!$B:$C,2,0)</f>
        <v>SEPTIEMBRE</v>
      </c>
      <c r="C1425" s="1">
        <v>2025</v>
      </c>
      <c r="D1425" s="1" t="str">
        <f>IF($A1425&lt;=[1]RESULTADOS!$D$6,"YTD","YTG")</f>
        <v>YTD</v>
      </c>
      <c r="E1425" t="s">
        <v>17</v>
      </c>
      <c r="F1425" t="s">
        <v>664</v>
      </c>
      <c r="G1425" t="s">
        <v>665</v>
      </c>
      <c r="H1425" t="s">
        <v>666</v>
      </c>
      <c r="I1425" t="s">
        <v>313</v>
      </c>
      <c r="J1425" t="str">
        <f>IFERROR(VLOOKUP(I1425,[1]AUTOS!$C:$G,2,0),"")</f>
        <v>MARCH</v>
      </c>
      <c r="K1425">
        <f>IFERROR(VLOOKUP(I1425,[1]AUTOS!$C:$G,3,0),"")</f>
        <v>2019</v>
      </c>
      <c r="L1425" t="str">
        <f>IFERROR(VLOOKUP(I1425,[1]AUTOS!$C:$G,4,0),"")</f>
        <v>TURQ</v>
      </c>
      <c r="M1425" t="s">
        <v>140</v>
      </c>
      <c r="N1425" s="3">
        <v>0</v>
      </c>
      <c r="O1425" s="3">
        <v>0</v>
      </c>
      <c r="P1425" s="3">
        <v>-2500</v>
      </c>
    </row>
    <row r="1426" spans="1:16" hidden="1" x14ac:dyDescent="0.3">
      <c r="A1426">
        <v>37</v>
      </c>
      <c r="B1426" t="str">
        <f>VLOOKUP($A1426,[1]LISTA!$B:$C,2,0)</f>
        <v>SEPTIEMBRE</v>
      </c>
      <c r="C1426" s="1">
        <v>2025</v>
      </c>
      <c r="D1426" s="1" t="str">
        <f>IF($A1426&lt;=[1]RESULTADOS!$D$6,"YTD","YTG")</f>
        <v>YTD</v>
      </c>
      <c r="E1426" t="s">
        <v>17</v>
      </c>
      <c r="F1426" t="s">
        <v>664</v>
      </c>
      <c r="G1426" t="s">
        <v>665</v>
      </c>
      <c r="H1426" t="s">
        <v>666</v>
      </c>
      <c r="I1426" t="s">
        <v>313</v>
      </c>
      <c r="J1426" t="str">
        <f>IFERROR(VLOOKUP(I1426,[1]AUTOS!$C:$G,2,0),"")</f>
        <v>MARCH</v>
      </c>
      <c r="K1426">
        <f>IFERROR(VLOOKUP(I1426,[1]AUTOS!$C:$G,3,0),"")</f>
        <v>2019</v>
      </c>
      <c r="L1426" t="str">
        <f>IFERROR(VLOOKUP(I1426,[1]AUTOS!$C:$G,4,0),"")</f>
        <v>TURQ</v>
      </c>
      <c r="M1426" t="s">
        <v>140</v>
      </c>
      <c r="N1426" s="3">
        <v>0</v>
      </c>
      <c r="O1426" s="3">
        <v>0</v>
      </c>
      <c r="P1426" s="3">
        <v>-2500</v>
      </c>
    </row>
    <row r="1427" spans="1:16" hidden="1" x14ac:dyDescent="0.3">
      <c r="A1427">
        <v>38</v>
      </c>
      <c r="B1427" t="str">
        <f>VLOOKUP($A1427,[1]LISTA!$B:$C,2,0)</f>
        <v>SEPTIEMBRE</v>
      </c>
      <c r="C1427" s="1">
        <v>2025</v>
      </c>
      <c r="D1427" s="1" t="str">
        <f>IF($A1427&lt;=[1]RESULTADOS!$D$6,"YTD","YTG")</f>
        <v>YTD</v>
      </c>
      <c r="E1427" t="s">
        <v>17</v>
      </c>
      <c r="F1427" t="s">
        <v>664</v>
      </c>
      <c r="G1427" t="s">
        <v>665</v>
      </c>
      <c r="H1427" t="s">
        <v>666</v>
      </c>
      <c r="I1427" t="s">
        <v>313</v>
      </c>
      <c r="J1427" t="str">
        <f>IFERROR(VLOOKUP(I1427,[1]AUTOS!$C:$G,2,0),"")</f>
        <v>MARCH</v>
      </c>
      <c r="K1427">
        <f>IFERROR(VLOOKUP(I1427,[1]AUTOS!$C:$G,3,0),"")</f>
        <v>2019</v>
      </c>
      <c r="L1427" t="str">
        <f>IFERROR(VLOOKUP(I1427,[1]AUTOS!$C:$G,4,0),"")</f>
        <v>TURQ</v>
      </c>
      <c r="M1427" t="s">
        <v>140</v>
      </c>
      <c r="N1427" s="3">
        <v>0</v>
      </c>
      <c r="O1427" s="3">
        <v>0</v>
      </c>
      <c r="P1427" s="3">
        <v>-2500</v>
      </c>
    </row>
    <row r="1428" spans="1:16" hidden="1" x14ac:dyDescent="0.3">
      <c r="A1428">
        <v>39</v>
      </c>
      <c r="B1428" t="str">
        <f>VLOOKUP($A1428,[1]LISTA!$B:$C,2,0)</f>
        <v>SEPTIEMBRE</v>
      </c>
      <c r="C1428" s="1">
        <v>2025</v>
      </c>
      <c r="D1428" s="1" t="str">
        <f>IF($A1428&lt;=[1]RESULTADOS!$D$6,"YTD","YTG")</f>
        <v>YTD</v>
      </c>
      <c r="E1428" t="s">
        <v>17</v>
      </c>
      <c r="F1428" t="s">
        <v>664</v>
      </c>
      <c r="G1428" t="s">
        <v>665</v>
      </c>
      <c r="H1428" t="s">
        <v>666</v>
      </c>
      <c r="I1428" t="s">
        <v>313</v>
      </c>
      <c r="J1428" t="str">
        <f>IFERROR(VLOOKUP(I1428,[1]AUTOS!$C:$G,2,0),"")</f>
        <v>MARCH</v>
      </c>
      <c r="K1428">
        <f>IFERROR(VLOOKUP(I1428,[1]AUTOS!$C:$G,3,0),"")</f>
        <v>2019</v>
      </c>
      <c r="L1428" t="str">
        <f>IFERROR(VLOOKUP(I1428,[1]AUTOS!$C:$G,4,0),"")</f>
        <v>TURQ</v>
      </c>
      <c r="M1428" t="s">
        <v>140</v>
      </c>
      <c r="N1428" s="3">
        <v>0</v>
      </c>
      <c r="O1428" s="3">
        <v>0</v>
      </c>
      <c r="P1428" s="3">
        <v>-2500</v>
      </c>
    </row>
    <row r="1429" spans="1:16" hidden="1" x14ac:dyDescent="0.3">
      <c r="A1429">
        <v>40</v>
      </c>
      <c r="B1429" t="str">
        <f>VLOOKUP($A1429,[1]LISTA!$B:$C,2,0)</f>
        <v>OCTUBRE</v>
      </c>
      <c r="C1429" s="1">
        <v>2025</v>
      </c>
      <c r="D1429" s="1" t="str">
        <f>IF($A1429&lt;=[1]RESULTADOS!$D$6,"YTD","YTG")</f>
        <v>YTG</v>
      </c>
      <c r="E1429" t="s">
        <v>17</v>
      </c>
      <c r="F1429" t="s">
        <v>664</v>
      </c>
      <c r="G1429" t="s">
        <v>665</v>
      </c>
      <c r="H1429" t="s">
        <v>666</v>
      </c>
      <c r="I1429" t="s">
        <v>313</v>
      </c>
      <c r="J1429" t="str">
        <f>IFERROR(VLOOKUP(I1429,[1]AUTOS!$C:$G,2,0),"")</f>
        <v>MARCH</v>
      </c>
      <c r="K1429">
        <f>IFERROR(VLOOKUP(I1429,[1]AUTOS!$C:$G,3,0),"")</f>
        <v>2019</v>
      </c>
      <c r="L1429" t="str">
        <f>IFERROR(VLOOKUP(I1429,[1]AUTOS!$C:$G,4,0),"")</f>
        <v>TURQ</v>
      </c>
      <c r="M1429" t="s">
        <v>140</v>
      </c>
      <c r="N1429" s="3">
        <v>0</v>
      </c>
      <c r="O1429" s="3">
        <v>0</v>
      </c>
      <c r="P1429" s="3">
        <v>-2500</v>
      </c>
    </row>
    <row r="1430" spans="1:16" hidden="1" x14ac:dyDescent="0.3">
      <c r="A1430">
        <v>41</v>
      </c>
      <c r="B1430" t="str">
        <f>VLOOKUP($A1430,[1]LISTA!$B:$C,2,0)</f>
        <v>OCTUBRE</v>
      </c>
      <c r="C1430" s="1">
        <v>2025</v>
      </c>
      <c r="D1430" s="1" t="str">
        <f>IF($A1430&lt;=[1]RESULTADOS!$D$6,"YTD","YTG")</f>
        <v>YTG</v>
      </c>
      <c r="E1430" t="s">
        <v>17</v>
      </c>
      <c r="F1430" t="s">
        <v>664</v>
      </c>
      <c r="G1430" t="s">
        <v>665</v>
      </c>
      <c r="H1430" t="s">
        <v>666</v>
      </c>
      <c r="I1430" t="s">
        <v>313</v>
      </c>
      <c r="J1430" t="str">
        <f>IFERROR(VLOOKUP(I1430,[1]AUTOS!$C:$G,2,0),"")</f>
        <v>MARCH</v>
      </c>
      <c r="K1430">
        <f>IFERROR(VLOOKUP(I1430,[1]AUTOS!$C:$G,3,0),"")</f>
        <v>2019</v>
      </c>
      <c r="L1430" t="str">
        <f>IFERROR(VLOOKUP(I1430,[1]AUTOS!$C:$G,4,0),"")</f>
        <v>TURQ</v>
      </c>
      <c r="M1430" t="s">
        <v>140</v>
      </c>
      <c r="N1430" s="3">
        <v>0</v>
      </c>
      <c r="O1430" s="3">
        <v>0</v>
      </c>
      <c r="P1430" s="3">
        <v>-2500</v>
      </c>
    </row>
    <row r="1431" spans="1:16" hidden="1" x14ac:dyDescent="0.3">
      <c r="A1431">
        <v>42</v>
      </c>
      <c r="B1431" t="str">
        <f>VLOOKUP($A1431,[1]LISTA!$B:$C,2,0)</f>
        <v>OCTUBRE</v>
      </c>
      <c r="C1431" s="1">
        <v>2025</v>
      </c>
      <c r="D1431" s="1" t="str">
        <f>IF($A1431&lt;=[1]RESULTADOS!$D$6,"YTD","YTG")</f>
        <v>YTG</v>
      </c>
      <c r="E1431" t="s">
        <v>17</v>
      </c>
      <c r="F1431" t="s">
        <v>664</v>
      </c>
      <c r="G1431" t="s">
        <v>665</v>
      </c>
      <c r="H1431" t="s">
        <v>666</v>
      </c>
      <c r="I1431" t="s">
        <v>313</v>
      </c>
      <c r="J1431" t="str">
        <f>IFERROR(VLOOKUP(I1431,[1]AUTOS!$C:$G,2,0),"")</f>
        <v>MARCH</v>
      </c>
      <c r="K1431">
        <f>IFERROR(VLOOKUP(I1431,[1]AUTOS!$C:$G,3,0),"")</f>
        <v>2019</v>
      </c>
      <c r="L1431" t="str">
        <f>IFERROR(VLOOKUP(I1431,[1]AUTOS!$C:$G,4,0),"")</f>
        <v>TURQ</v>
      </c>
      <c r="M1431" t="s">
        <v>140</v>
      </c>
      <c r="N1431" s="3">
        <v>0</v>
      </c>
      <c r="O1431" s="3">
        <v>0</v>
      </c>
      <c r="P1431" s="3">
        <v>-2500</v>
      </c>
    </row>
    <row r="1432" spans="1:16" hidden="1" x14ac:dyDescent="0.3">
      <c r="A1432">
        <v>43</v>
      </c>
      <c r="B1432" t="str">
        <f>VLOOKUP($A1432,[1]LISTA!$B:$C,2,0)</f>
        <v>OCTUBRE</v>
      </c>
      <c r="C1432" s="1">
        <v>2025</v>
      </c>
      <c r="D1432" s="1" t="str">
        <f>IF($A1432&lt;=[1]RESULTADOS!$D$6,"YTD","YTG")</f>
        <v>YTG</v>
      </c>
      <c r="E1432" t="s">
        <v>17</v>
      </c>
      <c r="F1432" t="s">
        <v>664</v>
      </c>
      <c r="G1432" t="s">
        <v>665</v>
      </c>
      <c r="H1432" t="s">
        <v>666</v>
      </c>
      <c r="I1432" t="s">
        <v>313</v>
      </c>
      <c r="J1432" t="str">
        <f>IFERROR(VLOOKUP(I1432,[1]AUTOS!$C:$G,2,0),"")</f>
        <v>MARCH</v>
      </c>
      <c r="K1432">
        <f>IFERROR(VLOOKUP(I1432,[1]AUTOS!$C:$G,3,0),"")</f>
        <v>2019</v>
      </c>
      <c r="L1432" t="str">
        <f>IFERROR(VLOOKUP(I1432,[1]AUTOS!$C:$G,4,0),"")</f>
        <v>TURQ</v>
      </c>
      <c r="M1432" t="s">
        <v>140</v>
      </c>
      <c r="N1432" s="3">
        <v>0</v>
      </c>
      <c r="O1432" s="3">
        <v>0</v>
      </c>
      <c r="P1432" s="3">
        <v>-2500</v>
      </c>
    </row>
    <row r="1433" spans="1:16" hidden="1" x14ac:dyDescent="0.3">
      <c r="A1433">
        <v>44</v>
      </c>
      <c r="B1433" t="str">
        <f>VLOOKUP($A1433,[1]LISTA!$B:$C,2,0)</f>
        <v>OCTUBRE</v>
      </c>
      <c r="C1433" s="1">
        <v>2025</v>
      </c>
      <c r="D1433" s="1" t="str">
        <f>IF($A1433&lt;=[1]RESULTADOS!$D$6,"YTD","YTG")</f>
        <v>YTG</v>
      </c>
      <c r="E1433" t="s">
        <v>17</v>
      </c>
      <c r="F1433" t="s">
        <v>664</v>
      </c>
      <c r="G1433" t="s">
        <v>665</v>
      </c>
      <c r="H1433" t="s">
        <v>666</v>
      </c>
      <c r="I1433" t="s">
        <v>313</v>
      </c>
      <c r="J1433" t="str">
        <f>IFERROR(VLOOKUP(I1433,[1]AUTOS!$C:$G,2,0),"")</f>
        <v>MARCH</v>
      </c>
      <c r="K1433">
        <f>IFERROR(VLOOKUP(I1433,[1]AUTOS!$C:$G,3,0),"")</f>
        <v>2019</v>
      </c>
      <c r="L1433" t="str">
        <f>IFERROR(VLOOKUP(I1433,[1]AUTOS!$C:$G,4,0),"")</f>
        <v>TURQ</v>
      </c>
      <c r="M1433" t="s">
        <v>140</v>
      </c>
      <c r="N1433" s="3">
        <v>0</v>
      </c>
      <c r="O1433" s="3">
        <v>0</v>
      </c>
      <c r="P1433" s="3">
        <v>-2500</v>
      </c>
    </row>
    <row r="1434" spans="1:16" hidden="1" x14ac:dyDescent="0.3">
      <c r="A1434">
        <v>45</v>
      </c>
      <c r="B1434" t="str">
        <f>VLOOKUP($A1434,[1]LISTA!$B:$C,2,0)</f>
        <v>NOVIEMBRE</v>
      </c>
      <c r="C1434" s="1">
        <v>2025</v>
      </c>
      <c r="D1434" s="1" t="str">
        <f>IF($A1434&lt;=[1]RESULTADOS!$D$6,"YTD","YTG")</f>
        <v>YTG</v>
      </c>
      <c r="E1434" t="s">
        <v>17</v>
      </c>
      <c r="F1434" t="s">
        <v>664</v>
      </c>
      <c r="G1434" t="s">
        <v>665</v>
      </c>
      <c r="H1434" t="s">
        <v>666</v>
      </c>
      <c r="I1434" t="s">
        <v>313</v>
      </c>
      <c r="J1434" t="str">
        <f>IFERROR(VLOOKUP(I1434,[1]AUTOS!$C:$G,2,0),"")</f>
        <v>MARCH</v>
      </c>
      <c r="K1434">
        <f>IFERROR(VLOOKUP(I1434,[1]AUTOS!$C:$G,3,0),"")</f>
        <v>2019</v>
      </c>
      <c r="L1434" t="str">
        <f>IFERROR(VLOOKUP(I1434,[1]AUTOS!$C:$G,4,0),"")</f>
        <v>TURQ</v>
      </c>
      <c r="M1434" t="s">
        <v>140</v>
      </c>
      <c r="N1434" s="3">
        <v>0</v>
      </c>
      <c r="O1434" s="3">
        <v>0</v>
      </c>
      <c r="P1434" s="3">
        <v>-2500</v>
      </c>
    </row>
    <row r="1435" spans="1:16" hidden="1" x14ac:dyDescent="0.3">
      <c r="A1435">
        <v>46</v>
      </c>
      <c r="B1435" t="str">
        <f>VLOOKUP($A1435,[1]LISTA!$B:$C,2,0)</f>
        <v>NOVIEMBRE</v>
      </c>
      <c r="C1435" s="1">
        <v>2025</v>
      </c>
      <c r="D1435" s="1" t="str">
        <f>IF($A1435&lt;=[1]RESULTADOS!$D$6,"YTD","YTG")</f>
        <v>YTG</v>
      </c>
      <c r="E1435" t="s">
        <v>17</v>
      </c>
      <c r="F1435" t="s">
        <v>664</v>
      </c>
      <c r="G1435" t="s">
        <v>665</v>
      </c>
      <c r="H1435" t="s">
        <v>666</v>
      </c>
      <c r="I1435" t="s">
        <v>313</v>
      </c>
      <c r="J1435" t="str">
        <f>IFERROR(VLOOKUP(I1435,[1]AUTOS!$C:$G,2,0),"")</f>
        <v>MARCH</v>
      </c>
      <c r="K1435">
        <f>IFERROR(VLOOKUP(I1435,[1]AUTOS!$C:$G,3,0),"")</f>
        <v>2019</v>
      </c>
      <c r="L1435" t="str">
        <f>IFERROR(VLOOKUP(I1435,[1]AUTOS!$C:$G,4,0),"")</f>
        <v>TURQ</v>
      </c>
      <c r="M1435" t="s">
        <v>140</v>
      </c>
      <c r="N1435" s="3">
        <v>0</v>
      </c>
      <c r="O1435" s="3">
        <v>0</v>
      </c>
      <c r="P1435" s="3">
        <v>-2500</v>
      </c>
    </row>
    <row r="1436" spans="1:16" hidden="1" x14ac:dyDescent="0.3">
      <c r="A1436">
        <v>47</v>
      </c>
      <c r="B1436" t="str">
        <f>VLOOKUP($A1436,[1]LISTA!$B:$C,2,0)</f>
        <v>NOVIEMBRE</v>
      </c>
      <c r="C1436" s="1">
        <v>2025</v>
      </c>
      <c r="D1436" s="1" t="str">
        <f>IF($A1436&lt;=[1]RESULTADOS!$D$6,"YTD","YTG")</f>
        <v>YTG</v>
      </c>
      <c r="E1436" t="s">
        <v>17</v>
      </c>
      <c r="F1436" t="s">
        <v>664</v>
      </c>
      <c r="G1436" t="s">
        <v>665</v>
      </c>
      <c r="H1436" t="s">
        <v>666</v>
      </c>
      <c r="I1436" t="s">
        <v>313</v>
      </c>
      <c r="J1436" t="str">
        <f>IFERROR(VLOOKUP(I1436,[1]AUTOS!$C:$G,2,0),"")</f>
        <v>MARCH</v>
      </c>
      <c r="K1436">
        <f>IFERROR(VLOOKUP(I1436,[1]AUTOS!$C:$G,3,0),"")</f>
        <v>2019</v>
      </c>
      <c r="L1436" t="str">
        <f>IFERROR(VLOOKUP(I1436,[1]AUTOS!$C:$G,4,0),"")</f>
        <v>TURQ</v>
      </c>
      <c r="M1436" t="s">
        <v>140</v>
      </c>
      <c r="N1436" s="3">
        <v>0</v>
      </c>
      <c r="O1436" s="3">
        <v>0</v>
      </c>
      <c r="P1436" s="3">
        <v>-2500</v>
      </c>
    </row>
    <row r="1437" spans="1:16" hidden="1" x14ac:dyDescent="0.3">
      <c r="A1437">
        <v>48</v>
      </c>
      <c r="B1437" t="str">
        <f>VLOOKUP($A1437,[1]LISTA!$B:$C,2,0)</f>
        <v>NOVIEMBRE</v>
      </c>
      <c r="C1437" s="1">
        <v>2025</v>
      </c>
      <c r="D1437" s="1" t="str">
        <f>IF($A1437&lt;=[1]RESULTADOS!$D$6,"YTD","YTG")</f>
        <v>YTG</v>
      </c>
      <c r="E1437" t="s">
        <v>17</v>
      </c>
      <c r="F1437" t="s">
        <v>664</v>
      </c>
      <c r="G1437" t="s">
        <v>665</v>
      </c>
      <c r="H1437" t="s">
        <v>666</v>
      </c>
      <c r="I1437" t="s">
        <v>313</v>
      </c>
      <c r="J1437" t="str">
        <f>IFERROR(VLOOKUP(I1437,[1]AUTOS!$C:$G,2,0),"")</f>
        <v>MARCH</v>
      </c>
      <c r="K1437">
        <f>IFERROR(VLOOKUP(I1437,[1]AUTOS!$C:$G,3,0),"")</f>
        <v>2019</v>
      </c>
      <c r="L1437" t="str">
        <f>IFERROR(VLOOKUP(I1437,[1]AUTOS!$C:$G,4,0),"")</f>
        <v>TURQ</v>
      </c>
      <c r="M1437" t="s">
        <v>140</v>
      </c>
      <c r="N1437" s="3">
        <v>0</v>
      </c>
      <c r="O1437" s="3">
        <v>0</v>
      </c>
      <c r="P1437" s="3">
        <v>-2500</v>
      </c>
    </row>
    <row r="1438" spans="1:16" hidden="1" x14ac:dyDescent="0.3">
      <c r="A1438">
        <v>49</v>
      </c>
      <c r="B1438" t="str">
        <f>VLOOKUP($A1438,[1]LISTA!$B:$C,2,0)</f>
        <v>DICIEMBRE</v>
      </c>
      <c r="C1438" s="1">
        <v>2025</v>
      </c>
      <c r="D1438" s="1" t="str">
        <f>IF($A1438&lt;=[1]RESULTADOS!$D$6,"YTD","YTG")</f>
        <v>YTG</v>
      </c>
      <c r="E1438" t="s">
        <v>17</v>
      </c>
      <c r="F1438" t="s">
        <v>664</v>
      </c>
      <c r="G1438" t="s">
        <v>665</v>
      </c>
      <c r="H1438" t="s">
        <v>666</v>
      </c>
      <c r="I1438" t="s">
        <v>313</v>
      </c>
      <c r="J1438" t="str">
        <f>IFERROR(VLOOKUP(I1438,[1]AUTOS!$C:$G,2,0),"")</f>
        <v>MARCH</v>
      </c>
      <c r="K1438">
        <f>IFERROR(VLOOKUP(I1438,[1]AUTOS!$C:$G,3,0),"")</f>
        <v>2019</v>
      </c>
      <c r="L1438" t="str">
        <f>IFERROR(VLOOKUP(I1438,[1]AUTOS!$C:$G,4,0),"")</f>
        <v>TURQ</v>
      </c>
      <c r="M1438" t="s">
        <v>140</v>
      </c>
      <c r="N1438" s="3">
        <v>0</v>
      </c>
      <c r="O1438" s="3">
        <v>0</v>
      </c>
      <c r="P1438" s="3">
        <v>-2500</v>
      </c>
    </row>
    <row r="1439" spans="1:16" hidden="1" x14ac:dyDescent="0.3">
      <c r="A1439">
        <v>50</v>
      </c>
      <c r="B1439" t="str">
        <f>VLOOKUP($A1439,[1]LISTA!$B:$C,2,0)</f>
        <v>DICIEMBRE</v>
      </c>
      <c r="C1439" s="1">
        <v>2025</v>
      </c>
      <c r="D1439" s="1" t="str">
        <f>IF($A1439&lt;=[1]RESULTADOS!$D$6,"YTD","YTG")</f>
        <v>YTG</v>
      </c>
      <c r="E1439" t="s">
        <v>17</v>
      </c>
      <c r="F1439" t="s">
        <v>664</v>
      </c>
      <c r="G1439" t="s">
        <v>665</v>
      </c>
      <c r="H1439" t="s">
        <v>666</v>
      </c>
      <c r="I1439" t="s">
        <v>313</v>
      </c>
      <c r="J1439" t="str">
        <f>IFERROR(VLOOKUP(I1439,[1]AUTOS!$C:$G,2,0),"")</f>
        <v>MARCH</v>
      </c>
      <c r="K1439">
        <f>IFERROR(VLOOKUP(I1439,[1]AUTOS!$C:$G,3,0),"")</f>
        <v>2019</v>
      </c>
      <c r="L1439" t="str">
        <f>IFERROR(VLOOKUP(I1439,[1]AUTOS!$C:$G,4,0),"")</f>
        <v>TURQ</v>
      </c>
      <c r="M1439" t="s">
        <v>140</v>
      </c>
      <c r="N1439" s="3">
        <v>0</v>
      </c>
      <c r="O1439" s="3">
        <v>0</v>
      </c>
      <c r="P1439" s="3">
        <v>-2500</v>
      </c>
    </row>
    <row r="1440" spans="1:16" hidden="1" x14ac:dyDescent="0.3">
      <c r="A1440">
        <v>51</v>
      </c>
      <c r="B1440" t="str">
        <f>VLOOKUP($A1440,[1]LISTA!$B:$C,2,0)</f>
        <v>DICIEMBRE</v>
      </c>
      <c r="C1440" s="1">
        <v>2025</v>
      </c>
      <c r="D1440" s="1" t="str">
        <f>IF($A1440&lt;=[1]RESULTADOS!$D$6,"YTD","YTG")</f>
        <v>YTG</v>
      </c>
      <c r="E1440" t="s">
        <v>17</v>
      </c>
      <c r="F1440" t="s">
        <v>664</v>
      </c>
      <c r="G1440" t="s">
        <v>665</v>
      </c>
      <c r="H1440" t="s">
        <v>666</v>
      </c>
      <c r="I1440" t="s">
        <v>313</v>
      </c>
      <c r="J1440" t="str">
        <f>IFERROR(VLOOKUP(I1440,[1]AUTOS!$C:$G,2,0),"")</f>
        <v>MARCH</v>
      </c>
      <c r="K1440">
        <f>IFERROR(VLOOKUP(I1440,[1]AUTOS!$C:$G,3,0),"")</f>
        <v>2019</v>
      </c>
      <c r="L1440" t="str">
        <f>IFERROR(VLOOKUP(I1440,[1]AUTOS!$C:$G,4,0),"")</f>
        <v>TURQ</v>
      </c>
      <c r="M1440" t="s">
        <v>140</v>
      </c>
      <c r="N1440" s="3">
        <v>0</v>
      </c>
      <c r="O1440" s="3">
        <v>0</v>
      </c>
      <c r="P1440" s="3">
        <v>-2500</v>
      </c>
    </row>
    <row r="1441" spans="1:17" hidden="1" x14ac:dyDescent="0.3">
      <c r="A1441">
        <v>52</v>
      </c>
      <c r="B1441" t="str">
        <f>VLOOKUP($A1441,[1]LISTA!$B:$C,2,0)</f>
        <v>DICIEMBRE</v>
      </c>
      <c r="C1441" s="1">
        <v>2025</v>
      </c>
      <c r="D1441" s="1" t="str">
        <f>IF($A1441&lt;=[1]RESULTADOS!$D$6,"YTD","YTG")</f>
        <v>YTG</v>
      </c>
      <c r="E1441" t="s">
        <v>17</v>
      </c>
      <c r="F1441" t="s">
        <v>664</v>
      </c>
      <c r="G1441" t="s">
        <v>665</v>
      </c>
      <c r="H1441" t="s">
        <v>666</v>
      </c>
      <c r="I1441" t="s">
        <v>313</v>
      </c>
      <c r="J1441" t="str">
        <f>IFERROR(VLOOKUP(I1441,[1]AUTOS!$C:$G,2,0),"")</f>
        <v>MARCH</v>
      </c>
      <c r="K1441">
        <f>IFERROR(VLOOKUP(I1441,[1]AUTOS!$C:$G,3,0),"")</f>
        <v>2019</v>
      </c>
      <c r="L1441" t="str">
        <f>IFERROR(VLOOKUP(I1441,[1]AUTOS!$C:$G,4,0),"")</f>
        <v>TURQ</v>
      </c>
      <c r="M1441" t="s">
        <v>140</v>
      </c>
      <c r="N1441" s="3">
        <v>0</v>
      </c>
      <c r="O1441" s="3">
        <v>0</v>
      </c>
      <c r="P1441" s="3">
        <v>-2500</v>
      </c>
    </row>
    <row r="1442" spans="1:17" hidden="1" x14ac:dyDescent="0.3">
      <c r="A1442">
        <v>1</v>
      </c>
      <c r="B1442" t="str">
        <f>VLOOKUP($A1442,[1]LISTA!$B:$C,2,0)</f>
        <v>ENERO</v>
      </c>
      <c r="C1442" s="1">
        <v>2025</v>
      </c>
      <c r="D1442" s="1" t="str">
        <f>IF($A1442&lt;=[1]RESULTADOS!$D$6,"YTD","YTG")</f>
        <v>YTD</v>
      </c>
      <c r="E1442" t="s">
        <v>492</v>
      </c>
      <c r="F1442" t="s">
        <v>667</v>
      </c>
      <c r="G1442" t="s">
        <v>667</v>
      </c>
      <c r="H1442" t="s">
        <v>668</v>
      </c>
      <c r="I1442" t="s">
        <v>79</v>
      </c>
      <c r="J1442" t="str">
        <f>IFERROR(VLOOKUP(I1442,[1]AUTOS!$C:$G,2,0),"")</f>
        <v>AVEO</v>
      </c>
      <c r="K1442">
        <f>IFERROR(VLOOKUP(I1442,[1]AUTOS!$C:$G,3,0),"")</f>
        <v>2021</v>
      </c>
      <c r="L1442" t="str">
        <f>IFERROR(VLOOKUP(I1442,[1]AUTOS!$C:$G,4,0),"")</f>
        <v>OCRE</v>
      </c>
      <c r="M1442" t="s">
        <v>669</v>
      </c>
      <c r="N1442" s="3">
        <v>1161.9948000000002</v>
      </c>
      <c r="O1442" s="3">
        <v>2142.85</v>
      </c>
      <c r="P1442" s="3">
        <v>2142.9948000000004</v>
      </c>
      <c r="Q1442" s="3">
        <v>0</v>
      </c>
    </row>
    <row r="1443" spans="1:17" hidden="1" x14ac:dyDescent="0.3">
      <c r="A1443">
        <v>1</v>
      </c>
      <c r="B1443" t="str">
        <f>VLOOKUP($A1443,[1]LISTA!$B:$C,2,0)</f>
        <v>ENERO</v>
      </c>
      <c r="C1443" s="1">
        <v>2025</v>
      </c>
      <c r="D1443" s="1" t="str">
        <f>IF($A1443&lt;=[1]RESULTADOS!$D$6,"YTD","YTG")</f>
        <v>YTD</v>
      </c>
      <c r="E1443" t="s">
        <v>670</v>
      </c>
      <c r="F1443" t="s">
        <v>667</v>
      </c>
      <c r="G1443" t="s">
        <v>667</v>
      </c>
      <c r="H1443" t="s">
        <v>668</v>
      </c>
      <c r="I1443" t="s">
        <v>76</v>
      </c>
      <c r="J1443" t="str">
        <f>IFERROR(VLOOKUP(I1443,[1]AUTOS!$C:$G,2,0),"")</f>
        <v>AVEO</v>
      </c>
      <c r="K1443">
        <f>IFERROR(VLOOKUP(I1443,[1]AUTOS!$C:$G,3,0),"")</f>
        <v>2018</v>
      </c>
      <c r="L1443" t="str">
        <f>IFERROR(VLOOKUP(I1443,[1]AUTOS!$C:$G,4,0),"")</f>
        <v>GRIS</v>
      </c>
      <c r="M1443" t="s">
        <v>43</v>
      </c>
      <c r="N1443" s="3">
        <v>4703.5303999999987</v>
      </c>
      <c r="O1443" s="3">
        <v>2142.85</v>
      </c>
      <c r="P1443" s="3">
        <v>2142.85</v>
      </c>
      <c r="Q1443" s="3">
        <v>0</v>
      </c>
    </row>
    <row r="1444" spans="1:17" hidden="1" x14ac:dyDescent="0.3">
      <c r="A1444">
        <v>1</v>
      </c>
      <c r="B1444" t="str">
        <f>VLOOKUP($A1444,[1]LISTA!$B:$C,2,0)</f>
        <v>ENERO</v>
      </c>
      <c r="C1444" s="1">
        <v>2025</v>
      </c>
      <c r="D1444" s="1" t="str">
        <f>IF($A1444&lt;=[1]RESULTADOS!$D$6,"YTD","YTG")</f>
        <v>YTD</v>
      </c>
      <c r="E1444" t="s">
        <v>671</v>
      </c>
      <c r="F1444" t="s">
        <v>667</v>
      </c>
      <c r="G1444" t="s">
        <v>667</v>
      </c>
      <c r="H1444" t="s">
        <v>668</v>
      </c>
      <c r="I1444" t="s">
        <v>162</v>
      </c>
      <c r="J1444" t="str">
        <f>IFERROR(VLOOKUP(I1444,[1]AUTOS!$C:$G,2,0),"")</f>
        <v>HYUNDAI</v>
      </c>
      <c r="K1444">
        <f>IFERROR(VLOOKUP(I1444,[1]AUTOS!$C:$G,3,0),"")</f>
        <v>2022</v>
      </c>
      <c r="L1444" t="str">
        <f>IFERROR(VLOOKUP(I1444,[1]AUTOS!$C:$G,4,0),"")</f>
        <v>PLATA</v>
      </c>
      <c r="M1444" t="s">
        <v>669</v>
      </c>
      <c r="N1444" s="3">
        <v>0</v>
      </c>
      <c r="O1444" s="3">
        <v>2142.85</v>
      </c>
      <c r="P1444" s="3">
        <v>2210</v>
      </c>
      <c r="Q1444" s="3">
        <v>0</v>
      </c>
    </row>
    <row r="1445" spans="1:17" hidden="1" x14ac:dyDescent="0.3">
      <c r="A1445">
        <v>1</v>
      </c>
      <c r="B1445" t="str">
        <f>VLOOKUP($A1445,[1]LISTA!$B:$C,2,0)</f>
        <v>ENERO</v>
      </c>
      <c r="C1445" s="1">
        <v>2025</v>
      </c>
      <c r="D1445" s="1" t="str">
        <f>IF($A1445&lt;=[1]RESULTADOS!$D$6,"YTD","YTG")</f>
        <v>YTD</v>
      </c>
      <c r="E1445" t="s">
        <v>672</v>
      </c>
      <c r="F1445" t="s">
        <v>667</v>
      </c>
      <c r="G1445" t="s">
        <v>667</v>
      </c>
      <c r="H1445" t="s">
        <v>668</v>
      </c>
      <c r="I1445" t="s">
        <v>61</v>
      </c>
      <c r="J1445" t="str">
        <f>IFERROR(VLOOKUP(I1445,[1]AUTOS!$C:$G,2,0),"")</f>
        <v>KIA RIO</v>
      </c>
      <c r="K1445">
        <f>IFERROR(VLOOKUP(I1445,[1]AUTOS!$C:$G,3,0),"")</f>
        <v>2017</v>
      </c>
      <c r="L1445" t="str">
        <f>IFERROR(VLOOKUP(I1445,[1]AUTOS!$C:$G,4,0),"")</f>
        <v>ROJO</v>
      </c>
      <c r="M1445" t="s">
        <v>43</v>
      </c>
      <c r="N1445" s="3">
        <v>1602.1392000000001</v>
      </c>
      <c r="O1445" s="3">
        <v>2142.85</v>
      </c>
      <c r="P1445" s="3">
        <v>2653.1392000000001</v>
      </c>
      <c r="Q1445" s="3">
        <v>0</v>
      </c>
    </row>
    <row r="1446" spans="1:17" hidden="1" x14ac:dyDescent="0.3">
      <c r="A1446">
        <v>1</v>
      </c>
      <c r="B1446" t="str">
        <f>VLOOKUP($A1446,[1]LISTA!$B:$C,2,0)</f>
        <v>ENERO</v>
      </c>
      <c r="C1446" s="1">
        <v>2025</v>
      </c>
      <c r="D1446" s="1" t="str">
        <f>IF($A1446&lt;=[1]RESULTADOS!$D$6,"YTD","YTG")</f>
        <v>YTD</v>
      </c>
      <c r="E1446" t="s">
        <v>456</v>
      </c>
      <c r="F1446" t="s">
        <v>667</v>
      </c>
      <c r="G1446" t="s">
        <v>667</v>
      </c>
      <c r="H1446" t="s">
        <v>668</v>
      </c>
      <c r="I1446" t="s">
        <v>73</v>
      </c>
      <c r="J1446" t="str">
        <f>IFERROR(VLOOKUP(I1446,[1]AUTOS!$C:$G,2,0),"")</f>
        <v>VERSA</v>
      </c>
      <c r="K1446">
        <f>IFERROR(VLOOKUP(I1446,[1]AUTOS!$C:$G,3,0),"")</f>
        <v>2023</v>
      </c>
      <c r="L1446" t="str">
        <f>IFERROR(VLOOKUP(I1446,[1]AUTOS!$C:$G,4,0),"")</f>
        <v>PLATA</v>
      </c>
      <c r="M1446" t="s">
        <v>43</v>
      </c>
      <c r="N1446" s="3">
        <v>1368.5721999999998</v>
      </c>
      <c r="O1446" s="3">
        <v>714.28</v>
      </c>
      <c r="P1446" s="3">
        <v>1214.28</v>
      </c>
      <c r="Q1446" s="3">
        <v>0</v>
      </c>
    </row>
    <row r="1447" spans="1:17" x14ac:dyDescent="0.3">
      <c r="A1447">
        <v>1</v>
      </c>
      <c r="B1447" t="str">
        <f>VLOOKUP($A1447,[1]LISTA!$B:$C,2,0)</f>
        <v>ENERO</v>
      </c>
      <c r="C1447" s="1">
        <v>2025</v>
      </c>
      <c r="D1447" s="1" t="str">
        <f>IF($A1447&lt;=[1]RESULTADOS!$D$6,"YTD","YTG")</f>
        <v>YTD</v>
      </c>
      <c r="E1447" t="s">
        <v>518</v>
      </c>
      <c r="F1447" t="s">
        <v>667</v>
      </c>
      <c r="G1447" t="s">
        <v>667</v>
      </c>
      <c r="H1447" t="s">
        <v>668</v>
      </c>
      <c r="I1447" t="s">
        <v>72</v>
      </c>
      <c r="J1447" t="str">
        <f>IFERROR(VLOOKUP(I1447,[1]AUTOS!$C:$G,2,0),"")</f>
        <v>VENTO</v>
      </c>
      <c r="K1447">
        <f>IFERROR(VLOOKUP(I1447,[1]AUTOS!$C:$G,3,0),"")</f>
        <v>2020</v>
      </c>
      <c r="L1447" t="str">
        <f>IFERROR(VLOOKUP(I1447,[1]AUTOS!$C:$G,4,0),"")</f>
        <v>GRIS</v>
      </c>
      <c r="M1447" t="s">
        <v>43</v>
      </c>
      <c r="N1447" s="3">
        <v>2167.8264000000004</v>
      </c>
      <c r="O1447" s="3">
        <v>2142.85</v>
      </c>
      <c r="P1447" s="3">
        <v>2826.8264000000004</v>
      </c>
      <c r="Q1447" s="3">
        <v>0</v>
      </c>
    </row>
    <row r="1448" spans="1:17" hidden="1" x14ac:dyDescent="0.3">
      <c r="A1448">
        <v>1</v>
      </c>
      <c r="B1448" t="str">
        <f>VLOOKUP($A1448,[1]LISTA!$B:$C,2,0)</f>
        <v>ENERO</v>
      </c>
      <c r="C1448" s="1">
        <v>2025</v>
      </c>
      <c r="D1448" s="1" t="str">
        <f>IF($A1448&lt;=[1]RESULTADOS!$D$6,"YTD","YTG")</f>
        <v>YTD</v>
      </c>
      <c r="E1448" t="s">
        <v>673</v>
      </c>
      <c r="F1448" t="s">
        <v>667</v>
      </c>
      <c r="G1448" t="s">
        <v>667</v>
      </c>
      <c r="H1448" t="s">
        <v>668</v>
      </c>
      <c r="I1448" t="s">
        <v>76</v>
      </c>
      <c r="J1448" t="str">
        <f>IFERROR(VLOOKUP(I1448,[1]AUTOS!$C:$G,2,0),"")</f>
        <v>AVEO</v>
      </c>
      <c r="K1448">
        <f>IFERROR(VLOOKUP(I1448,[1]AUTOS!$C:$G,3,0),"")</f>
        <v>2018</v>
      </c>
      <c r="L1448" t="str">
        <f>IFERROR(VLOOKUP(I1448,[1]AUTOS!$C:$G,4,0),"")</f>
        <v>GRIS</v>
      </c>
      <c r="M1448" t="s">
        <v>43</v>
      </c>
      <c r="N1448" s="3">
        <v>4930.6534000000001</v>
      </c>
      <c r="O1448" s="3">
        <v>2142.85</v>
      </c>
      <c r="P1448" s="3">
        <v>2142.85</v>
      </c>
      <c r="Q1448" s="3">
        <v>0</v>
      </c>
    </row>
    <row r="1449" spans="1:17" hidden="1" x14ac:dyDescent="0.3">
      <c r="A1449">
        <v>1</v>
      </c>
      <c r="B1449" t="str">
        <f>VLOOKUP($A1449,[1]LISTA!$B:$C,2,0)</f>
        <v>ENERO</v>
      </c>
      <c r="C1449" s="1">
        <v>2025</v>
      </c>
      <c r="D1449" s="1" t="str">
        <f>IF($A1449&lt;=[1]RESULTADOS!$D$6,"YTD","YTG")</f>
        <v>YTD</v>
      </c>
      <c r="E1449" t="s">
        <v>674</v>
      </c>
      <c r="F1449" t="s">
        <v>667</v>
      </c>
      <c r="G1449" t="s">
        <v>667</v>
      </c>
      <c r="H1449" t="s">
        <v>668</v>
      </c>
      <c r="I1449" t="s">
        <v>46</v>
      </c>
      <c r="J1449" t="str">
        <f>IFERROR(VLOOKUP(I1449,[1]AUTOS!$C:$G,2,0),"")</f>
        <v>MARCH</v>
      </c>
      <c r="K1449">
        <f>IFERROR(VLOOKUP(I1449,[1]AUTOS!$C:$G,3,0),"")</f>
        <v>2020</v>
      </c>
      <c r="L1449" t="str">
        <f>IFERROR(VLOOKUP(I1449,[1]AUTOS!$C:$G,4,0),"")</f>
        <v>TURQ</v>
      </c>
      <c r="M1449" t="s">
        <v>43</v>
      </c>
      <c r="N1449" s="3">
        <v>1491.3230000000003</v>
      </c>
      <c r="O1449" s="3">
        <v>2142.85</v>
      </c>
      <c r="P1449" s="3">
        <v>2643.3230000000003</v>
      </c>
      <c r="Q1449" s="3">
        <v>500</v>
      </c>
    </row>
    <row r="1450" spans="1:17" hidden="1" x14ac:dyDescent="0.3">
      <c r="A1450">
        <v>1</v>
      </c>
      <c r="B1450" t="str">
        <f>VLOOKUP($A1450,[1]LISTA!$B:$C,2,0)</f>
        <v>ENERO</v>
      </c>
      <c r="C1450" s="1">
        <v>2025</v>
      </c>
      <c r="D1450" s="1" t="str">
        <f>IF($A1450&lt;=[1]RESULTADOS!$D$6,"YTD","YTG")</f>
        <v>YTD</v>
      </c>
      <c r="E1450" t="s">
        <v>675</v>
      </c>
      <c r="F1450" t="s">
        <v>667</v>
      </c>
      <c r="G1450" t="s">
        <v>667</v>
      </c>
      <c r="H1450" t="s">
        <v>668</v>
      </c>
      <c r="I1450" t="s">
        <v>40</v>
      </c>
      <c r="J1450" t="str">
        <f>IFERROR(VLOOKUP(I1450,[1]AUTOS!$C:$G,2,0),"")</f>
        <v>VERSA</v>
      </c>
      <c r="K1450">
        <f>IFERROR(VLOOKUP(I1450,[1]AUTOS!$C:$G,3,0),"")</f>
        <v>2017</v>
      </c>
      <c r="L1450" t="str">
        <f>IFERROR(VLOOKUP(I1450,[1]AUTOS!$C:$G,4,0),"")</f>
        <v>ACERO</v>
      </c>
      <c r="M1450" t="s">
        <v>43</v>
      </c>
      <c r="N1450" s="3">
        <v>2831.3934000000004</v>
      </c>
      <c r="O1450" s="3">
        <v>2142.85</v>
      </c>
      <c r="P1450" s="3">
        <v>3018.3934000000004</v>
      </c>
      <c r="Q1450" s="3">
        <v>500</v>
      </c>
    </row>
    <row r="1451" spans="1:17" hidden="1" x14ac:dyDescent="0.3">
      <c r="A1451">
        <v>1</v>
      </c>
      <c r="B1451" t="str">
        <f>VLOOKUP($A1451,[1]LISTA!$B:$C,2,0)</f>
        <v>ENERO</v>
      </c>
      <c r="C1451" s="1">
        <v>2025</v>
      </c>
      <c r="D1451" s="1" t="str">
        <f>IF($A1451&lt;=[1]RESULTADOS!$D$6,"YTD","YTG")</f>
        <v>YTD</v>
      </c>
      <c r="E1451" t="s">
        <v>403</v>
      </c>
      <c r="F1451" t="s">
        <v>667</v>
      </c>
      <c r="G1451" t="s">
        <v>667</v>
      </c>
      <c r="H1451" t="s">
        <v>668</v>
      </c>
      <c r="I1451" t="s">
        <v>51</v>
      </c>
      <c r="J1451" t="str">
        <f>IFERROR(VLOOKUP(I1451,[1]AUTOS!$C:$G,2,0),"")</f>
        <v>VENTO</v>
      </c>
      <c r="K1451">
        <f>IFERROR(VLOOKUP(I1451,[1]AUTOS!$C:$G,3,0),"")</f>
        <v>2017</v>
      </c>
      <c r="L1451" t="str">
        <f>IFERROR(VLOOKUP(I1451,[1]AUTOS!$C:$G,4,0),"")</f>
        <v>GRIS</v>
      </c>
      <c r="M1451" t="s">
        <v>43</v>
      </c>
      <c r="N1451" s="3">
        <v>3090.444</v>
      </c>
      <c r="O1451" s="3">
        <v>1971.42</v>
      </c>
      <c r="P1451" s="3">
        <v>3534.444</v>
      </c>
      <c r="Q1451" s="3">
        <v>500</v>
      </c>
    </row>
    <row r="1452" spans="1:17" hidden="1" x14ac:dyDescent="0.3">
      <c r="A1452">
        <v>1</v>
      </c>
      <c r="B1452" t="str">
        <f>VLOOKUP($A1452,[1]LISTA!$B:$C,2,0)</f>
        <v>ENERO</v>
      </c>
      <c r="C1452" s="1">
        <v>2025</v>
      </c>
      <c r="D1452" s="1" t="str">
        <f>IF($A1452&lt;=[1]RESULTADOS!$D$6,"YTD","YTG")</f>
        <v>YTD</v>
      </c>
      <c r="E1452" t="s">
        <v>676</v>
      </c>
      <c r="F1452" t="s">
        <v>667</v>
      </c>
      <c r="G1452" t="s">
        <v>667</v>
      </c>
      <c r="H1452" t="s">
        <v>668</v>
      </c>
      <c r="I1452" t="s">
        <v>67</v>
      </c>
      <c r="J1452" t="str">
        <f>IFERROR(VLOOKUP(I1452,[1]AUTOS!$C:$G,2,0),"")</f>
        <v>KIA RIO</v>
      </c>
      <c r="K1452">
        <f>IFERROR(VLOOKUP(I1452,[1]AUTOS!$C:$G,3,0),"")</f>
        <v>2020</v>
      </c>
      <c r="L1452" t="str">
        <f>IFERROR(VLOOKUP(I1452,[1]AUTOS!$C:$G,4,0),"")</f>
        <v>GRIS</v>
      </c>
      <c r="M1452" t="s">
        <v>669</v>
      </c>
      <c r="N1452" s="3">
        <v>2769.2753999999995</v>
      </c>
      <c r="O1452" s="3">
        <v>2142.85</v>
      </c>
      <c r="P1452" s="3">
        <v>2142.85</v>
      </c>
      <c r="Q1452" s="3">
        <v>0</v>
      </c>
    </row>
    <row r="1453" spans="1:17" hidden="1" x14ac:dyDescent="0.3">
      <c r="A1453">
        <v>2</v>
      </c>
      <c r="B1453" t="str">
        <f>VLOOKUP($A1453,[1]LISTA!$B:$C,2,0)</f>
        <v>ENERO</v>
      </c>
      <c r="C1453" s="1">
        <v>2025</v>
      </c>
      <c r="D1453" s="1" t="str">
        <f>IF($A1453&lt;=[1]RESULTADOS!$D$6,"YTD","YTG")</f>
        <v>YTD</v>
      </c>
      <c r="E1453" t="s">
        <v>677</v>
      </c>
      <c r="F1453" t="s">
        <v>667</v>
      </c>
      <c r="G1453" t="s">
        <v>667</v>
      </c>
      <c r="H1453" t="s">
        <v>668</v>
      </c>
      <c r="I1453" t="s">
        <v>37</v>
      </c>
      <c r="J1453" t="str">
        <f>IFERROR(VLOOKUP(I1453,[1]AUTOS!$C:$G,2,0),"")</f>
        <v>BEAT</v>
      </c>
      <c r="K1453">
        <f>IFERROR(VLOOKUP(I1453,[1]AUTOS!$C:$G,3,0),"")</f>
        <v>2020</v>
      </c>
      <c r="L1453" t="str">
        <f>IFERROR(VLOOKUP(I1453,[1]AUTOS!$C:$G,4,0),"")</f>
        <v>GRIS</v>
      </c>
      <c r="M1453" t="s">
        <v>43</v>
      </c>
      <c r="N1453" s="3">
        <v>608.85399999999993</v>
      </c>
      <c r="O1453" s="3">
        <v>1428.56</v>
      </c>
      <c r="P1453" s="3">
        <v>608.85399999999993</v>
      </c>
      <c r="Q1453" s="3">
        <v>0</v>
      </c>
    </row>
    <row r="1454" spans="1:17" hidden="1" x14ac:dyDescent="0.3">
      <c r="A1454">
        <v>2</v>
      </c>
      <c r="B1454" t="str">
        <f>VLOOKUP($A1454,[1]LISTA!$B:$C,2,0)</f>
        <v>ENERO</v>
      </c>
      <c r="C1454" s="1">
        <v>2025</v>
      </c>
      <c r="D1454" s="1" t="str">
        <f>IF($A1454&lt;=[1]RESULTADOS!$D$6,"YTD","YTG")</f>
        <v>YTD</v>
      </c>
      <c r="E1454" t="s">
        <v>492</v>
      </c>
      <c r="F1454" t="s">
        <v>667</v>
      </c>
      <c r="G1454" t="s">
        <v>667</v>
      </c>
      <c r="H1454" t="s">
        <v>668</v>
      </c>
      <c r="I1454" t="s">
        <v>79</v>
      </c>
      <c r="J1454" t="str">
        <f>IFERROR(VLOOKUP(I1454,[1]AUTOS!$C:$G,2,0),"")</f>
        <v>AVEO</v>
      </c>
      <c r="K1454">
        <f>IFERROR(VLOOKUP(I1454,[1]AUTOS!$C:$G,3,0),"")</f>
        <v>2021</v>
      </c>
      <c r="L1454" t="str">
        <f>IFERROR(VLOOKUP(I1454,[1]AUTOS!$C:$G,4,0),"")</f>
        <v>OCRE</v>
      </c>
      <c r="M1454" t="s">
        <v>669</v>
      </c>
      <c r="N1454" s="3">
        <v>0</v>
      </c>
      <c r="O1454" s="3">
        <v>2500</v>
      </c>
      <c r="P1454" s="3">
        <v>2500</v>
      </c>
      <c r="Q1454" s="3">
        <v>0</v>
      </c>
    </row>
    <row r="1455" spans="1:17" hidden="1" x14ac:dyDescent="0.3">
      <c r="A1455">
        <v>2</v>
      </c>
      <c r="B1455" t="str">
        <f>VLOOKUP($A1455,[1]LISTA!$B:$C,2,0)</f>
        <v>ENERO</v>
      </c>
      <c r="C1455" s="1">
        <v>2025</v>
      </c>
      <c r="D1455" s="1" t="str">
        <f>IF($A1455&lt;=[1]RESULTADOS!$D$6,"YTD","YTG")</f>
        <v>YTD</v>
      </c>
      <c r="E1455" t="s">
        <v>670</v>
      </c>
      <c r="F1455" t="s">
        <v>667</v>
      </c>
      <c r="G1455" t="s">
        <v>667</v>
      </c>
      <c r="H1455" t="s">
        <v>668</v>
      </c>
      <c r="I1455" t="s">
        <v>76</v>
      </c>
      <c r="J1455" t="str">
        <f>IFERROR(VLOOKUP(I1455,[1]AUTOS!$C:$G,2,0),"")</f>
        <v>AVEO</v>
      </c>
      <c r="K1455">
        <f>IFERROR(VLOOKUP(I1455,[1]AUTOS!$C:$G,3,0),"")</f>
        <v>2018</v>
      </c>
      <c r="L1455" t="str">
        <f>IFERROR(VLOOKUP(I1455,[1]AUTOS!$C:$G,4,0),"")</f>
        <v>GRIS</v>
      </c>
      <c r="M1455" t="s">
        <v>43</v>
      </c>
      <c r="N1455" s="3">
        <v>1847.2440000000001</v>
      </c>
      <c r="O1455" s="3">
        <v>2500</v>
      </c>
      <c r="P1455" s="3">
        <v>2500.2440000000001</v>
      </c>
      <c r="Q1455" s="3">
        <v>0</v>
      </c>
    </row>
    <row r="1456" spans="1:17" hidden="1" x14ac:dyDescent="0.3">
      <c r="A1456">
        <v>2</v>
      </c>
      <c r="B1456" t="str">
        <f>VLOOKUP($A1456,[1]LISTA!$B:$C,2,0)</f>
        <v>ENERO</v>
      </c>
      <c r="C1456" s="1">
        <v>2025</v>
      </c>
      <c r="D1456" s="1" t="str">
        <f>IF($A1456&lt;=[1]RESULTADOS!$D$6,"YTD","YTG")</f>
        <v>YTD</v>
      </c>
      <c r="E1456" t="s">
        <v>671</v>
      </c>
      <c r="F1456" t="s">
        <v>667</v>
      </c>
      <c r="G1456" t="s">
        <v>667</v>
      </c>
      <c r="H1456" t="s">
        <v>668</v>
      </c>
      <c r="I1456" t="s">
        <v>162</v>
      </c>
      <c r="J1456" t="str">
        <f>IFERROR(VLOOKUP(I1456,[1]AUTOS!$C:$G,2,0),"")</f>
        <v>HYUNDAI</v>
      </c>
      <c r="K1456">
        <f>IFERROR(VLOOKUP(I1456,[1]AUTOS!$C:$G,3,0),"")</f>
        <v>2022</v>
      </c>
      <c r="L1456" t="str">
        <f>IFERROR(VLOOKUP(I1456,[1]AUTOS!$C:$G,4,0),"")</f>
        <v>PLATA</v>
      </c>
      <c r="M1456" t="s">
        <v>669</v>
      </c>
      <c r="N1456" s="3">
        <v>0</v>
      </c>
      <c r="O1456" s="3">
        <v>2500</v>
      </c>
      <c r="P1456" s="3">
        <v>2500</v>
      </c>
      <c r="Q1456" s="3">
        <v>0</v>
      </c>
    </row>
    <row r="1457" spans="1:17" hidden="1" x14ac:dyDescent="0.3">
      <c r="A1457">
        <v>2</v>
      </c>
      <c r="B1457" t="str">
        <f>VLOOKUP($A1457,[1]LISTA!$B:$C,2,0)</f>
        <v>ENERO</v>
      </c>
      <c r="C1457" s="1">
        <v>2025</v>
      </c>
      <c r="D1457" s="1" t="str">
        <f>IF($A1457&lt;=[1]RESULTADOS!$D$6,"YTD","YTG")</f>
        <v>YTD</v>
      </c>
      <c r="E1457" t="s">
        <v>672</v>
      </c>
      <c r="F1457" t="s">
        <v>667</v>
      </c>
      <c r="G1457" t="s">
        <v>667</v>
      </c>
      <c r="H1457" t="s">
        <v>668</v>
      </c>
      <c r="I1457" t="s">
        <v>61</v>
      </c>
      <c r="J1457" t="str">
        <f>IFERROR(VLOOKUP(I1457,[1]AUTOS!$C:$G,2,0),"")</f>
        <v>KIA RIO</v>
      </c>
      <c r="K1457">
        <f>IFERROR(VLOOKUP(I1457,[1]AUTOS!$C:$G,3,0),"")</f>
        <v>2017</v>
      </c>
      <c r="L1457" t="str">
        <f>IFERROR(VLOOKUP(I1457,[1]AUTOS!$C:$G,4,0),"")</f>
        <v>ROJO</v>
      </c>
      <c r="M1457" t="s">
        <v>43</v>
      </c>
      <c r="N1457" s="3">
        <v>2045.8221999999996</v>
      </c>
      <c r="O1457" s="3">
        <v>2500</v>
      </c>
      <c r="P1457" s="3">
        <v>2045.8221999999996</v>
      </c>
      <c r="Q1457" s="3">
        <v>0</v>
      </c>
    </row>
    <row r="1458" spans="1:17" x14ac:dyDescent="0.3">
      <c r="A1458">
        <v>2</v>
      </c>
      <c r="B1458" t="str">
        <f>VLOOKUP($A1458,[1]LISTA!$B:$C,2,0)</f>
        <v>ENERO</v>
      </c>
      <c r="C1458" s="1">
        <v>2025</v>
      </c>
      <c r="D1458" s="1" t="str">
        <f>IF($A1458&lt;=[1]RESULTADOS!$D$6,"YTD","YTG")</f>
        <v>YTD</v>
      </c>
      <c r="E1458" t="s">
        <v>678</v>
      </c>
      <c r="F1458" t="s">
        <v>667</v>
      </c>
      <c r="G1458" t="s">
        <v>667</v>
      </c>
      <c r="H1458" t="s">
        <v>668</v>
      </c>
      <c r="I1458" t="s">
        <v>72</v>
      </c>
      <c r="J1458" t="str">
        <f>IFERROR(VLOOKUP(I1458,[1]AUTOS!$C:$G,2,0),"")</f>
        <v>VENTO</v>
      </c>
      <c r="K1458">
        <f>IFERROR(VLOOKUP(I1458,[1]AUTOS!$C:$G,3,0),"")</f>
        <v>2020</v>
      </c>
      <c r="L1458" t="str">
        <f>IFERROR(VLOOKUP(I1458,[1]AUTOS!$C:$G,4,0),"")</f>
        <v>GRIS</v>
      </c>
      <c r="M1458" t="s">
        <v>43</v>
      </c>
      <c r="N1458" s="3">
        <v>863.38299999999992</v>
      </c>
      <c r="O1458" s="3">
        <v>1428.56</v>
      </c>
      <c r="P1458" s="3">
        <v>1928.3829999999998</v>
      </c>
      <c r="Q1458" s="3">
        <v>500</v>
      </c>
    </row>
    <row r="1459" spans="1:17" hidden="1" x14ac:dyDescent="0.3">
      <c r="A1459">
        <v>2</v>
      </c>
      <c r="B1459" t="str">
        <f>VLOOKUP($A1459,[1]LISTA!$B:$C,2,0)</f>
        <v>ENERO</v>
      </c>
      <c r="C1459" s="1">
        <v>2025</v>
      </c>
      <c r="D1459" s="1" t="str">
        <f>IF($A1459&lt;=[1]RESULTADOS!$D$6,"YTD","YTG")</f>
        <v>YTD</v>
      </c>
      <c r="E1459" t="s">
        <v>679</v>
      </c>
      <c r="F1459" t="s">
        <v>667</v>
      </c>
      <c r="G1459" t="s">
        <v>667</v>
      </c>
      <c r="H1459" t="s">
        <v>668</v>
      </c>
      <c r="I1459" t="s">
        <v>82</v>
      </c>
      <c r="J1459" t="str">
        <f>IFERROR(VLOOKUP(I1459,[1]AUTOS!$C:$G,2,0),"")</f>
        <v>AVEO</v>
      </c>
      <c r="K1459">
        <f>IFERROR(VLOOKUP(I1459,[1]AUTOS!$C:$G,3,0),"")</f>
        <v>2019</v>
      </c>
      <c r="L1459" t="str">
        <f>IFERROR(VLOOKUP(I1459,[1]AUTOS!$C:$G,4,0),"")</f>
        <v>PLATA</v>
      </c>
      <c r="M1459" t="s">
        <v>43</v>
      </c>
      <c r="N1459" s="3">
        <v>3405.8404</v>
      </c>
      <c r="O1459" s="3">
        <v>2500</v>
      </c>
      <c r="P1459" s="3">
        <v>3000</v>
      </c>
      <c r="Q1459" s="3">
        <v>0</v>
      </c>
    </row>
    <row r="1460" spans="1:17" hidden="1" x14ac:dyDescent="0.3">
      <c r="A1460">
        <v>2</v>
      </c>
      <c r="B1460" t="str">
        <f>VLOOKUP($A1460,[1]LISTA!$B:$C,2,0)</f>
        <v>ENERO</v>
      </c>
      <c r="C1460" s="1">
        <v>2025</v>
      </c>
      <c r="D1460" s="1" t="str">
        <f>IF($A1460&lt;=[1]RESULTADOS!$D$6,"YTD","YTG")</f>
        <v>YTD</v>
      </c>
      <c r="E1460" t="s">
        <v>680</v>
      </c>
      <c r="F1460" t="s">
        <v>667</v>
      </c>
      <c r="G1460" t="s">
        <v>667</v>
      </c>
      <c r="H1460" t="s">
        <v>668</v>
      </c>
      <c r="I1460" t="s">
        <v>102</v>
      </c>
      <c r="J1460" t="str">
        <f>IFERROR(VLOOKUP(I1460,[1]AUTOS!$C:$G,2,0),"")</f>
        <v>AVEO</v>
      </c>
      <c r="K1460">
        <f>IFERROR(VLOOKUP(I1460,[1]AUTOS!$C:$G,3,0),"")</f>
        <v>2022</v>
      </c>
      <c r="L1460" t="str">
        <f>IFERROR(VLOOKUP(I1460,[1]AUTOS!$C:$G,4,0),"")</f>
        <v>AZUL</v>
      </c>
      <c r="M1460" t="s">
        <v>43</v>
      </c>
      <c r="N1460" s="3">
        <v>3576.4251999999997</v>
      </c>
      <c r="O1460" s="3">
        <v>2500</v>
      </c>
      <c r="P1460" s="3">
        <v>3000</v>
      </c>
      <c r="Q1460" s="3">
        <v>0</v>
      </c>
    </row>
    <row r="1461" spans="1:17" hidden="1" x14ac:dyDescent="0.3">
      <c r="A1461">
        <v>2</v>
      </c>
      <c r="B1461" t="str">
        <f>VLOOKUP($A1461,[1]LISTA!$B:$C,2,0)</f>
        <v>ENERO</v>
      </c>
      <c r="C1461" s="1">
        <v>2025</v>
      </c>
      <c r="D1461" s="1" t="str">
        <f>IF($A1461&lt;=[1]RESULTADOS!$D$6,"YTD","YTG")</f>
        <v>YTD</v>
      </c>
      <c r="E1461" t="s">
        <v>456</v>
      </c>
      <c r="F1461" t="s">
        <v>667</v>
      </c>
      <c r="G1461" t="s">
        <v>667</v>
      </c>
      <c r="H1461" t="s">
        <v>668</v>
      </c>
      <c r="I1461" t="s">
        <v>73</v>
      </c>
      <c r="J1461" t="str">
        <f>IFERROR(VLOOKUP(I1461,[1]AUTOS!$C:$G,2,0),"")</f>
        <v>VERSA</v>
      </c>
      <c r="K1461">
        <f>IFERROR(VLOOKUP(I1461,[1]AUTOS!$C:$G,3,0),"")</f>
        <v>2023</v>
      </c>
      <c r="L1461" t="str">
        <f>IFERROR(VLOOKUP(I1461,[1]AUTOS!$C:$G,4,0),"")</f>
        <v>PLATA</v>
      </c>
      <c r="M1461" t="s">
        <v>43</v>
      </c>
      <c r="N1461" s="3">
        <v>6246.8939999999993</v>
      </c>
      <c r="O1461" s="3">
        <v>2500</v>
      </c>
      <c r="P1461" s="3">
        <v>3000</v>
      </c>
      <c r="Q1461" s="3">
        <v>0</v>
      </c>
    </row>
    <row r="1462" spans="1:17" x14ac:dyDescent="0.3">
      <c r="A1462">
        <v>2</v>
      </c>
      <c r="B1462" t="str">
        <f>VLOOKUP($A1462,[1]LISTA!$B:$C,2,0)</f>
        <v>ENERO</v>
      </c>
      <c r="C1462" s="1">
        <v>2025</v>
      </c>
      <c r="D1462" s="1" t="str">
        <f>IF($A1462&lt;=[1]RESULTADOS!$D$6,"YTD","YTG")</f>
        <v>YTD</v>
      </c>
      <c r="E1462" t="s">
        <v>518</v>
      </c>
      <c r="F1462" t="s">
        <v>667</v>
      </c>
      <c r="G1462" t="s">
        <v>667</v>
      </c>
      <c r="H1462" t="s">
        <v>668</v>
      </c>
      <c r="I1462" t="s">
        <v>72</v>
      </c>
      <c r="J1462" t="str">
        <f>IFERROR(VLOOKUP(I1462,[1]AUTOS!$C:$G,2,0),"")</f>
        <v>VENTO</v>
      </c>
      <c r="K1462">
        <f>IFERROR(VLOOKUP(I1462,[1]AUTOS!$C:$G,3,0),"")</f>
        <v>2020</v>
      </c>
      <c r="L1462" t="str">
        <f>IFERROR(VLOOKUP(I1462,[1]AUTOS!$C:$G,4,0),"")</f>
        <v>GRIS</v>
      </c>
      <c r="M1462" t="s">
        <v>43</v>
      </c>
      <c r="N1462" s="3">
        <v>263.90960000000001</v>
      </c>
      <c r="O1462" s="3">
        <v>714.28</v>
      </c>
      <c r="P1462" s="3">
        <v>713.90959999999995</v>
      </c>
      <c r="Q1462" s="3">
        <v>0</v>
      </c>
    </row>
    <row r="1463" spans="1:17" hidden="1" x14ac:dyDescent="0.3">
      <c r="A1463">
        <v>2</v>
      </c>
      <c r="B1463" t="str">
        <f>VLOOKUP($A1463,[1]LISTA!$B:$C,2,0)</f>
        <v>ENERO</v>
      </c>
      <c r="C1463" s="1">
        <v>2025</v>
      </c>
      <c r="D1463" s="1" t="str">
        <f>IF($A1463&lt;=[1]RESULTADOS!$D$6,"YTD","YTG")</f>
        <v>YTD</v>
      </c>
      <c r="E1463" t="s">
        <v>673</v>
      </c>
      <c r="F1463" t="s">
        <v>667</v>
      </c>
      <c r="G1463" t="s">
        <v>667</v>
      </c>
      <c r="H1463" t="s">
        <v>668</v>
      </c>
      <c r="I1463" t="s">
        <v>76</v>
      </c>
      <c r="J1463" t="str">
        <f>IFERROR(VLOOKUP(I1463,[1]AUTOS!$C:$G,2,0),"")</f>
        <v>AVEO</v>
      </c>
      <c r="K1463">
        <f>IFERROR(VLOOKUP(I1463,[1]AUTOS!$C:$G,3,0),"")</f>
        <v>2018</v>
      </c>
      <c r="L1463" t="str">
        <f>IFERROR(VLOOKUP(I1463,[1]AUTOS!$C:$G,4,0),"")</f>
        <v>GRIS</v>
      </c>
      <c r="M1463" t="s">
        <v>43</v>
      </c>
      <c r="N1463" s="3">
        <v>2540.6214</v>
      </c>
      <c r="O1463" s="3">
        <v>2500</v>
      </c>
      <c r="P1463" s="3">
        <v>2500</v>
      </c>
      <c r="Q1463" s="3">
        <v>0</v>
      </c>
    </row>
    <row r="1464" spans="1:17" hidden="1" x14ac:dyDescent="0.3">
      <c r="A1464">
        <v>2</v>
      </c>
      <c r="B1464" t="str">
        <f>VLOOKUP($A1464,[1]LISTA!$B:$C,2,0)</f>
        <v>ENERO</v>
      </c>
      <c r="C1464" s="1">
        <v>2025</v>
      </c>
      <c r="D1464" s="1" t="str">
        <f>IF($A1464&lt;=[1]RESULTADOS!$D$6,"YTD","YTG")</f>
        <v>YTD</v>
      </c>
      <c r="E1464" t="s">
        <v>674</v>
      </c>
      <c r="F1464" t="s">
        <v>667</v>
      </c>
      <c r="G1464" t="s">
        <v>667</v>
      </c>
      <c r="H1464" t="s">
        <v>668</v>
      </c>
      <c r="I1464" t="s">
        <v>46</v>
      </c>
      <c r="J1464" t="str">
        <f>IFERROR(VLOOKUP(I1464,[1]AUTOS!$C:$G,2,0),"")</f>
        <v>MARCH</v>
      </c>
      <c r="K1464">
        <f>IFERROR(VLOOKUP(I1464,[1]AUTOS!$C:$G,3,0),"")</f>
        <v>2020</v>
      </c>
      <c r="L1464" t="str">
        <f>IFERROR(VLOOKUP(I1464,[1]AUTOS!$C:$G,4,0),"")</f>
        <v>TURQ</v>
      </c>
      <c r="M1464" t="s">
        <v>43</v>
      </c>
      <c r="N1464" s="3">
        <v>2016.7257999999999</v>
      </c>
      <c r="O1464" s="3">
        <v>2500</v>
      </c>
      <c r="P1464" s="3">
        <v>4151.7258000000002</v>
      </c>
      <c r="Q1464" s="3">
        <v>500</v>
      </c>
    </row>
    <row r="1465" spans="1:17" hidden="1" x14ac:dyDescent="0.3">
      <c r="A1465">
        <v>2</v>
      </c>
      <c r="B1465" t="str">
        <f>VLOOKUP($A1465,[1]LISTA!$B:$C,2,0)</f>
        <v>ENERO</v>
      </c>
      <c r="C1465" s="1">
        <v>2025</v>
      </c>
      <c r="D1465" s="1" t="str">
        <f>IF($A1465&lt;=[1]RESULTADOS!$D$6,"YTD","YTG")</f>
        <v>YTD</v>
      </c>
      <c r="E1465" t="s">
        <v>681</v>
      </c>
      <c r="F1465" t="s">
        <v>667</v>
      </c>
      <c r="G1465" t="s">
        <v>667</v>
      </c>
      <c r="H1465" t="s">
        <v>668</v>
      </c>
      <c r="I1465" t="s">
        <v>34</v>
      </c>
      <c r="J1465" t="str">
        <f>IFERROR(VLOOKUP(I1465,[1]AUTOS!$C:$G,2,0),"")</f>
        <v>AVEO</v>
      </c>
      <c r="K1465">
        <f>IFERROR(VLOOKUP(I1465,[1]AUTOS!$C:$G,3,0),"")</f>
        <v>2018</v>
      </c>
      <c r="L1465" t="str">
        <f>IFERROR(VLOOKUP(I1465,[1]AUTOS!$C:$G,4,0),"")</f>
        <v>ROJO</v>
      </c>
      <c r="M1465" t="s">
        <v>43</v>
      </c>
      <c r="N1465" s="3">
        <v>2739.9701999999997</v>
      </c>
      <c r="O1465" s="3">
        <v>2500</v>
      </c>
      <c r="P1465" s="3">
        <v>2500</v>
      </c>
      <c r="Q1465" s="3">
        <v>0</v>
      </c>
    </row>
    <row r="1466" spans="1:17" hidden="1" x14ac:dyDescent="0.3">
      <c r="A1466">
        <v>2</v>
      </c>
      <c r="B1466" t="str">
        <f>VLOOKUP($A1466,[1]LISTA!$B:$C,2,0)</f>
        <v>ENERO</v>
      </c>
      <c r="C1466" s="1">
        <v>2025</v>
      </c>
      <c r="D1466" s="1" t="str">
        <f>IF($A1466&lt;=[1]RESULTADOS!$D$6,"YTD","YTG")</f>
        <v>YTD</v>
      </c>
      <c r="E1466" t="s">
        <v>675</v>
      </c>
      <c r="F1466" t="s">
        <v>667</v>
      </c>
      <c r="G1466" t="s">
        <v>667</v>
      </c>
      <c r="H1466" t="s">
        <v>668</v>
      </c>
      <c r="I1466" t="s">
        <v>40</v>
      </c>
      <c r="J1466" t="str">
        <f>IFERROR(VLOOKUP(I1466,[1]AUTOS!$C:$G,2,0),"")</f>
        <v>VERSA</v>
      </c>
      <c r="K1466">
        <f>IFERROR(VLOOKUP(I1466,[1]AUTOS!$C:$G,3,0),"")</f>
        <v>2017</v>
      </c>
      <c r="L1466" t="str">
        <f>IFERROR(VLOOKUP(I1466,[1]AUTOS!$C:$G,4,0),"")</f>
        <v>ACERO</v>
      </c>
      <c r="M1466" t="s">
        <v>43</v>
      </c>
      <c r="N1466" s="3">
        <v>1209.1575999999998</v>
      </c>
      <c r="O1466" s="3">
        <v>2500</v>
      </c>
      <c r="P1466" s="3">
        <v>3091.1575999999995</v>
      </c>
      <c r="Q1466" s="3">
        <v>500</v>
      </c>
    </row>
    <row r="1467" spans="1:17" hidden="1" x14ac:dyDescent="0.3">
      <c r="A1467">
        <v>2</v>
      </c>
      <c r="B1467" t="str">
        <f>VLOOKUP($A1467,[1]LISTA!$B:$C,2,0)</f>
        <v>ENERO</v>
      </c>
      <c r="C1467" s="1">
        <v>2025</v>
      </c>
      <c r="D1467" s="1" t="str">
        <f>IF($A1467&lt;=[1]RESULTADOS!$D$6,"YTD","YTG")</f>
        <v>YTD</v>
      </c>
      <c r="E1467" t="s">
        <v>403</v>
      </c>
      <c r="F1467" t="s">
        <v>667</v>
      </c>
      <c r="G1467" t="s">
        <v>667</v>
      </c>
      <c r="H1467" t="s">
        <v>668</v>
      </c>
      <c r="I1467" t="s">
        <v>51</v>
      </c>
      <c r="J1467" t="str">
        <f>IFERROR(VLOOKUP(I1467,[1]AUTOS!$C:$G,2,0),"")</f>
        <v>VENTO</v>
      </c>
      <c r="K1467">
        <f>IFERROR(VLOOKUP(I1467,[1]AUTOS!$C:$G,3,0),"")</f>
        <v>2017</v>
      </c>
      <c r="L1467" t="str">
        <f>IFERROR(VLOOKUP(I1467,[1]AUTOS!$C:$G,4,0),"")</f>
        <v>GRIS</v>
      </c>
      <c r="M1467" t="s">
        <v>43</v>
      </c>
      <c r="N1467" s="3">
        <v>2739.3625999999999</v>
      </c>
      <c r="O1467" s="3">
        <v>2300</v>
      </c>
      <c r="P1467" s="3">
        <v>2896.3625999999999</v>
      </c>
      <c r="Q1467" s="3">
        <v>339</v>
      </c>
    </row>
    <row r="1468" spans="1:17" hidden="1" x14ac:dyDescent="0.3">
      <c r="A1468">
        <v>2</v>
      </c>
      <c r="B1468" t="str">
        <f>VLOOKUP($A1468,[1]LISTA!$B:$C,2,0)</f>
        <v>ENERO</v>
      </c>
      <c r="C1468" s="1">
        <v>2025</v>
      </c>
      <c r="D1468" s="1" t="str">
        <f>IF($A1468&lt;=[1]RESULTADOS!$D$6,"YTD","YTG")</f>
        <v>YTD</v>
      </c>
      <c r="E1468" t="s">
        <v>676</v>
      </c>
      <c r="F1468" t="s">
        <v>667</v>
      </c>
      <c r="G1468" t="s">
        <v>667</v>
      </c>
      <c r="H1468" t="s">
        <v>668</v>
      </c>
      <c r="I1468" t="s">
        <v>67</v>
      </c>
      <c r="J1468" t="str">
        <f>IFERROR(VLOOKUP(I1468,[1]AUTOS!$C:$G,2,0),"")</f>
        <v>KIA RIO</v>
      </c>
      <c r="K1468">
        <f>IFERROR(VLOOKUP(I1468,[1]AUTOS!$C:$G,3,0),"")</f>
        <v>2020</v>
      </c>
      <c r="L1468" t="str">
        <f>IFERROR(VLOOKUP(I1468,[1]AUTOS!$C:$G,4,0),"")</f>
        <v>GRIS</v>
      </c>
      <c r="M1468" t="s">
        <v>669</v>
      </c>
      <c r="N1468" s="3">
        <v>2896.6215999999999</v>
      </c>
      <c r="O1468" s="3">
        <v>2500</v>
      </c>
      <c r="P1468" s="3">
        <v>2500</v>
      </c>
      <c r="Q1468" s="3">
        <v>0</v>
      </c>
    </row>
    <row r="1469" spans="1:17" hidden="1" x14ac:dyDescent="0.3">
      <c r="A1469">
        <v>3</v>
      </c>
      <c r="B1469" t="str">
        <f>VLOOKUP($A1469,[1]LISTA!$B:$C,2,0)</f>
        <v>ENERO</v>
      </c>
      <c r="C1469" s="1">
        <v>2025</v>
      </c>
      <c r="D1469" s="1" t="str">
        <f>IF($A1469&lt;=[1]RESULTADOS!$D$6,"YTD","YTG")</f>
        <v>YTD</v>
      </c>
      <c r="E1469" t="s">
        <v>677</v>
      </c>
      <c r="F1469" t="s">
        <v>667</v>
      </c>
      <c r="G1469" t="s">
        <v>667</v>
      </c>
      <c r="H1469" t="s">
        <v>668</v>
      </c>
      <c r="I1469" t="s">
        <v>37</v>
      </c>
      <c r="J1469" t="str">
        <f>IFERROR(VLOOKUP(I1469,[1]AUTOS!$C:$G,2,0),"")</f>
        <v>BEAT</v>
      </c>
      <c r="K1469">
        <f>IFERROR(VLOOKUP(I1469,[1]AUTOS!$C:$G,3,0),"")</f>
        <v>2020</v>
      </c>
      <c r="L1469" t="str">
        <f>IFERROR(VLOOKUP(I1469,[1]AUTOS!$C:$G,4,0),"")</f>
        <v>GRIS</v>
      </c>
      <c r="M1469" t="s">
        <v>43</v>
      </c>
      <c r="N1469" s="3">
        <v>400.72480000000041</v>
      </c>
      <c r="O1469" s="3">
        <v>2500</v>
      </c>
      <c r="P1469" s="3">
        <v>400.72480000000041</v>
      </c>
      <c r="Q1469" s="3">
        <v>0</v>
      </c>
    </row>
    <row r="1470" spans="1:17" hidden="1" x14ac:dyDescent="0.3">
      <c r="A1470">
        <v>3</v>
      </c>
      <c r="B1470" t="str">
        <f>VLOOKUP($A1470,[1]LISTA!$B:$C,2,0)</f>
        <v>ENERO</v>
      </c>
      <c r="C1470" s="1">
        <v>2025</v>
      </c>
      <c r="D1470" s="1" t="str">
        <f>IF($A1470&lt;=[1]RESULTADOS!$D$6,"YTD","YTG")</f>
        <v>YTD</v>
      </c>
      <c r="E1470" t="s">
        <v>492</v>
      </c>
      <c r="F1470" t="s">
        <v>667</v>
      </c>
      <c r="G1470" t="s">
        <v>667</v>
      </c>
      <c r="H1470" t="s">
        <v>668</v>
      </c>
      <c r="I1470" t="s">
        <v>79</v>
      </c>
      <c r="J1470" t="str">
        <f>IFERROR(VLOOKUP(I1470,[1]AUTOS!$C:$G,2,0),"")</f>
        <v>AVEO</v>
      </c>
      <c r="K1470">
        <f>IFERROR(VLOOKUP(I1470,[1]AUTOS!$C:$G,3,0),"")</f>
        <v>2021</v>
      </c>
      <c r="L1470" t="str">
        <f>IFERROR(VLOOKUP(I1470,[1]AUTOS!$C:$G,4,0),"")</f>
        <v>OCRE</v>
      </c>
      <c r="M1470" t="s">
        <v>43</v>
      </c>
      <c r="N1470" s="3">
        <v>50.31</v>
      </c>
      <c r="O1470" s="3">
        <v>1071</v>
      </c>
      <c r="P1470" s="3">
        <v>1071.31</v>
      </c>
      <c r="Q1470" s="3">
        <v>0</v>
      </c>
    </row>
    <row r="1471" spans="1:17" hidden="1" x14ac:dyDescent="0.3">
      <c r="A1471">
        <v>3</v>
      </c>
      <c r="B1471" t="str">
        <f>VLOOKUP($A1471,[1]LISTA!$B:$C,2,0)</f>
        <v>ENERO</v>
      </c>
      <c r="C1471" s="1">
        <v>2025</v>
      </c>
      <c r="D1471" s="1" t="str">
        <f>IF($A1471&lt;=[1]RESULTADOS!$D$6,"YTD","YTG")</f>
        <v>YTD</v>
      </c>
      <c r="E1471" t="s">
        <v>492</v>
      </c>
      <c r="F1471" t="s">
        <v>667</v>
      </c>
      <c r="G1471" t="s">
        <v>667</v>
      </c>
      <c r="H1471" t="s">
        <v>668</v>
      </c>
      <c r="I1471" t="s">
        <v>79</v>
      </c>
      <c r="J1471" t="str">
        <f>IFERROR(VLOOKUP(I1471,[1]AUTOS!$C:$G,2,0),"")</f>
        <v>AVEO</v>
      </c>
      <c r="K1471">
        <f>IFERROR(VLOOKUP(I1471,[1]AUTOS!$C:$G,3,0),"")</f>
        <v>2021</v>
      </c>
      <c r="L1471" t="str">
        <f>IFERROR(VLOOKUP(I1471,[1]AUTOS!$C:$G,4,0),"")</f>
        <v>OCRE</v>
      </c>
      <c r="M1471" t="s">
        <v>669</v>
      </c>
      <c r="N1471" s="3">
        <v>1165.1493999999998</v>
      </c>
      <c r="O1471" s="3">
        <v>1429</v>
      </c>
      <c r="P1471" s="3">
        <v>1429.1493999999998</v>
      </c>
      <c r="Q1471" s="3">
        <v>0</v>
      </c>
    </row>
    <row r="1472" spans="1:17" hidden="1" x14ac:dyDescent="0.3">
      <c r="A1472">
        <v>3</v>
      </c>
      <c r="B1472" t="str">
        <f>VLOOKUP($A1472,[1]LISTA!$B:$C,2,0)</f>
        <v>ENERO</v>
      </c>
      <c r="C1472" s="1">
        <v>2025</v>
      </c>
      <c r="D1472" s="1" t="str">
        <f>IF($A1472&lt;=[1]RESULTADOS!$D$6,"YTD","YTG")</f>
        <v>YTD</v>
      </c>
      <c r="E1472" t="s">
        <v>670</v>
      </c>
      <c r="F1472" t="s">
        <v>667</v>
      </c>
      <c r="G1472" t="s">
        <v>667</v>
      </c>
      <c r="H1472" t="s">
        <v>668</v>
      </c>
      <c r="I1472" t="s">
        <v>76</v>
      </c>
      <c r="J1472" t="str">
        <f>IFERROR(VLOOKUP(I1472,[1]AUTOS!$C:$G,2,0),"")</f>
        <v>AVEO</v>
      </c>
      <c r="K1472">
        <f>IFERROR(VLOOKUP(I1472,[1]AUTOS!$C:$G,3,0),"")</f>
        <v>2018</v>
      </c>
      <c r="L1472" t="str">
        <f>IFERROR(VLOOKUP(I1472,[1]AUTOS!$C:$G,4,0),"")</f>
        <v>GRIS</v>
      </c>
      <c r="M1472" t="s">
        <v>43</v>
      </c>
      <c r="N1472" s="3">
        <v>1955.5949999999998</v>
      </c>
      <c r="O1472" s="3">
        <v>2500</v>
      </c>
      <c r="P1472" s="3">
        <v>2499.5949999999998</v>
      </c>
      <c r="Q1472" s="3">
        <v>0</v>
      </c>
    </row>
    <row r="1473" spans="1:17" hidden="1" x14ac:dyDescent="0.3">
      <c r="A1473">
        <v>3</v>
      </c>
      <c r="B1473" t="str">
        <f>VLOOKUP($A1473,[1]LISTA!$B:$C,2,0)</f>
        <v>ENERO</v>
      </c>
      <c r="C1473" s="1">
        <v>2025</v>
      </c>
      <c r="D1473" s="1" t="str">
        <f>IF($A1473&lt;=[1]RESULTADOS!$D$6,"YTD","YTG")</f>
        <v>YTD</v>
      </c>
      <c r="E1473" t="s">
        <v>671</v>
      </c>
      <c r="F1473" t="s">
        <v>667</v>
      </c>
      <c r="G1473" t="s">
        <v>667</v>
      </c>
      <c r="H1473" t="s">
        <v>668</v>
      </c>
      <c r="I1473" t="s">
        <v>162</v>
      </c>
      <c r="J1473" t="str">
        <f>IFERROR(VLOOKUP(I1473,[1]AUTOS!$C:$G,2,0),"")</f>
        <v>HYUNDAI</v>
      </c>
      <c r="K1473">
        <f>IFERROR(VLOOKUP(I1473,[1]AUTOS!$C:$G,3,0),"")</f>
        <v>2022</v>
      </c>
      <c r="L1473" t="str">
        <f>IFERROR(VLOOKUP(I1473,[1]AUTOS!$C:$G,4,0),"")</f>
        <v>PLATA</v>
      </c>
      <c r="M1473" t="s">
        <v>43</v>
      </c>
      <c r="N1473" s="3">
        <v>0</v>
      </c>
      <c r="O1473" s="3">
        <v>1071</v>
      </c>
      <c r="P1473" s="3">
        <v>2371</v>
      </c>
      <c r="Q1473" s="3">
        <v>0</v>
      </c>
    </row>
    <row r="1474" spans="1:17" hidden="1" x14ac:dyDescent="0.3">
      <c r="A1474">
        <v>3</v>
      </c>
      <c r="B1474" t="str">
        <f>VLOOKUP($A1474,[1]LISTA!$B:$C,2,0)</f>
        <v>ENERO</v>
      </c>
      <c r="C1474" s="1">
        <v>2025</v>
      </c>
      <c r="D1474" s="1" t="str">
        <f>IF($A1474&lt;=[1]RESULTADOS!$D$6,"YTD","YTG")</f>
        <v>YTD</v>
      </c>
      <c r="E1474" t="s">
        <v>671</v>
      </c>
      <c r="F1474" t="s">
        <v>667</v>
      </c>
      <c r="G1474" t="s">
        <v>667</v>
      </c>
      <c r="H1474" t="s">
        <v>668</v>
      </c>
      <c r="I1474" t="s">
        <v>162</v>
      </c>
      <c r="J1474" t="str">
        <f>IFERROR(VLOOKUP(I1474,[1]AUTOS!$C:$G,2,0),"")</f>
        <v>HYUNDAI</v>
      </c>
      <c r="K1474">
        <f>IFERROR(VLOOKUP(I1474,[1]AUTOS!$C:$G,3,0),"")</f>
        <v>2022</v>
      </c>
      <c r="L1474" t="str">
        <f>IFERROR(VLOOKUP(I1474,[1]AUTOS!$C:$G,4,0),"")</f>
        <v>PLATA</v>
      </c>
      <c r="M1474" t="s">
        <v>669</v>
      </c>
      <c r="N1474" s="3">
        <v>0</v>
      </c>
      <c r="O1474" s="3">
        <v>1429</v>
      </c>
      <c r="P1474" s="3">
        <v>1429</v>
      </c>
      <c r="Q1474" s="3">
        <v>0</v>
      </c>
    </row>
    <row r="1475" spans="1:17" hidden="1" x14ac:dyDescent="0.3">
      <c r="A1475">
        <v>3</v>
      </c>
      <c r="B1475" t="str">
        <f>VLOOKUP($A1475,[1]LISTA!$B:$C,2,0)</f>
        <v>ENERO</v>
      </c>
      <c r="C1475" s="1">
        <v>2025</v>
      </c>
      <c r="D1475" s="1" t="str">
        <f>IF($A1475&lt;=[1]RESULTADOS!$D$6,"YTD","YTG")</f>
        <v>YTD</v>
      </c>
      <c r="E1475" t="s">
        <v>672</v>
      </c>
      <c r="F1475" t="s">
        <v>667</v>
      </c>
      <c r="G1475" t="s">
        <v>667</v>
      </c>
      <c r="H1475" t="s">
        <v>668</v>
      </c>
      <c r="I1475" t="s">
        <v>61</v>
      </c>
      <c r="J1475" t="str">
        <f>IFERROR(VLOOKUP(I1475,[1]AUTOS!$C:$G,2,0),"")</f>
        <v>KIA RIO</v>
      </c>
      <c r="K1475">
        <f>IFERROR(VLOOKUP(I1475,[1]AUTOS!$C:$G,3,0),"")</f>
        <v>2017</v>
      </c>
      <c r="L1475" t="str">
        <f>IFERROR(VLOOKUP(I1475,[1]AUTOS!$C:$G,4,0),"")</f>
        <v>ROJO</v>
      </c>
      <c r="M1475" t="s">
        <v>43</v>
      </c>
      <c r="N1475" s="3">
        <v>356.26</v>
      </c>
      <c r="O1475" s="3">
        <v>0</v>
      </c>
      <c r="P1475" s="3">
        <v>0</v>
      </c>
      <c r="Q1475" s="3">
        <v>0</v>
      </c>
    </row>
    <row r="1476" spans="1:17" x14ac:dyDescent="0.3">
      <c r="A1476">
        <v>3</v>
      </c>
      <c r="B1476" t="str">
        <f>VLOOKUP($A1476,[1]LISTA!$B:$C,2,0)</f>
        <v>ENERO</v>
      </c>
      <c r="C1476" s="1">
        <v>2025</v>
      </c>
      <c r="D1476" s="1" t="str">
        <f>IF($A1476&lt;=[1]RESULTADOS!$D$6,"YTD","YTG")</f>
        <v>YTD</v>
      </c>
      <c r="E1476" t="s">
        <v>678</v>
      </c>
      <c r="F1476" t="s">
        <v>667</v>
      </c>
      <c r="G1476" t="s">
        <v>667</v>
      </c>
      <c r="H1476" t="s">
        <v>668</v>
      </c>
      <c r="I1476" t="s">
        <v>72</v>
      </c>
      <c r="J1476" t="str">
        <f>IFERROR(VLOOKUP(I1476,[1]AUTOS!$C:$G,2,0),"")</f>
        <v>VENTO</v>
      </c>
      <c r="K1476">
        <f>IFERROR(VLOOKUP(I1476,[1]AUTOS!$C:$G,3,0),"")</f>
        <v>2020</v>
      </c>
      <c r="L1476" t="str">
        <f>IFERROR(VLOOKUP(I1476,[1]AUTOS!$C:$G,4,0),"")</f>
        <v>GRIS</v>
      </c>
      <c r="M1476" t="s">
        <v>43</v>
      </c>
      <c r="N1476" s="3">
        <v>2389.9211999999998</v>
      </c>
      <c r="O1476" s="3">
        <v>2500</v>
      </c>
      <c r="P1476" s="3">
        <v>3009.9211999999998</v>
      </c>
      <c r="Q1476" s="3">
        <v>500</v>
      </c>
    </row>
    <row r="1477" spans="1:17" hidden="1" x14ac:dyDescent="0.3">
      <c r="A1477">
        <v>3</v>
      </c>
      <c r="B1477" t="str">
        <f>VLOOKUP($A1477,[1]LISTA!$B:$C,2,0)</f>
        <v>ENERO</v>
      </c>
      <c r="C1477" s="1">
        <v>2025</v>
      </c>
      <c r="D1477" s="1" t="str">
        <f>IF($A1477&lt;=[1]RESULTADOS!$D$6,"YTD","YTG")</f>
        <v>YTD</v>
      </c>
      <c r="E1477" t="s">
        <v>679</v>
      </c>
      <c r="F1477" t="s">
        <v>667</v>
      </c>
      <c r="G1477" t="s">
        <v>667</v>
      </c>
      <c r="H1477" t="s">
        <v>668</v>
      </c>
      <c r="I1477" t="s">
        <v>82</v>
      </c>
      <c r="J1477" t="str">
        <f>IFERROR(VLOOKUP(I1477,[1]AUTOS!$C:$G,2,0),"")</f>
        <v>AVEO</v>
      </c>
      <c r="K1477">
        <f>IFERROR(VLOOKUP(I1477,[1]AUTOS!$C:$G,3,0),"")</f>
        <v>2019</v>
      </c>
      <c r="L1477" t="str">
        <f>IFERROR(VLOOKUP(I1477,[1]AUTOS!$C:$G,4,0),"")</f>
        <v>PLATA</v>
      </c>
      <c r="M1477" t="s">
        <v>43</v>
      </c>
      <c r="N1477" s="3">
        <v>3549.3175499999998</v>
      </c>
      <c r="O1477" s="3">
        <v>2500</v>
      </c>
      <c r="P1477" s="3">
        <v>3000</v>
      </c>
      <c r="Q1477" s="3">
        <v>0</v>
      </c>
    </row>
    <row r="1478" spans="1:17" hidden="1" x14ac:dyDescent="0.3">
      <c r="A1478">
        <v>3</v>
      </c>
      <c r="B1478" t="str">
        <f>VLOOKUP($A1478,[1]LISTA!$B:$C,2,0)</f>
        <v>ENERO</v>
      </c>
      <c r="C1478" s="1">
        <v>2025</v>
      </c>
      <c r="D1478" s="1" t="str">
        <f>IF($A1478&lt;=[1]RESULTADOS!$D$6,"YTD","YTG")</f>
        <v>YTD</v>
      </c>
      <c r="E1478" t="s">
        <v>682</v>
      </c>
      <c r="F1478" t="s">
        <v>667</v>
      </c>
      <c r="G1478" t="s">
        <v>667</v>
      </c>
      <c r="H1478" t="s">
        <v>668</v>
      </c>
      <c r="I1478" t="s">
        <v>42</v>
      </c>
      <c r="J1478" t="str">
        <f>IFERROR(VLOOKUP(I1478,[1]AUTOS!$C:$G,2,0),"")</f>
        <v>VENTO</v>
      </c>
      <c r="K1478">
        <f>IFERROR(VLOOKUP(I1478,[1]AUTOS!$C:$G,3,0),"")</f>
        <v>2018</v>
      </c>
      <c r="L1478" t="str">
        <f>IFERROR(VLOOKUP(I1478,[1]AUTOS!$C:$G,4,0),"")</f>
        <v>AMARILLO</v>
      </c>
      <c r="M1478" t="s">
        <v>43</v>
      </c>
      <c r="N1478" s="3">
        <v>6060.8648000000003</v>
      </c>
      <c r="O1478" s="3">
        <v>1968</v>
      </c>
      <c r="P1478" s="3">
        <v>2468</v>
      </c>
      <c r="Q1478" s="3">
        <v>500</v>
      </c>
    </row>
    <row r="1479" spans="1:17" hidden="1" x14ac:dyDescent="0.3">
      <c r="A1479">
        <v>3</v>
      </c>
      <c r="B1479" t="str">
        <f>VLOOKUP($A1479,[1]LISTA!$B:$C,2,0)</f>
        <v>ENERO</v>
      </c>
      <c r="C1479" s="1">
        <v>2025</v>
      </c>
      <c r="D1479" s="1" t="str">
        <f>IF($A1479&lt;=[1]RESULTADOS!$D$6,"YTD","YTG")</f>
        <v>YTD</v>
      </c>
      <c r="E1479" t="s">
        <v>680</v>
      </c>
      <c r="F1479" t="s">
        <v>667</v>
      </c>
      <c r="G1479" t="s">
        <v>667</v>
      </c>
      <c r="H1479" t="s">
        <v>668</v>
      </c>
      <c r="I1479" t="s">
        <v>102</v>
      </c>
      <c r="J1479" t="str">
        <f>IFERROR(VLOOKUP(I1479,[1]AUTOS!$C:$G,2,0),"")</f>
        <v>AVEO</v>
      </c>
      <c r="K1479">
        <f>IFERROR(VLOOKUP(I1479,[1]AUTOS!$C:$G,3,0),"")</f>
        <v>2022</v>
      </c>
      <c r="L1479" t="str">
        <f>IFERROR(VLOOKUP(I1479,[1]AUTOS!$C:$G,4,0),"")</f>
        <v>AZUL</v>
      </c>
      <c r="M1479" t="s">
        <v>43</v>
      </c>
      <c r="N1479" s="3">
        <v>3512.5620499999995</v>
      </c>
      <c r="O1479" s="3">
        <v>2500</v>
      </c>
      <c r="P1479" s="3">
        <v>2800</v>
      </c>
      <c r="Q1479" s="3">
        <v>0</v>
      </c>
    </row>
    <row r="1480" spans="1:17" hidden="1" x14ac:dyDescent="0.3">
      <c r="A1480">
        <v>3</v>
      </c>
      <c r="B1480" t="str">
        <f>VLOOKUP($A1480,[1]LISTA!$B:$C,2,0)</f>
        <v>ENERO</v>
      </c>
      <c r="C1480" s="1">
        <v>2025</v>
      </c>
      <c r="D1480" s="1" t="str">
        <f>IF($A1480&lt;=[1]RESULTADOS!$D$6,"YTD","YTG")</f>
        <v>YTD</v>
      </c>
      <c r="E1480" t="s">
        <v>456</v>
      </c>
      <c r="F1480" t="s">
        <v>667</v>
      </c>
      <c r="G1480" t="s">
        <v>667</v>
      </c>
      <c r="H1480" t="s">
        <v>668</v>
      </c>
      <c r="I1480" t="s">
        <v>73</v>
      </c>
      <c r="J1480" t="str">
        <f>IFERROR(VLOOKUP(I1480,[1]AUTOS!$C:$G,2,0),"")</f>
        <v>VERSA</v>
      </c>
      <c r="K1480">
        <f>IFERROR(VLOOKUP(I1480,[1]AUTOS!$C:$G,3,0),"")</f>
        <v>2023</v>
      </c>
      <c r="L1480" t="str">
        <f>IFERROR(VLOOKUP(I1480,[1]AUTOS!$C:$G,4,0),"")</f>
        <v>PLATA</v>
      </c>
      <c r="M1480" t="s">
        <v>43</v>
      </c>
      <c r="N1480" s="3">
        <v>4836.7833999999993</v>
      </c>
      <c r="O1480" s="3">
        <v>2500</v>
      </c>
      <c r="P1480" s="3">
        <v>4500</v>
      </c>
      <c r="Q1480" s="3">
        <v>0</v>
      </c>
    </row>
    <row r="1481" spans="1:17" hidden="1" x14ac:dyDescent="0.3">
      <c r="A1481">
        <v>3</v>
      </c>
      <c r="B1481" t="str">
        <f>VLOOKUP($A1481,[1]LISTA!$B:$C,2,0)</f>
        <v>ENERO</v>
      </c>
      <c r="C1481" s="1">
        <v>2025</v>
      </c>
      <c r="D1481" s="1" t="str">
        <f>IF($A1481&lt;=[1]RESULTADOS!$D$6,"YTD","YTG")</f>
        <v>YTD</v>
      </c>
      <c r="E1481" t="s">
        <v>673</v>
      </c>
      <c r="F1481" t="s">
        <v>667</v>
      </c>
      <c r="G1481" t="s">
        <v>667</v>
      </c>
      <c r="H1481" t="s">
        <v>668</v>
      </c>
      <c r="I1481" t="s">
        <v>76</v>
      </c>
      <c r="J1481" t="str">
        <f>IFERROR(VLOOKUP(I1481,[1]AUTOS!$C:$G,2,0),"")</f>
        <v>AVEO</v>
      </c>
      <c r="K1481">
        <f>IFERROR(VLOOKUP(I1481,[1]AUTOS!$C:$G,3,0),"")</f>
        <v>2018</v>
      </c>
      <c r="L1481" t="str">
        <f>IFERROR(VLOOKUP(I1481,[1]AUTOS!$C:$G,4,0),"")</f>
        <v>GRIS</v>
      </c>
      <c r="M1481" t="s">
        <v>43</v>
      </c>
      <c r="N1481" s="3">
        <v>592.25779999999997</v>
      </c>
      <c r="O1481" s="3">
        <v>357.15</v>
      </c>
      <c r="P1481" s="3">
        <v>357.15</v>
      </c>
      <c r="Q1481" s="3">
        <v>0</v>
      </c>
    </row>
    <row r="1482" spans="1:17" hidden="1" x14ac:dyDescent="0.3">
      <c r="A1482">
        <v>3</v>
      </c>
      <c r="B1482" t="str">
        <f>VLOOKUP($A1482,[1]LISTA!$B:$C,2,0)</f>
        <v>ENERO</v>
      </c>
      <c r="C1482" s="1">
        <v>2025</v>
      </c>
      <c r="D1482" s="1" t="str">
        <f>IF($A1482&lt;=[1]RESULTADOS!$D$6,"YTD","YTG")</f>
        <v>YTD</v>
      </c>
      <c r="E1482" t="s">
        <v>674</v>
      </c>
      <c r="F1482" t="s">
        <v>667</v>
      </c>
      <c r="G1482" t="s">
        <v>667</v>
      </c>
      <c r="H1482" t="s">
        <v>668</v>
      </c>
      <c r="I1482" t="s">
        <v>46</v>
      </c>
      <c r="J1482" t="str">
        <f>IFERROR(VLOOKUP(I1482,[1]AUTOS!$C:$G,2,0),"")</f>
        <v>MARCH</v>
      </c>
      <c r="K1482">
        <f>IFERROR(VLOOKUP(I1482,[1]AUTOS!$C:$G,3,0),"")</f>
        <v>2020</v>
      </c>
      <c r="L1482" t="str">
        <f>IFERROR(VLOOKUP(I1482,[1]AUTOS!$C:$G,4,0),"")</f>
        <v>TURQ</v>
      </c>
      <c r="M1482" t="s">
        <v>43</v>
      </c>
      <c r="N1482" s="3">
        <v>3200.7712500000002</v>
      </c>
      <c r="O1482" s="3">
        <v>2500</v>
      </c>
      <c r="P1482" s="3">
        <v>3653.7712500000002</v>
      </c>
      <c r="Q1482" s="3">
        <v>0</v>
      </c>
    </row>
    <row r="1483" spans="1:17" hidden="1" x14ac:dyDescent="0.3">
      <c r="A1483">
        <v>3</v>
      </c>
      <c r="B1483" t="str">
        <f>VLOOKUP($A1483,[1]LISTA!$B:$C,2,0)</f>
        <v>ENERO</v>
      </c>
      <c r="C1483" s="1">
        <v>2025</v>
      </c>
      <c r="D1483" s="1" t="str">
        <f>IF($A1483&lt;=[1]RESULTADOS!$D$6,"YTD","YTG")</f>
        <v>YTD</v>
      </c>
      <c r="E1483" t="s">
        <v>681</v>
      </c>
      <c r="F1483" t="s">
        <v>667</v>
      </c>
      <c r="G1483" t="s">
        <v>667</v>
      </c>
      <c r="H1483" t="s">
        <v>668</v>
      </c>
      <c r="I1483" t="s">
        <v>34</v>
      </c>
      <c r="J1483" t="str">
        <f>IFERROR(VLOOKUP(I1483,[1]AUTOS!$C:$G,2,0),"")</f>
        <v>AVEO</v>
      </c>
      <c r="K1483">
        <f>IFERROR(VLOOKUP(I1483,[1]AUTOS!$C:$G,3,0),"")</f>
        <v>2018</v>
      </c>
      <c r="L1483" t="str">
        <f>IFERROR(VLOOKUP(I1483,[1]AUTOS!$C:$G,4,0),"")</f>
        <v>ROJO</v>
      </c>
      <c r="M1483" t="s">
        <v>43</v>
      </c>
      <c r="N1483" s="3">
        <v>3732.8294000000001</v>
      </c>
      <c r="O1483" s="3">
        <v>2500</v>
      </c>
      <c r="P1483" s="3">
        <v>3000</v>
      </c>
      <c r="Q1483" s="3">
        <v>0</v>
      </c>
    </row>
    <row r="1484" spans="1:17" hidden="1" x14ac:dyDescent="0.3">
      <c r="A1484">
        <v>3</v>
      </c>
      <c r="B1484" t="str">
        <f>VLOOKUP($A1484,[1]LISTA!$B:$C,2,0)</f>
        <v>ENERO</v>
      </c>
      <c r="C1484" s="1">
        <v>2025</v>
      </c>
      <c r="D1484" s="1" t="str">
        <f>IF($A1484&lt;=[1]RESULTADOS!$D$6,"YTD","YTG")</f>
        <v>YTD</v>
      </c>
      <c r="E1484" t="s">
        <v>675</v>
      </c>
      <c r="F1484" t="s">
        <v>667</v>
      </c>
      <c r="G1484" t="s">
        <v>667</v>
      </c>
      <c r="H1484" t="s">
        <v>668</v>
      </c>
      <c r="I1484" t="s">
        <v>40</v>
      </c>
      <c r="J1484" t="str">
        <f>IFERROR(VLOOKUP(I1484,[1]AUTOS!$C:$G,2,0),"")</f>
        <v>VERSA</v>
      </c>
      <c r="K1484">
        <f>IFERROR(VLOOKUP(I1484,[1]AUTOS!$C:$G,3,0),"")</f>
        <v>2017</v>
      </c>
      <c r="L1484" t="str">
        <f>IFERROR(VLOOKUP(I1484,[1]AUTOS!$C:$G,4,0),"")</f>
        <v>ACERO</v>
      </c>
      <c r="M1484" t="s">
        <v>43</v>
      </c>
      <c r="N1484" s="3">
        <v>2236.6292500000004</v>
      </c>
      <c r="O1484" s="3">
        <v>2500</v>
      </c>
      <c r="P1484" s="3">
        <v>3558.6292500000004</v>
      </c>
      <c r="Q1484" s="3">
        <v>500</v>
      </c>
    </row>
    <row r="1485" spans="1:17" hidden="1" x14ac:dyDescent="0.3">
      <c r="A1485">
        <v>3</v>
      </c>
      <c r="B1485" t="str">
        <f>VLOOKUP($A1485,[1]LISTA!$B:$C,2,0)</f>
        <v>ENERO</v>
      </c>
      <c r="C1485" s="1">
        <v>2025</v>
      </c>
      <c r="D1485" s="1" t="str">
        <f>IF($A1485&lt;=[1]RESULTADOS!$D$6,"YTD","YTG")</f>
        <v>YTD</v>
      </c>
      <c r="E1485" t="s">
        <v>683</v>
      </c>
      <c r="F1485" t="s">
        <v>667</v>
      </c>
      <c r="G1485" t="s">
        <v>667</v>
      </c>
      <c r="H1485" t="s">
        <v>668</v>
      </c>
      <c r="I1485" t="s">
        <v>59</v>
      </c>
      <c r="J1485" t="str">
        <f>IFERROR(VLOOKUP(I1485,[1]AUTOS!$C:$G,2,0),"")</f>
        <v>AVEO</v>
      </c>
      <c r="K1485">
        <f>IFERROR(VLOOKUP(I1485,[1]AUTOS!$C:$G,3,0),"")</f>
        <v>2019</v>
      </c>
      <c r="L1485" t="str">
        <f>IFERROR(VLOOKUP(I1485,[1]AUTOS!$C:$G,4,0),"")</f>
        <v>BLANCO</v>
      </c>
      <c r="M1485" t="s">
        <v>669</v>
      </c>
      <c r="N1485" s="3">
        <v>1181.2407999999998</v>
      </c>
      <c r="O1485" s="3">
        <v>1252</v>
      </c>
      <c r="P1485" s="3">
        <v>1286.2407999999998</v>
      </c>
      <c r="Q1485" s="3">
        <v>0</v>
      </c>
    </row>
    <row r="1486" spans="1:17" hidden="1" x14ac:dyDescent="0.3">
      <c r="A1486">
        <v>3</v>
      </c>
      <c r="B1486" t="str">
        <f>VLOOKUP($A1486,[1]LISTA!$B:$C,2,0)</f>
        <v>ENERO</v>
      </c>
      <c r="C1486" s="1">
        <v>2025</v>
      </c>
      <c r="D1486" s="1" t="str">
        <f>IF($A1486&lt;=[1]RESULTADOS!$D$6,"YTD","YTG")</f>
        <v>YTD</v>
      </c>
      <c r="E1486" t="s">
        <v>403</v>
      </c>
      <c r="F1486" t="s">
        <v>667</v>
      </c>
      <c r="G1486" t="s">
        <v>667</v>
      </c>
      <c r="H1486" t="s">
        <v>668</v>
      </c>
      <c r="I1486" t="s">
        <v>51</v>
      </c>
      <c r="J1486" t="str">
        <f>IFERROR(VLOOKUP(I1486,[1]AUTOS!$C:$G,2,0),"")</f>
        <v>VENTO</v>
      </c>
      <c r="K1486">
        <f>IFERROR(VLOOKUP(I1486,[1]AUTOS!$C:$G,3,0),"")</f>
        <v>2017</v>
      </c>
      <c r="L1486" t="str">
        <f>IFERROR(VLOOKUP(I1486,[1]AUTOS!$C:$G,4,0),"")</f>
        <v>GRIS</v>
      </c>
      <c r="M1486" t="s">
        <v>43</v>
      </c>
      <c r="N1486" s="3">
        <v>2691.9246499999995</v>
      </c>
      <c r="O1486" s="3">
        <v>2300</v>
      </c>
      <c r="P1486" s="3">
        <v>2799.9246499999995</v>
      </c>
      <c r="Q1486" s="3">
        <v>0</v>
      </c>
    </row>
    <row r="1487" spans="1:17" hidden="1" x14ac:dyDescent="0.3">
      <c r="A1487">
        <v>3</v>
      </c>
      <c r="B1487" t="str">
        <f>VLOOKUP($A1487,[1]LISTA!$B:$C,2,0)</f>
        <v>ENERO</v>
      </c>
      <c r="C1487" s="1">
        <v>2025</v>
      </c>
      <c r="D1487" s="1" t="str">
        <f>IF($A1487&lt;=[1]RESULTADOS!$D$6,"YTD","YTG")</f>
        <v>YTD</v>
      </c>
      <c r="E1487" t="s">
        <v>676</v>
      </c>
      <c r="F1487" t="s">
        <v>667</v>
      </c>
      <c r="G1487" t="s">
        <v>667</v>
      </c>
      <c r="H1487" t="s">
        <v>668</v>
      </c>
      <c r="I1487" t="s">
        <v>67</v>
      </c>
      <c r="J1487" t="str">
        <f>IFERROR(VLOOKUP(I1487,[1]AUTOS!$C:$G,2,0),"")</f>
        <v>KIA RIO</v>
      </c>
      <c r="K1487">
        <f>IFERROR(VLOOKUP(I1487,[1]AUTOS!$C:$G,3,0),"")</f>
        <v>2020</v>
      </c>
      <c r="L1487" t="str">
        <f>IFERROR(VLOOKUP(I1487,[1]AUTOS!$C:$G,4,0),"")</f>
        <v>GRIS</v>
      </c>
      <c r="M1487" t="s">
        <v>43</v>
      </c>
      <c r="N1487" s="3">
        <v>1929.4872</v>
      </c>
      <c r="O1487" s="3">
        <v>1071</v>
      </c>
      <c r="P1487" s="3">
        <v>1071</v>
      </c>
      <c r="Q1487" s="3">
        <v>0</v>
      </c>
    </row>
    <row r="1488" spans="1:17" hidden="1" x14ac:dyDescent="0.3">
      <c r="A1488">
        <v>3</v>
      </c>
      <c r="B1488" t="str">
        <f>VLOOKUP($A1488,[1]LISTA!$B:$C,2,0)</f>
        <v>ENERO</v>
      </c>
      <c r="C1488" s="1">
        <v>2025</v>
      </c>
      <c r="D1488" s="1" t="str">
        <f>IF($A1488&lt;=[1]RESULTADOS!$D$6,"YTD","YTG")</f>
        <v>YTD</v>
      </c>
      <c r="E1488" t="s">
        <v>676</v>
      </c>
      <c r="F1488" t="s">
        <v>667</v>
      </c>
      <c r="G1488" t="s">
        <v>667</v>
      </c>
      <c r="H1488" t="s">
        <v>668</v>
      </c>
      <c r="I1488" t="s">
        <v>67</v>
      </c>
      <c r="J1488" t="str">
        <f>IFERROR(VLOOKUP(I1488,[1]AUTOS!$C:$G,2,0),"")</f>
        <v>KIA RIO</v>
      </c>
      <c r="K1488">
        <f>IFERROR(VLOOKUP(I1488,[1]AUTOS!$C:$G,3,0),"")</f>
        <v>2020</v>
      </c>
      <c r="L1488" t="str">
        <f>IFERROR(VLOOKUP(I1488,[1]AUTOS!$C:$G,4,0),"")</f>
        <v>GRIS</v>
      </c>
      <c r="M1488" t="s">
        <v>669</v>
      </c>
      <c r="N1488" s="3">
        <v>1744.3903999999998</v>
      </c>
      <c r="O1488" s="3">
        <v>1429</v>
      </c>
      <c r="P1488" s="3">
        <v>1429</v>
      </c>
      <c r="Q1488" s="3">
        <v>0</v>
      </c>
    </row>
    <row r="1489" spans="1:17" hidden="1" x14ac:dyDescent="0.3">
      <c r="A1489">
        <v>4</v>
      </c>
      <c r="B1489" t="str">
        <f>VLOOKUP($A1489,[1]LISTA!$B:$C,2,0)</f>
        <v>ENERO</v>
      </c>
      <c r="C1489" s="1">
        <v>2025</v>
      </c>
      <c r="D1489" s="1" t="str">
        <f>IF($A1489&lt;=[1]RESULTADOS!$D$6,"YTD","YTG")</f>
        <v>YTD</v>
      </c>
      <c r="E1489" t="s">
        <v>492</v>
      </c>
      <c r="F1489" t="s">
        <v>667</v>
      </c>
      <c r="G1489" t="s">
        <v>667</v>
      </c>
      <c r="H1489" t="s">
        <v>668</v>
      </c>
      <c r="I1489" t="s">
        <v>79</v>
      </c>
      <c r="J1489" t="str">
        <f>IFERROR(VLOOKUP(I1489,[1]AUTOS!$C:$G,2,0),"")</f>
        <v>AVEO</v>
      </c>
      <c r="K1489">
        <f>IFERROR(VLOOKUP(I1489,[1]AUTOS!$C:$G,3,0),"")</f>
        <v>2021</v>
      </c>
      <c r="L1489" t="str">
        <f>IFERROR(VLOOKUP(I1489,[1]AUTOS!$C:$G,4,0),"")</f>
        <v>OCRE</v>
      </c>
      <c r="M1489" t="s">
        <v>669</v>
      </c>
      <c r="N1489" s="3">
        <v>-30</v>
      </c>
      <c r="O1489" s="3">
        <v>2500</v>
      </c>
      <c r="P1489" s="3">
        <v>2500</v>
      </c>
      <c r="Q1489" s="3">
        <v>0</v>
      </c>
    </row>
    <row r="1490" spans="1:17" hidden="1" x14ac:dyDescent="0.3">
      <c r="A1490">
        <v>4</v>
      </c>
      <c r="B1490" t="str">
        <f>VLOOKUP($A1490,[1]LISTA!$B:$C,2,0)</f>
        <v>ENERO</v>
      </c>
      <c r="C1490" s="1">
        <v>2025</v>
      </c>
      <c r="D1490" s="1" t="str">
        <f>IF($A1490&lt;=[1]RESULTADOS!$D$6,"YTD","YTG")</f>
        <v>YTD</v>
      </c>
      <c r="E1490" t="s">
        <v>670</v>
      </c>
      <c r="F1490" t="s">
        <v>667</v>
      </c>
      <c r="G1490" t="s">
        <v>667</v>
      </c>
      <c r="H1490" t="s">
        <v>668</v>
      </c>
      <c r="I1490" t="s">
        <v>76</v>
      </c>
      <c r="J1490" t="str">
        <f>IFERROR(VLOOKUP(I1490,[1]AUTOS!$C:$G,2,0),"")</f>
        <v>AVEO</v>
      </c>
      <c r="K1490">
        <f>IFERROR(VLOOKUP(I1490,[1]AUTOS!$C:$G,3,0),"")</f>
        <v>2018</v>
      </c>
      <c r="L1490" t="str">
        <f>IFERROR(VLOOKUP(I1490,[1]AUTOS!$C:$G,4,0),"")</f>
        <v>GRIS</v>
      </c>
      <c r="M1490" t="s">
        <v>43</v>
      </c>
      <c r="N1490" s="3">
        <v>-200</v>
      </c>
      <c r="O1490" s="3">
        <v>0</v>
      </c>
      <c r="P1490" s="3">
        <v>-200</v>
      </c>
      <c r="Q1490" s="3">
        <v>0</v>
      </c>
    </row>
    <row r="1491" spans="1:17" hidden="1" x14ac:dyDescent="0.3">
      <c r="A1491">
        <v>4</v>
      </c>
      <c r="B1491" t="str">
        <f>VLOOKUP($A1491,[1]LISTA!$B:$C,2,0)</f>
        <v>ENERO</v>
      </c>
      <c r="C1491" s="1">
        <v>2025</v>
      </c>
      <c r="D1491" s="1" t="str">
        <f>IF($A1491&lt;=[1]RESULTADOS!$D$6,"YTD","YTG")</f>
        <v>YTD</v>
      </c>
      <c r="E1491" t="s">
        <v>671</v>
      </c>
      <c r="F1491" t="s">
        <v>667</v>
      </c>
      <c r="G1491" t="s">
        <v>667</v>
      </c>
      <c r="H1491" t="s">
        <v>668</v>
      </c>
      <c r="I1491" t="s">
        <v>162</v>
      </c>
      <c r="J1491" t="str">
        <f>IFERROR(VLOOKUP(I1491,[1]AUTOS!$C:$G,2,0),"")</f>
        <v>HYUNDAI</v>
      </c>
      <c r="K1491">
        <f>IFERROR(VLOOKUP(I1491,[1]AUTOS!$C:$G,3,0),"")</f>
        <v>2022</v>
      </c>
      <c r="L1491" t="str">
        <f>IFERROR(VLOOKUP(I1491,[1]AUTOS!$C:$G,4,0),"")</f>
        <v>PLATA</v>
      </c>
      <c r="M1491" t="s">
        <v>669</v>
      </c>
      <c r="N1491" s="3">
        <v>0</v>
      </c>
      <c r="O1491" s="3">
        <v>2500</v>
      </c>
      <c r="P1491" s="3">
        <v>0</v>
      </c>
      <c r="Q1491" s="3">
        <v>0</v>
      </c>
    </row>
    <row r="1492" spans="1:17" x14ac:dyDescent="0.3">
      <c r="A1492">
        <v>4</v>
      </c>
      <c r="B1492" t="str">
        <f>VLOOKUP($A1492,[1]LISTA!$B:$C,2,0)</f>
        <v>ENERO</v>
      </c>
      <c r="C1492" s="1">
        <v>2025</v>
      </c>
      <c r="D1492" s="1" t="str">
        <f>IF($A1492&lt;=[1]RESULTADOS!$D$6,"YTD","YTG")</f>
        <v>YTD</v>
      </c>
      <c r="E1492" t="s">
        <v>678</v>
      </c>
      <c r="F1492" t="s">
        <v>667</v>
      </c>
      <c r="G1492" t="s">
        <v>667</v>
      </c>
      <c r="H1492" t="s">
        <v>668</v>
      </c>
      <c r="I1492" t="s">
        <v>72</v>
      </c>
      <c r="J1492" t="str">
        <f>IFERROR(VLOOKUP(I1492,[1]AUTOS!$C:$G,2,0),"")</f>
        <v>VENTO</v>
      </c>
      <c r="K1492">
        <f>IFERROR(VLOOKUP(I1492,[1]AUTOS!$C:$G,3,0),"")</f>
        <v>2020</v>
      </c>
      <c r="L1492" t="str">
        <f>IFERROR(VLOOKUP(I1492,[1]AUTOS!$C:$G,4,0),"")</f>
        <v>GRIS</v>
      </c>
      <c r="M1492" t="s">
        <v>43</v>
      </c>
      <c r="N1492" s="3">
        <v>1401.0500000000002</v>
      </c>
      <c r="O1492" s="3">
        <v>2500</v>
      </c>
      <c r="P1492" s="3">
        <v>3000.05</v>
      </c>
      <c r="Q1492" s="3">
        <v>500</v>
      </c>
    </row>
    <row r="1493" spans="1:17" hidden="1" x14ac:dyDescent="0.3">
      <c r="A1493">
        <v>4</v>
      </c>
      <c r="B1493" t="str">
        <f>VLOOKUP($A1493,[1]LISTA!$B:$C,2,0)</f>
        <v>ENERO</v>
      </c>
      <c r="C1493" s="1">
        <v>2025</v>
      </c>
      <c r="D1493" s="1" t="str">
        <f>IF($A1493&lt;=[1]RESULTADOS!$D$6,"YTD","YTG")</f>
        <v>YTD</v>
      </c>
      <c r="E1493" t="s">
        <v>679</v>
      </c>
      <c r="F1493" t="s">
        <v>667</v>
      </c>
      <c r="G1493" t="s">
        <v>667</v>
      </c>
      <c r="H1493" t="s">
        <v>668</v>
      </c>
      <c r="I1493" t="s">
        <v>82</v>
      </c>
      <c r="J1493" t="str">
        <f>IFERROR(VLOOKUP(I1493,[1]AUTOS!$C:$G,2,0),"")</f>
        <v>AVEO</v>
      </c>
      <c r="K1493">
        <f>IFERROR(VLOOKUP(I1493,[1]AUTOS!$C:$G,3,0),"")</f>
        <v>2019</v>
      </c>
      <c r="L1493" t="str">
        <f>IFERROR(VLOOKUP(I1493,[1]AUTOS!$C:$G,4,0),"")</f>
        <v>PLATA</v>
      </c>
      <c r="M1493" t="s">
        <v>43</v>
      </c>
      <c r="N1493" s="3">
        <v>5875.64</v>
      </c>
      <c r="O1493" s="3">
        <v>2500</v>
      </c>
      <c r="P1493" s="3">
        <v>3000</v>
      </c>
      <c r="Q1493" s="3">
        <v>0</v>
      </c>
    </row>
    <row r="1494" spans="1:17" hidden="1" x14ac:dyDescent="0.3">
      <c r="A1494">
        <v>4</v>
      </c>
      <c r="B1494" t="str">
        <f>VLOOKUP($A1494,[1]LISTA!$B:$C,2,0)</f>
        <v>ENERO</v>
      </c>
      <c r="C1494" s="1">
        <v>2025</v>
      </c>
      <c r="D1494" s="1" t="str">
        <f>IF($A1494&lt;=[1]RESULTADOS!$D$6,"YTD","YTG")</f>
        <v>YTD</v>
      </c>
      <c r="E1494" t="s">
        <v>682</v>
      </c>
      <c r="F1494" t="s">
        <v>667</v>
      </c>
      <c r="G1494" t="s">
        <v>667</v>
      </c>
      <c r="H1494" t="s">
        <v>668</v>
      </c>
      <c r="I1494" t="s">
        <v>42</v>
      </c>
      <c r="J1494" t="str">
        <f>IFERROR(VLOOKUP(I1494,[1]AUTOS!$C:$G,2,0),"")</f>
        <v>VENTO</v>
      </c>
      <c r="K1494">
        <f>IFERROR(VLOOKUP(I1494,[1]AUTOS!$C:$G,3,0),"")</f>
        <v>2018</v>
      </c>
      <c r="L1494" t="str">
        <f>IFERROR(VLOOKUP(I1494,[1]AUTOS!$C:$G,4,0),"")</f>
        <v>AMARILLO</v>
      </c>
      <c r="M1494" t="s">
        <v>43</v>
      </c>
      <c r="N1494" s="3">
        <v>3292.2500000000005</v>
      </c>
      <c r="O1494" s="3">
        <v>2500</v>
      </c>
      <c r="P1494" s="3">
        <v>3000</v>
      </c>
      <c r="Q1494" s="3">
        <v>500</v>
      </c>
    </row>
    <row r="1495" spans="1:17" hidden="1" x14ac:dyDescent="0.3">
      <c r="A1495">
        <v>4</v>
      </c>
      <c r="B1495" t="str">
        <f>VLOOKUP($A1495,[1]LISTA!$B:$C,2,0)</f>
        <v>ENERO</v>
      </c>
      <c r="C1495" s="1">
        <v>2025</v>
      </c>
      <c r="D1495" s="1" t="str">
        <f>IF($A1495&lt;=[1]RESULTADOS!$D$6,"YTD","YTG")</f>
        <v>YTD</v>
      </c>
      <c r="E1495" t="s">
        <v>680</v>
      </c>
      <c r="F1495" t="s">
        <v>667</v>
      </c>
      <c r="G1495" t="s">
        <v>667</v>
      </c>
      <c r="H1495" t="s">
        <v>668</v>
      </c>
      <c r="I1495" t="s">
        <v>102</v>
      </c>
      <c r="J1495" t="str">
        <f>IFERROR(VLOOKUP(I1495,[1]AUTOS!$C:$G,2,0),"")</f>
        <v>AVEO</v>
      </c>
      <c r="K1495">
        <f>IFERROR(VLOOKUP(I1495,[1]AUTOS!$C:$G,3,0),"")</f>
        <v>2022</v>
      </c>
      <c r="L1495" t="str">
        <f>IFERROR(VLOOKUP(I1495,[1]AUTOS!$C:$G,4,0),"")</f>
        <v>AZUL</v>
      </c>
      <c r="M1495" t="s">
        <v>43</v>
      </c>
      <c r="N1495" s="3">
        <v>3549.13</v>
      </c>
      <c r="O1495" s="3">
        <v>2500</v>
      </c>
      <c r="P1495" s="3">
        <v>3000</v>
      </c>
      <c r="Q1495" s="3">
        <v>0</v>
      </c>
    </row>
    <row r="1496" spans="1:17" hidden="1" x14ac:dyDescent="0.3">
      <c r="A1496">
        <v>4</v>
      </c>
      <c r="B1496" t="str">
        <f>VLOOKUP($A1496,[1]LISTA!$B:$C,2,0)</f>
        <v>ENERO</v>
      </c>
      <c r="C1496" s="1">
        <v>2025</v>
      </c>
      <c r="D1496" s="1" t="str">
        <f>IF($A1496&lt;=[1]RESULTADOS!$D$6,"YTD","YTG")</f>
        <v>YTD</v>
      </c>
      <c r="E1496" t="s">
        <v>456</v>
      </c>
      <c r="F1496" t="s">
        <v>667</v>
      </c>
      <c r="G1496" t="s">
        <v>667</v>
      </c>
      <c r="H1496" t="s">
        <v>668</v>
      </c>
      <c r="I1496" t="s">
        <v>73</v>
      </c>
      <c r="J1496" t="str">
        <f>IFERROR(VLOOKUP(I1496,[1]AUTOS!$C:$G,2,0),"")</f>
        <v>VERSA</v>
      </c>
      <c r="K1496">
        <f>IFERROR(VLOOKUP(I1496,[1]AUTOS!$C:$G,3,0),"")</f>
        <v>2023</v>
      </c>
      <c r="L1496" t="str">
        <f>IFERROR(VLOOKUP(I1496,[1]AUTOS!$C:$G,4,0),"")</f>
        <v>PLATA</v>
      </c>
      <c r="M1496" t="s">
        <v>43</v>
      </c>
      <c r="N1496" s="3">
        <v>4829.9299999999994</v>
      </c>
      <c r="O1496" s="3">
        <v>2500</v>
      </c>
      <c r="P1496" s="3">
        <v>3000</v>
      </c>
      <c r="Q1496" s="3">
        <v>0</v>
      </c>
    </row>
    <row r="1497" spans="1:17" hidden="1" x14ac:dyDescent="0.3">
      <c r="A1497">
        <v>4</v>
      </c>
      <c r="B1497" t="str">
        <f>VLOOKUP($A1497,[1]LISTA!$B:$C,2,0)</f>
        <v>ENERO</v>
      </c>
      <c r="C1497" s="1">
        <v>2025</v>
      </c>
      <c r="D1497" s="1" t="str">
        <f>IF($A1497&lt;=[1]RESULTADOS!$D$6,"YTD","YTG")</f>
        <v>YTD</v>
      </c>
      <c r="E1497" t="s">
        <v>674</v>
      </c>
      <c r="F1497" t="s">
        <v>667</v>
      </c>
      <c r="G1497" t="s">
        <v>667</v>
      </c>
      <c r="H1497" t="s">
        <v>668</v>
      </c>
      <c r="I1497" t="s">
        <v>46</v>
      </c>
      <c r="J1497" t="str">
        <f>IFERROR(VLOOKUP(I1497,[1]AUTOS!$C:$G,2,0),"")</f>
        <v>MARCH</v>
      </c>
      <c r="K1497">
        <f>IFERROR(VLOOKUP(I1497,[1]AUTOS!$C:$G,3,0),"")</f>
        <v>2020</v>
      </c>
      <c r="L1497" t="str">
        <f>IFERROR(VLOOKUP(I1497,[1]AUTOS!$C:$G,4,0),"")</f>
        <v>TURQ</v>
      </c>
      <c r="M1497" t="s">
        <v>43</v>
      </c>
      <c r="N1497" s="3">
        <v>2080.3000000000002</v>
      </c>
      <c r="O1497" s="3">
        <v>2500</v>
      </c>
      <c r="P1497" s="3">
        <v>2080.3000000000002</v>
      </c>
      <c r="Q1497" s="3">
        <v>0</v>
      </c>
    </row>
    <row r="1498" spans="1:17" hidden="1" x14ac:dyDescent="0.3">
      <c r="A1498">
        <v>4</v>
      </c>
      <c r="B1498" t="str">
        <f>VLOOKUP($A1498,[1]LISTA!$B:$C,2,0)</f>
        <v>ENERO</v>
      </c>
      <c r="C1498" s="1">
        <v>2025</v>
      </c>
      <c r="D1498" s="1" t="str">
        <f>IF($A1498&lt;=[1]RESULTADOS!$D$6,"YTD","YTG")</f>
        <v>YTD</v>
      </c>
      <c r="E1498" t="s">
        <v>681</v>
      </c>
      <c r="F1498" t="s">
        <v>667</v>
      </c>
      <c r="G1498" t="s">
        <v>667</v>
      </c>
      <c r="H1498" t="s">
        <v>668</v>
      </c>
      <c r="I1498" t="s">
        <v>34</v>
      </c>
      <c r="J1498" t="str">
        <f>IFERROR(VLOOKUP(I1498,[1]AUTOS!$C:$G,2,0),"")</f>
        <v>AVEO</v>
      </c>
      <c r="K1498">
        <f>IFERROR(VLOOKUP(I1498,[1]AUTOS!$C:$G,3,0),"")</f>
        <v>2018</v>
      </c>
      <c r="L1498" t="str">
        <f>IFERROR(VLOOKUP(I1498,[1]AUTOS!$C:$G,4,0),"")</f>
        <v>ROJO</v>
      </c>
      <c r="M1498" t="s">
        <v>43</v>
      </c>
      <c r="N1498" s="3">
        <v>3082.3700000000003</v>
      </c>
      <c r="O1498" s="3">
        <v>2500</v>
      </c>
      <c r="P1498" s="3">
        <v>2500</v>
      </c>
      <c r="Q1498" s="3">
        <v>0</v>
      </c>
    </row>
    <row r="1499" spans="1:17" hidden="1" x14ac:dyDescent="0.3">
      <c r="A1499">
        <v>4</v>
      </c>
      <c r="B1499" t="str">
        <f>VLOOKUP($A1499,[1]LISTA!$B:$C,2,0)</f>
        <v>ENERO</v>
      </c>
      <c r="C1499" s="1">
        <v>2025</v>
      </c>
      <c r="D1499" s="1" t="str">
        <f>IF($A1499&lt;=[1]RESULTADOS!$D$6,"YTD","YTG")</f>
        <v>YTD</v>
      </c>
      <c r="E1499" t="s">
        <v>675</v>
      </c>
      <c r="F1499" t="s">
        <v>667</v>
      </c>
      <c r="G1499" t="s">
        <v>667</v>
      </c>
      <c r="H1499" t="s">
        <v>668</v>
      </c>
      <c r="I1499" t="s">
        <v>40</v>
      </c>
      <c r="J1499" t="str">
        <f>IFERROR(VLOOKUP(I1499,[1]AUTOS!$C:$G,2,0),"")</f>
        <v>VERSA</v>
      </c>
      <c r="K1499">
        <f>IFERROR(VLOOKUP(I1499,[1]AUTOS!$C:$G,3,0),"")</f>
        <v>2017</v>
      </c>
      <c r="L1499" t="str">
        <f>IFERROR(VLOOKUP(I1499,[1]AUTOS!$C:$G,4,0),"")</f>
        <v>ACERO</v>
      </c>
      <c r="M1499" t="s">
        <v>43</v>
      </c>
      <c r="N1499" s="3">
        <v>2760.5499999999993</v>
      </c>
      <c r="O1499" s="3">
        <v>2500</v>
      </c>
      <c r="P1499" s="3">
        <v>2941.5499999999993</v>
      </c>
      <c r="Q1499" s="3">
        <v>500</v>
      </c>
    </row>
    <row r="1500" spans="1:17" hidden="1" x14ac:dyDescent="0.3">
      <c r="A1500">
        <v>4</v>
      </c>
      <c r="B1500" t="str">
        <f>VLOOKUP($A1500,[1]LISTA!$B:$C,2,0)</f>
        <v>ENERO</v>
      </c>
      <c r="C1500" s="1">
        <v>2025</v>
      </c>
      <c r="D1500" s="1" t="str">
        <f>IF($A1500&lt;=[1]RESULTADOS!$D$6,"YTD","YTG")</f>
        <v>YTD</v>
      </c>
      <c r="E1500" t="s">
        <v>683</v>
      </c>
      <c r="F1500" t="s">
        <v>667</v>
      </c>
      <c r="G1500" t="s">
        <v>667</v>
      </c>
      <c r="H1500" t="s">
        <v>668</v>
      </c>
      <c r="I1500" t="s">
        <v>59</v>
      </c>
      <c r="J1500" t="str">
        <f>IFERROR(VLOOKUP(I1500,[1]AUTOS!$C:$G,2,0),"")</f>
        <v>AVEO</v>
      </c>
      <c r="K1500">
        <f>IFERROR(VLOOKUP(I1500,[1]AUTOS!$C:$G,3,0),"")</f>
        <v>2019</v>
      </c>
      <c r="L1500" t="str">
        <f>IFERROR(VLOOKUP(I1500,[1]AUTOS!$C:$G,4,0),"")</f>
        <v>BLANCO</v>
      </c>
      <c r="M1500" t="s">
        <v>669</v>
      </c>
      <c r="N1500" s="3">
        <v>3063.88</v>
      </c>
      <c r="O1500" s="3">
        <v>2500</v>
      </c>
      <c r="P1500" s="3">
        <v>2500</v>
      </c>
      <c r="Q1500" s="3">
        <v>0</v>
      </c>
    </row>
    <row r="1501" spans="1:17" hidden="1" x14ac:dyDescent="0.3">
      <c r="A1501">
        <v>4</v>
      </c>
      <c r="B1501" t="str">
        <f>VLOOKUP($A1501,[1]LISTA!$B:$C,2,0)</f>
        <v>ENERO</v>
      </c>
      <c r="C1501" s="1">
        <v>2025</v>
      </c>
      <c r="D1501" s="1" t="str">
        <f>IF($A1501&lt;=[1]RESULTADOS!$D$6,"YTD","YTG")</f>
        <v>YTD</v>
      </c>
      <c r="E1501" t="s">
        <v>403</v>
      </c>
      <c r="F1501" t="s">
        <v>667</v>
      </c>
      <c r="G1501" t="s">
        <v>667</v>
      </c>
      <c r="H1501" t="s">
        <v>668</v>
      </c>
      <c r="I1501" t="s">
        <v>51</v>
      </c>
      <c r="J1501" t="str">
        <f>IFERROR(VLOOKUP(I1501,[1]AUTOS!$C:$G,2,0),"")</f>
        <v>VENTO</v>
      </c>
      <c r="K1501">
        <f>IFERROR(VLOOKUP(I1501,[1]AUTOS!$C:$G,3,0),"")</f>
        <v>2017</v>
      </c>
      <c r="L1501" t="str">
        <f>IFERROR(VLOOKUP(I1501,[1]AUTOS!$C:$G,4,0),"")</f>
        <v>GRIS</v>
      </c>
      <c r="M1501" t="s">
        <v>43</v>
      </c>
      <c r="N1501" s="3">
        <v>1226.79</v>
      </c>
      <c r="O1501" s="3">
        <v>2300</v>
      </c>
      <c r="P1501" s="3">
        <v>2647.79</v>
      </c>
      <c r="Q1501" s="3">
        <v>0</v>
      </c>
    </row>
    <row r="1502" spans="1:17" hidden="1" x14ac:dyDescent="0.3">
      <c r="A1502">
        <v>4</v>
      </c>
      <c r="B1502" t="str">
        <f>VLOOKUP($A1502,[1]LISTA!$B:$C,2,0)</f>
        <v>ENERO</v>
      </c>
      <c r="C1502" s="1">
        <v>2025</v>
      </c>
      <c r="D1502" s="1" t="str">
        <f>IF($A1502&lt;=[1]RESULTADOS!$D$6,"YTD","YTG")</f>
        <v>YTD</v>
      </c>
      <c r="E1502" t="s">
        <v>17</v>
      </c>
      <c r="F1502" t="s">
        <v>667</v>
      </c>
      <c r="G1502" t="s">
        <v>667</v>
      </c>
      <c r="H1502" t="s">
        <v>668</v>
      </c>
      <c r="I1502" t="s">
        <v>37</v>
      </c>
      <c r="J1502" t="str">
        <f>IFERROR(VLOOKUP(I1502,[1]AUTOS!$C:$G,2,0),"")</f>
        <v>BEAT</v>
      </c>
      <c r="K1502">
        <f>IFERROR(VLOOKUP(I1502,[1]AUTOS!$C:$G,3,0),"")</f>
        <v>2020</v>
      </c>
      <c r="L1502" t="str">
        <f>IFERROR(VLOOKUP(I1502,[1]AUTOS!$C:$G,4,0),"")</f>
        <v>GRIS</v>
      </c>
      <c r="M1502" t="s">
        <v>43</v>
      </c>
      <c r="N1502" s="3">
        <v>0</v>
      </c>
      <c r="O1502" s="3">
        <v>0</v>
      </c>
      <c r="P1502" s="3">
        <v>0</v>
      </c>
      <c r="Q1502" s="3">
        <v>0</v>
      </c>
    </row>
    <row r="1503" spans="1:17" hidden="1" x14ac:dyDescent="0.3">
      <c r="A1503">
        <v>4</v>
      </c>
      <c r="B1503" t="str">
        <f>VLOOKUP($A1503,[1]LISTA!$B:$C,2,0)</f>
        <v>ENERO</v>
      </c>
      <c r="C1503" s="1">
        <v>2025</v>
      </c>
      <c r="D1503" s="1" t="str">
        <f>IF($A1503&lt;=[1]RESULTADOS!$D$6,"YTD","YTG")</f>
        <v>YTD</v>
      </c>
      <c r="E1503" t="s">
        <v>676</v>
      </c>
      <c r="F1503" t="s">
        <v>667</v>
      </c>
      <c r="G1503" t="s">
        <v>667</v>
      </c>
      <c r="H1503" t="s">
        <v>668</v>
      </c>
      <c r="I1503" t="s">
        <v>67</v>
      </c>
      <c r="J1503" t="str">
        <f>IFERROR(VLOOKUP(I1503,[1]AUTOS!$C:$G,2,0),"")</f>
        <v>KIA RIO</v>
      </c>
      <c r="K1503">
        <f>IFERROR(VLOOKUP(I1503,[1]AUTOS!$C:$G,3,0),"")</f>
        <v>2020</v>
      </c>
      <c r="L1503" t="str">
        <f>IFERROR(VLOOKUP(I1503,[1]AUTOS!$C:$G,4,0),"")</f>
        <v>GRIS</v>
      </c>
      <c r="M1503" t="s">
        <v>669</v>
      </c>
      <c r="N1503" s="3">
        <v>3718.6900000000005</v>
      </c>
      <c r="O1503" s="3">
        <v>2500</v>
      </c>
      <c r="P1503" s="3">
        <v>2500</v>
      </c>
      <c r="Q1503" s="3">
        <v>0</v>
      </c>
    </row>
    <row r="1504" spans="1:17" hidden="1" x14ac:dyDescent="0.3">
      <c r="A1504">
        <v>5</v>
      </c>
      <c r="B1504" t="str">
        <f>VLOOKUP($A1504,[1]LISTA!$B:$C,2,0)</f>
        <v>ENERO</v>
      </c>
      <c r="C1504" s="1">
        <v>2025</v>
      </c>
      <c r="D1504" s="1" t="str">
        <f>IF($A1504&lt;=[1]RESULTADOS!$D$6,"YTD","YTG")</f>
        <v>YTD</v>
      </c>
      <c r="E1504" t="s">
        <v>492</v>
      </c>
      <c r="F1504" t="s">
        <v>667</v>
      </c>
      <c r="G1504" t="s">
        <v>667</v>
      </c>
      <c r="H1504" t="s">
        <v>668</v>
      </c>
      <c r="I1504" t="s">
        <v>79</v>
      </c>
      <c r="J1504" t="str">
        <f>IFERROR(VLOOKUP(I1504,[1]AUTOS!$C:$G,2,0),"")</f>
        <v>AVEO</v>
      </c>
      <c r="K1504">
        <f>IFERROR(VLOOKUP(I1504,[1]AUTOS!$C:$G,3,0),"")</f>
        <v>2021</v>
      </c>
      <c r="L1504" t="str">
        <f>IFERROR(VLOOKUP(I1504,[1]AUTOS!$C:$G,4,0),"")</f>
        <v>OCRE</v>
      </c>
      <c r="M1504" t="s">
        <v>669</v>
      </c>
      <c r="N1504" s="3">
        <v>665.66</v>
      </c>
      <c r="O1504" s="3">
        <v>2500</v>
      </c>
      <c r="P1504" s="3">
        <v>2499.66</v>
      </c>
      <c r="Q1504" s="3">
        <v>0</v>
      </c>
    </row>
    <row r="1505" spans="1:17" hidden="1" x14ac:dyDescent="0.3">
      <c r="A1505">
        <v>5</v>
      </c>
      <c r="B1505" t="str">
        <f>VLOOKUP($A1505,[1]LISTA!$B:$C,2,0)</f>
        <v>ENERO</v>
      </c>
      <c r="C1505" s="1">
        <v>2025</v>
      </c>
      <c r="D1505" s="1" t="str">
        <f>IF($A1505&lt;=[1]RESULTADOS!$D$6,"YTD","YTG")</f>
        <v>YTD</v>
      </c>
      <c r="E1505" t="s">
        <v>670</v>
      </c>
      <c r="F1505" t="s">
        <v>667</v>
      </c>
      <c r="G1505" t="s">
        <v>667</v>
      </c>
      <c r="H1505" t="s">
        <v>668</v>
      </c>
      <c r="I1505" t="s">
        <v>76</v>
      </c>
      <c r="J1505" t="str">
        <f>IFERROR(VLOOKUP(I1505,[1]AUTOS!$C:$G,2,0),"")</f>
        <v>AVEO</v>
      </c>
      <c r="K1505">
        <f>IFERROR(VLOOKUP(I1505,[1]AUTOS!$C:$G,3,0),"")</f>
        <v>2018</v>
      </c>
      <c r="L1505" t="str">
        <f>IFERROR(VLOOKUP(I1505,[1]AUTOS!$C:$G,4,0),"")</f>
        <v>GRIS</v>
      </c>
      <c r="M1505" t="s">
        <v>43</v>
      </c>
      <c r="N1505" s="3">
        <v>0</v>
      </c>
      <c r="O1505" s="3">
        <v>0</v>
      </c>
      <c r="P1505" s="3">
        <v>0</v>
      </c>
      <c r="Q1505" s="3">
        <v>0</v>
      </c>
    </row>
    <row r="1506" spans="1:17" hidden="1" x14ac:dyDescent="0.3">
      <c r="A1506">
        <v>5</v>
      </c>
      <c r="B1506" t="str">
        <f>VLOOKUP($A1506,[1]LISTA!$B:$C,2,0)</f>
        <v>ENERO</v>
      </c>
      <c r="C1506" s="1">
        <v>2025</v>
      </c>
      <c r="D1506" s="1" t="str">
        <f>IF($A1506&lt;=[1]RESULTADOS!$D$6,"YTD","YTG")</f>
        <v>YTD</v>
      </c>
      <c r="E1506" t="s">
        <v>671</v>
      </c>
      <c r="F1506" t="s">
        <v>667</v>
      </c>
      <c r="G1506" t="s">
        <v>667</v>
      </c>
      <c r="H1506" t="s">
        <v>668</v>
      </c>
      <c r="I1506" t="s">
        <v>162</v>
      </c>
      <c r="J1506" t="str">
        <f>IFERROR(VLOOKUP(I1506,[1]AUTOS!$C:$G,2,0),"")</f>
        <v>HYUNDAI</v>
      </c>
      <c r="K1506">
        <f>IFERROR(VLOOKUP(I1506,[1]AUTOS!$C:$G,3,0),"")</f>
        <v>2022</v>
      </c>
      <c r="L1506" t="str">
        <f>IFERROR(VLOOKUP(I1506,[1]AUTOS!$C:$G,4,0),"")</f>
        <v>PLATA</v>
      </c>
      <c r="M1506" t="s">
        <v>669</v>
      </c>
      <c r="N1506" s="3">
        <v>0</v>
      </c>
      <c r="O1506" s="3">
        <v>2500</v>
      </c>
      <c r="P1506" s="3">
        <v>5000</v>
      </c>
      <c r="Q1506" s="3">
        <v>0</v>
      </c>
    </row>
    <row r="1507" spans="1:17" x14ac:dyDescent="0.3">
      <c r="A1507">
        <v>5</v>
      </c>
      <c r="B1507" t="str">
        <f>VLOOKUP($A1507,[1]LISTA!$B:$C,2,0)</f>
        <v>ENERO</v>
      </c>
      <c r="C1507" s="1">
        <v>2025</v>
      </c>
      <c r="D1507" s="1" t="str">
        <f>IF($A1507&lt;=[1]RESULTADOS!$D$6,"YTD","YTG")</f>
        <v>YTD</v>
      </c>
      <c r="E1507" t="s">
        <v>678</v>
      </c>
      <c r="F1507" t="s">
        <v>667</v>
      </c>
      <c r="G1507" t="s">
        <v>667</v>
      </c>
      <c r="H1507" t="s">
        <v>668</v>
      </c>
      <c r="I1507" t="s">
        <v>72</v>
      </c>
      <c r="J1507" t="str">
        <f>IFERROR(VLOOKUP(I1507,[1]AUTOS!$C:$G,2,0),"")</f>
        <v>VENTO</v>
      </c>
      <c r="K1507">
        <f>IFERROR(VLOOKUP(I1507,[1]AUTOS!$C:$G,3,0),"")</f>
        <v>2020</v>
      </c>
      <c r="L1507" t="str">
        <f>IFERROR(VLOOKUP(I1507,[1]AUTOS!$C:$G,4,0),"")</f>
        <v>GRIS</v>
      </c>
      <c r="M1507" t="s">
        <v>43</v>
      </c>
      <c r="N1507" s="3">
        <v>2434.6099999999992</v>
      </c>
      <c r="O1507" s="3">
        <v>2500</v>
      </c>
      <c r="P1507" s="3">
        <v>2434.6099999999992</v>
      </c>
      <c r="Q1507" s="3">
        <v>25</v>
      </c>
    </row>
    <row r="1508" spans="1:17" hidden="1" x14ac:dyDescent="0.3">
      <c r="A1508">
        <v>5</v>
      </c>
      <c r="B1508" t="str">
        <f>VLOOKUP($A1508,[1]LISTA!$B:$C,2,0)</f>
        <v>ENERO</v>
      </c>
      <c r="C1508" s="1">
        <v>2025</v>
      </c>
      <c r="D1508" s="1" t="str">
        <f>IF($A1508&lt;=[1]RESULTADOS!$D$6,"YTD","YTG")</f>
        <v>YTD</v>
      </c>
      <c r="E1508" t="s">
        <v>679</v>
      </c>
      <c r="F1508" t="s">
        <v>667</v>
      </c>
      <c r="G1508" t="s">
        <v>667</v>
      </c>
      <c r="H1508" t="s">
        <v>668</v>
      </c>
      <c r="I1508" t="s">
        <v>82</v>
      </c>
      <c r="J1508" t="str">
        <f>IFERROR(VLOOKUP(I1508,[1]AUTOS!$C:$G,2,0),"")</f>
        <v>AVEO</v>
      </c>
      <c r="K1508">
        <f>IFERROR(VLOOKUP(I1508,[1]AUTOS!$C:$G,3,0),"")</f>
        <v>2019</v>
      </c>
      <c r="L1508" t="str">
        <f>IFERROR(VLOOKUP(I1508,[1]AUTOS!$C:$G,4,0),"")</f>
        <v>PLATA</v>
      </c>
      <c r="M1508" t="s">
        <v>43</v>
      </c>
      <c r="N1508" s="3">
        <v>6669.6699999999946</v>
      </c>
      <c r="O1508" s="3">
        <v>2500</v>
      </c>
      <c r="P1508" s="3">
        <v>3000</v>
      </c>
      <c r="Q1508" s="3">
        <v>0</v>
      </c>
    </row>
    <row r="1509" spans="1:17" hidden="1" x14ac:dyDescent="0.3">
      <c r="A1509">
        <v>5</v>
      </c>
      <c r="B1509" t="str">
        <f>VLOOKUP($A1509,[1]LISTA!$B:$C,2,0)</f>
        <v>ENERO</v>
      </c>
      <c r="C1509" s="1">
        <v>2025</v>
      </c>
      <c r="D1509" s="1" t="str">
        <f>IF($A1509&lt;=[1]RESULTADOS!$D$6,"YTD","YTG")</f>
        <v>YTD</v>
      </c>
      <c r="E1509" t="s">
        <v>682</v>
      </c>
      <c r="F1509" t="s">
        <v>667</v>
      </c>
      <c r="G1509" t="s">
        <v>667</v>
      </c>
      <c r="H1509" t="s">
        <v>668</v>
      </c>
      <c r="I1509" t="s">
        <v>42</v>
      </c>
      <c r="J1509" t="str">
        <f>IFERROR(VLOOKUP(I1509,[1]AUTOS!$C:$G,2,0),"")</f>
        <v>VENTO</v>
      </c>
      <c r="K1509">
        <f>IFERROR(VLOOKUP(I1509,[1]AUTOS!$C:$G,3,0),"")</f>
        <v>2018</v>
      </c>
      <c r="L1509" t="str">
        <f>IFERROR(VLOOKUP(I1509,[1]AUTOS!$C:$G,4,0),"")</f>
        <v>AMARILLO</v>
      </c>
      <c r="M1509" t="s">
        <v>43</v>
      </c>
      <c r="N1509" s="3">
        <v>3562.9799999999996</v>
      </c>
      <c r="O1509" s="3">
        <v>2500</v>
      </c>
      <c r="P1509" s="3">
        <v>2535</v>
      </c>
      <c r="Q1509" s="3">
        <v>500</v>
      </c>
    </row>
    <row r="1510" spans="1:17" hidden="1" x14ac:dyDescent="0.3">
      <c r="A1510">
        <v>5</v>
      </c>
      <c r="B1510" t="str">
        <f>VLOOKUP($A1510,[1]LISTA!$B:$C,2,0)</f>
        <v>ENERO</v>
      </c>
      <c r="C1510" s="1">
        <v>2025</v>
      </c>
      <c r="D1510" s="1" t="str">
        <f>IF($A1510&lt;=[1]RESULTADOS!$D$6,"YTD","YTG")</f>
        <v>YTD</v>
      </c>
      <c r="E1510" t="s">
        <v>680</v>
      </c>
      <c r="F1510" t="s">
        <v>667</v>
      </c>
      <c r="G1510" t="s">
        <v>667</v>
      </c>
      <c r="H1510" t="s">
        <v>668</v>
      </c>
      <c r="I1510" t="s">
        <v>102</v>
      </c>
      <c r="J1510" t="str">
        <f>IFERROR(VLOOKUP(I1510,[1]AUTOS!$C:$G,2,0),"")</f>
        <v>AVEO</v>
      </c>
      <c r="K1510">
        <f>IFERROR(VLOOKUP(I1510,[1]AUTOS!$C:$G,3,0),"")</f>
        <v>2022</v>
      </c>
      <c r="L1510" t="str">
        <f>IFERROR(VLOOKUP(I1510,[1]AUTOS!$C:$G,4,0),"")</f>
        <v>AZUL</v>
      </c>
      <c r="M1510" t="s">
        <v>43</v>
      </c>
      <c r="N1510" s="3">
        <v>2508.1</v>
      </c>
      <c r="O1510" s="3">
        <v>1964.2857142857135</v>
      </c>
      <c r="P1510" s="3">
        <v>2264.2857142857138</v>
      </c>
      <c r="Q1510" s="3">
        <v>0</v>
      </c>
    </row>
    <row r="1511" spans="1:17" hidden="1" x14ac:dyDescent="0.3">
      <c r="A1511">
        <v>5</v>
      </c>
      <c r="B1511" t="str">
        <f>VLOOKUP($A1511,[1]LISTA!$B:$C,2,0)</f>
        <v>ENERO</v>
      </c>
      <c r="C1511" s="1">
        <v>2025</v>
      </c>
      <c r="D1511" s="1" t="str">
        <f>IF($A1511&lt;=[1]RESULTADOS!$D$6,"YTD","YTG")</f>
        <v>YTD</v>
      </c>
      <c r="E1511" t="s">
        <v>456</v>
      </c>
      <c r="F1511" t="s">
        <v>667</v>
      </c>
      <c r="G1511" t="s">
        <v>667</v>
      </c>
      <c r="H1511" t="s">
        <v>668</v>
      </c>
      <c r="I1511" t="s">
        <v>73</v>
      </c>
      <c r="J1511" t="str">
        <f>IFERROR(VLOOKUP(I1511,[1]AUTOS!$C:$G,2,0),"")</f>
        <v>VERSA</v>
      </c>
      <c r="K1511">
        <f>IFERROR(VLOOKUP(I1511,[1]AUTOS!$C:$G,3,0),"")</f>
        <v>2023</v>
      </c>
      <c r="L1511" t="str">
        <f>IFERROR(VLOOKUP(I1511,[1]AUTOS!$C:$G,4,0),"")</f>
        <v>PLATA</v>
      </c>
      <c r="M1511" t="s">
        <v>43</v>
      </c>
      <c r="N1511" s="3">
        <v>5895.2699999999995</v>
      </c>
      <c r="O1511" s="3">
        <v>2500</v>
      </c>
      <c r="P1511" s="3">
        <v>3000</v>
      </c>
      <c r="Q1511" s="3">
        <v>0</v>
      </c>
    </row>
    <row r="1512" spans="1:17" hidden="1" x14ac:dyDescent="0.3">
      <c r="A1512">
        <v>5</v>
      </c>
      <c r="B1512" t="str">
        <f>VLOOKUP($A1512,[1]LISTA!$B:$C,2,0)</f>
        <v>ENERO</v>
      </c>
      <c r="C1512" s="1">
        <v>2025</v>
      </c>
      <c r="D1512" s="1" t="str">
        <f>IF($A1512&lt;=[1]RESULTADOS!$D$6,"YTD","YTG")</f>
        <v>YTD</v>
      </c>
      <c r="E1512" t="s">
        <v>674</v>
      </c>
      <c r="F1512" t="s">
        <v>667</v>
      </c>
      <c r="G1512" t="s">
        <v>667</v>
      </c>
      <c r="H1512" t="s">
        <v>668</v>
      </c>
      <c r="I1512" t="s">
        <v>46</v>
      </c>
      <c r="J1512" t="str">
        <f>IFERROR(VLOOKUP(I1512,[1]AUTOS!$C:$G,2,0),"")</f>
        <v>MARCH</v>
      </c>
      <c r="K1512">
        <f>IFERROR(VLOOKUP(I1512,[1]AUTOS!$C:$G,3,0),"")</f>
        <v>2020</v>
      </c>
      <c r="L1512" t="str">
        <f>IFERROR(VLOOKUP(I1512,[1]AUTOS!$C:$G,4,0),"")</f>
        <v>TURQ</v>
      </c>
      <c r="M1512" t="s">
        <v>43</v>
      </c>
      <c r="N1512" s="3">
        <v>3251.74</v>
      </c>
      <c r="O1512" s="3">
        <v>2500</v>
      </c>
      <c r="P1512" s="3">
        <v>2920</v>
      </c>
      <c r="Q1512" s="3">
        <v>0</v>
      </c>
    </row>
    <row r="1513" spans="1:17" hidden="1" x14ac:dyDescent="0.3">
      <c r="A1513">
        <v>5</v>
      </c>
      <c r="B1513" t="str">
        <f>VLOOKUP($A1513,[1]LISTA!$B:$C,2,0)</f>
        <v>ENERO</v>
      </c>
      <c r="C1513" s="1">
        <v>2025</v>
      </c>
      <c r="D1513" s="1" t="str">
        <f>IF($A1513&lt;=[1]RESULTADOS!$D$6,"YTD","YTG")</f>
        <v>YTD</v>
      </c>
      <c r="E1513" t="s">
        <v>681</v>
      </c>
      <c r="F1513" t="s">
        <v>667</v>
      </c>
      <c r="G1513" t="s">
        <v>667</v>
      </c>
      <c r="H1513" t="s">
        <v>668</v>
      </c>
      <c r="I1513" t="s">
        <v>34</v>
      </c>
      <c r="J1513" t="str">
        <f>IFERROR(VLOOKUP(I1513,[1]AUTOS!$C:$G,2,0),"")</f>
        <v>AVEO</v>
      </c>
      <c r="K1513">
        <f>IFERROR(VLOOKUP(I1513,[1]AUTOS!$C:$G,3,0),"")</f>
        <v>2018</v>
      </c>
      <c r="L1513" t="str">
        <f>IFERROR(VLOOKUP(I1513,[1]AUTOS!$C:$G,4,0),"")</f>
        <v>ROJO</v>
      </c>
      <c r="M1513" t="s">
        <v>43</v>
      </c>
      <c r="N1513" s="3">
        <v>2780.99</v>
      </c>
      <c r="O1513" s="3">
        <v>2500</v>
      </c>
      <c r="P1513" s="3">
        <v>2472</v>
      </c>
      <c r="Q1513" s="3">
        <v>0</v>
      </c>
    </row>
    <row r="1514" spans="1:17" hidden="1" x14ac:dyDescent="0.3">
      <c r="A1514">
        <v>5</v>
      </c>
      <c r="B1514" t="str">
        <f>VLOOKUP($A1514,[1]LISTA!$B:$C,2,0)</f>
        <v>ENERO</v>
      </c>
      <c r="C1514" s="1">
        <v>2025</v>
      </c>
      <c r="D1514" s="1" t="str">
        <f>IF($A1514&lt;=[1]RESULTADOS!$D$6,"YTD","YTG")</f>
        <v>YTD</v>
      </c>
      <c r="E1514" t="s">
        <v>675</v>
      </c>
      <c r="F1514" t="s">
        <v>667</v>
      </c>
      <c r="G1514" t="s">
        <v>667</v>
      </c>
      <c r="H1514" t="s">
        <v>668</v>
      </c>
      <c r="I1514" t="s">
        <v>40</v>
      </c>
      <c r="J1514" t="str">
        <f>IFERROR(VLOOKUP(I1514,[1]AUTOS!$C:$G,2,0),"")</f>
        <v>VERSA</v>
      </c>
      <c r="K1514">
        <f>IFERROR(VLOOKUP(I1514,[1]AUTOS!$C:$G,3,0),"")</f>
        <v>2017</v>
      </c>
      <c r="L1514" t="str">
        <f>IFERROR(VLOOKUP(I1514,[1]AUTOS!$C:$G,4,0),"")</f>
        <v>ACERO</v>
      </c>
      <c r="M1514" t="s">
        <v>43</v>
      </c>
      <c r="N1514" s="3">
        <v>3159.42</v>
      </c>
      <c r="O1514" s="3">
        <v>2500</v>
      </c>
      <c r="P1514" s="3">
        <v>3000</v>
      </c>
      <c r="Q1514" s="3">
        <v>500</v>
      </c>
    </row>
    <row r="1515" spans="1:17" hidden="1" x14ac:dyDescent="0.3">
      <c r="A1515">
        <v>5</v>
      </c>
      <c r="B1515" t="str">
        <f>VLOOKUP($A1515,[1]LISTA!$B:$C,2,0)</f>
        <v>ENERO</v>
      </c>
      <c r="C1515" s="1">
        <v>2025</v>
      </c>
      <c r="D1515" s="1" t="str">
        <f>IF($A1515&lt;=[1]RESULTADOS!$D$6,"YTD","YTG")</f>
        <v>YTD</v>
      </c>
      <c r="E1515" t="s">
        <v>683</v>
      </c>
      <c r="F1515" t="s">
        <v>667</v>
      </c>
      <c r="G1515" t="s">
        <v>667</v>
      </c>
      <c r="H1515" t="s">
        <v>668</v>
      </c>
      <c r="I1515" t="s">
        <v>59</v>
      </c>
      <c r="J1515" t="str">
        <f>IFERROR(VLOOKUP(I1515,[1]AUTOS!$C:$G,2,0),"")</f>
        <v>AVEO</v>
      </c>
      <c r="K1515">
        <f>IFERROR(VLOOKUP(I1515,[1]AUTOS!$C:$G,3,0),"")</f>
        <v>2019</v>
      </c>
      <c r="L1515" t="str">
        <f>IFERROR(VLOOKUP(I1515,[1]AUTOS!$C:$G,4,0),"")</f>
        <v>BLANCO</v>
      </c>
      <c r="M1515" t="s">
        <v>669</v>
      </c>
      <c r="N1515" s="3">
        <v>2833.4100000000003</v>
      </c>
      <c r="O1515" s="3">
        <v>2500</v>
      </c>
      <c r="P1515" s="3">
        <v>2833.4100000000003</v>
      </c>
      <c r="Q1515" s="3">
        <v>500</v>
      </c>
    </row>
    <row r="1516" spans="1:17" hidden="1" x14ac:dyDescent="0.3">
      <c r="A1516">
        <v>5</v>
      </c>
      <c r="B1516" t="str">
        <f>VLOOKUP($A1516,[1]LISTA!$B:$C,2,0)</f>
        <v>ENERO</v>
      </c>
      <c r="C1516" s="1">
        <v>2025</v>
      </c>
      <c r="D1516" s="1" t="str">
        <f>IF($A1516&lt;=[1]RESULTADOS!$D$6,"YTD","YTG")</f>
        <v>YTD</v>
      </c>
      <c r="E1516" t="s">
        <v>403</v>
      </c>
      <c r="F1516" t="s">
        <v>667</v>
      </c>
      <c r="G1516" t="s">
        <v>667</v>
      </c>
      <c r="H1516" t="s">
        <v>668</v>
      </c>
      <c r="I1516" t="s">
        <v>51</v>
      </c>
      <c r="J1516" t="str">
        <f>IFERROR(VLOOKUP(I1516,[1]AUTOS!$C:$G,2,0),"")</f>
        <v>VENTO</v>
      </c>
      <c r="K1516">
        <f>IFERROR(VLOOKUP(I1516,[1]AUTOS!$C:$G,3,0),"")</f>
        <v>2017</v>
      </c>
      <c r="L1516" t="str">
        <f>IFERROR(VLOOKUP(I1516,[1]AUTOS!$C:$G,4,0),"")</f>
        <v>GRIS</v>
      </c>
      <c r="M1516" t="s">
        <v>43</v>
      </c>
      <c r="N1516" s="3">
        <v>1993.1999999999998</v>
      </c>
      <c r="O1516" s="3">
        <v>2300</v>
      </c>
      <c r="P1516" s="3">
        <v>1993.1999999999998</v>
      </c>
      <c r="Q1516" s="3">
        <v>0</v>
      </c>
    </row>
    <row r="1517" spans="1:17" hidden="1" x14ac:dyDescent="0.3">
      <c r="A1517">
        <v>5</v>
      </c>
      <c r="B1517" t="str">
        <f>VLOOKUP($A1517,[1]LISTA!$B:$C,2,0)</f>
        <v>ENERO</v>
      </c>
      <c r="C1517" s="1">
        <v>2025</v>
      </c>
      <c r="D1517" s="1" t="str">
        <f>IF($A1517&lt;=[1]RESULTADOS!$D$6,"YTD","YTG")</f>
        <v>YTD</v>
      </c>
      <c r="E1517" t="s">
        <v>17</v>
      </c>
      <c r="F1517" t="s">
        <v>667</v>
      </c>
      <c r="G1517" t="s">
        <v>667</v>
      </c>
      <c r="H1517" t="s">
        <v>668</v>
      </c>
      <c r="I1517" t="s">
        <v>37</v>
      </c>
      <c r="J1517" t="str">
        <f>IFERROR(VLOOKUP(I1517,[1]AUTOS!$C:$G,2,0),"")</f>
        <v>BEAT</v>
      </c>
      <c r="K1517">
        <f>IFERROR(VLOOKUP(I1517,[1]AUTOS!$C:$G,3,0),"")</f>
        <v>2020</v>
      </c>
      <c r="L1517" t="str">
        <f>IFERROR(VLOOKUP(I1517,[1]AUTOS!$C:$G,4,0),"")</f>
        <v>GRIS</v>
      </c>
      <c r="M1517" t="s">
        <v>43</v>
      </c>
      <c r="N1517" s="3">
        <v>0</v>
      </c>
      <c r="O1517" s="3">
        <v>0</v>
      </c>
      <c r="P1517" s="3">
        <v>0</v>
      </c>
      <c r="Q1517" s="3">
        <v>0</v>
      </c>
    </row>
    <row r="1518" spans="1:17" hidden="1" x14ac:dyDescent="0.3">
      <c r="A1518">
        <v>5</v>
      </c>
      <c r="B1518" t="str">
        <f>VLOOKUP($A1518,[1]LISTA!$B:$C,2,0)</f>
        <v>ENERO</v>
      </c>
      <c r="C1518" s="1">
        <v>2025</v>
      </c>
      <c r="D1518" s="1" t="str">
        <f>IF($A1518&lt;=[1]RESULTADOS!$D$6,"YTD","YTG")</f>
        <v>YTD</v>
      </c>
      <c r="E1518" t="s">
        <v>676</v>
      </c>
      <c r="F1518" t="s">
        <v>667</v>
      </c>
      <c r="G1518" t="s">
        <v>667</v>
      </c>
      <c r="H1518" t="s">
        <v>668</v>
      </c>
      <c r="I1518" t="s">
        <v>67</v>
      </c>
      <c r="J1518" t="str">
        <f>IFERROR(VLOOKUP(I1518,[1]AUTOS!$C:$G,2,0),"")</f>
        <v>KIA RIO</v>
      </c>
      <c r="K1518">
        <f>IFERROR(VLOOKUP(I1518,[1]AUTOS!$C:$G,3,0),"")</f>
        <v>2020</v>
      </c>
      <c r="L1518" t="str">
        <f>IFERROR(VLOOKUP(I1518,[1]AUTOS!$C:$G,4,0),"")</f>
        <v>GRIS</v>
      </c>
      <c r="M1518" t="s">
        <v>669</v>
      </c>
      <c r="N1518" s="3">
        <v>3161.74</v>
      </c>
      <c r="O1518" s="3">
        <v>2500</v>
      </c>
      <c r="P1518" s="3">
        <v>2500</v>
      </c>
      <c r="Q1518" s="3">
        <v>0</v>
      </c>
    </row>
    <row r="1519" spans="1:17" hidden="1" x14ac:dyDescent="0.3">
      <c r="A1519">
        <v>6</v>
      </c>
      <c r="B1519" t="str">
        <f>VLOOKUP($A1519,[1]LISTA!$B:$C,2,0)</f>
        <v>FEBRERO</v>
      </c>
      <c r="C1519" s="1">
        <v>2025</v>
      </c>
      <c r="D1519" s="1" t="str">
        <f>IF($A1519&lt;=[1]RESULTADOS!$D$6,"YTD","YTG")</f>
        <v>YTD</v>
      </c>
      <c r="E1519" t="s">
        <v>492</v>
      </c>
      <c r="F1519" t="s">
        <v>667</v>
      </c>
      <c r="G1519" t="s">
        <v>667</v>
      </c>
      <c r="H1519" t="s">
        <v>668</v>
      </c>
      <c r="I1519" t="s">
        <v>79</v>
      </c>
      <c r="J1519" t="str">
        <f>IFERROR(VLOOKUP(I1519,[1]AUTOS!$C:$G,2,0),"")</f>
        <v>AVEO</v>
      </c>
      <c r="K1519">
        <f>IFERROR(VLOOKUP(I1519,[1]AUTOS!$C:$G,3,0),"")</f>
        <v>2021</v>
      </c>
      <c r="L1519" t="str">
        <f>IFERROR(VLOOKUP(I1519,[1]AUTOS!$C:$G,4,0),"")</f>
        <v>OCRE</v>
      </c>
      <c r="M1519" t="s">
        <v>669</v>
      </c>
      <c r="N1519" s="3">
        <v>0</v>
      </c>
      <c r="O1519" s="3">
        <v>2500</v>
      </c>
      <c r="P1519" s="3">
        <v>2500</v>
      </c>
      <c r="Q1519" s="3">
        <v>0</v>
      </c>
    </row>
    <row r="1520" spans="1:17" hidden="1" x14ac:dyDescent="0.3">
      <c r="A1520">
        <v>6</v>
      </c>
      <c r="B1520" t="str">
        <f>VLOOKUP($A1520,[1]LISTA!$B:$C,2,0)</f>
        <v>FEBRERO</v>
      </c>
      <c r="C1520" s="1">
        <v>2025</v>
      </c>
      <c r="D1520" s="1" t="str">
        <f>IF($A1520&lt;=[1]RESULTADOS!$D$6,"YTD","YTG")</f>
        <v>YTD</v>
      </c>
      <c r="E1520" t="s">
        <v>671</v>
      </c>
      <c r="F1520" t="s">
        <v>667</v>
      </c>
      <c r="G1520" t="s">
        <v>667</v>
      </c>
      <c r="H1520" t="s">
        <v>668</v>
      </c>
      <c r="I1520" t="s">
        <v>162</v>
      </c>
      <c r="J1520" t="str">
        <f>IFERROR(VLOOKUP(I1520,[1]AUTOS!$C:$G,2,0),"")</f>
        <v>HYUNDAI</v>
      </c>
      <c r="K1520">
        <f>IFERROR(VLOOKUP(I1520,[1]AUTOS!$C:$G,3,0),"")</f>
        <v>2022</v>
      </c>
      <c r="L1520" t="str">
        <f>IFERROR(VLOOKUP(I1520,[1]AUTOS!$C:$G,4,0),"")</f>
        <v>PLATA</v>
      </c>
      <c r="M1520" t="s">
        <v>669</v>
      </c>
      <c r="N1520" s="3">
        <v>0</v>
      </c>
      <c r="O1520" s="3">
        <v>2500</v>
      </c>
      <c r="P1520" s="3">
        <v>2500</v>
      </c>
      <c r="Q1520" s="3">
        <v>0</v>
      </c>
    </row>
    <row r="1521" spans="1:17" x14ac:dyDescent="0.3">
      <c r="A1521">
        <v>6</v>
      </c>
      <c r="B1521" t="str">
        <f>VLOOKUP($A1521,[1]LISTA!$B:$C,2,0)</f>
        <v>FEBRERO</v>
      </c>
      <c r="C1521" s="1">
        <v>2025</v>
      </c>
      <c r="D1521" s="1" t="str">
        <f>IF($A1521&lt;=[1]RESULTADOS!$D$6,"YTD","YTG")</f>
        <v>YTD</v>
      </c>
      <c r="E1521" t="s">
        <v>678</v>
      </c>
      <c r="F1521" t="s">
        <v>667</v>
      </c>
      <c r="G1521" t="s">
        <v>667</v>
      </c>
      <c r="H1521" t="s">
        <v>668</v>
      </c>
      <c r="I1521" t="s">
        <v>72</v>
      </c>
      <c r="J1521" t="str">
        <f>IFERROR(VLOOKUP(I1521,[1]AUTOS!$C:$G,2,0),"")</f>
        <v>VENTO</v>
      </c>
      <c r="K1521">
        <f>IFERROR(VLOOKUP(I1521,[1]AUTOS!$C:$G,3,0),"")</f>
        <v>2020</v>
      </c>
      <c r="L1521" t="str">
        <f>IFERROR(VLOOKUP(I1521,[1]AUTOS!$C:$G,4,0),"")</f>
        <v>GRIS</v>
      </c>
      <c r="M1521" t="s">
        <v>43</v>
      </c>
      <c r="N1521" s="3">
        <v>2036.5700000000006</v>
      </c>
      <c r="O1521" s="3">
        <v>2500</v>
      </c>
      <c r="P1521" s="3">
        <v>2036.5700000000006</v>
      </c>
      <c r="Q1521" s="3">
        <v>0</v>
      </c>
    </row>
    <row r="1522" spans="1:17" hidden="1" x14ac:dyDescent="0.3">
      <c r="A1522">
        <v>6</v>
      </c>
      <c r="B1522" t="str">
        <f>VLOOKUP($A1522,[1]LISTA!$B:$C,2,0)</f>
        <v>FEBRERO</v>
      </c>
      <c r="C1522" s="1">
        <v>2025</v>
      </c>
      <c r="D1522" s="1" t="str">
        <f>IF($A1522&lt;=[1]RESULTADOS!$D$6,"YTD","YTG")</f>
        <v>YTD</v>
      </c>
      <c r="E1522" t="s">
        <v>679</v>
      </c>
      <c r="F1522" t="s">
        <v>667</v>
      </c>
      <c r="G1522" t="s">
        <v>667</v>
      </c>
      <c r="H1522" t="s">
        <v>668</v>
      </c>
      <c r="I1522" t="s">
        <v>82</v>
      </c>
      <c r="J1522" t="str">
        <f>IFERROR(VLOOKUP(I1522,[1]AUTOS!$C:$G,2,0),"")</f>
        <v>AVEO</v>
      </c>
      <c r="K1522">
        <f>IFERROR(VLOOKUP(I1522,[1]AUTOS!$C:$G,3,0),"")</f>
        <v>2019</v>
      </c>
      <c r="L1522" t="str">
        <f>IFERROR(VLOOKUP(I1522,[1]AUTOS!$C:$G,4,0),"")</f>
        <v>PLATA</v>
      </c>
      <c r="M1522" t="s">
        <v>43</v>
      </c>
      <c r="N1522" s="3">
        <v>6026.3700000000008</v>
      </c>
      <c r="O1522" s="3">
        <v>2500</v>
      </c>
      <c r="P1522" s="3">
        <v>2843</v>
      </c>
      <c r="Q1522" s="3">
        <v>0</v>
      </c>
    </row>
    <row r="1523" spans="1:17" hidden="1" x14ac:dyDescent="0.3">
      <c r="A1523">
        <v>6</v>
      </c>
      <c r="B1523" t="str">
        <f>VLOOKUP($A1523,[1]LISTA!$B:$C,2,0)</f>
        <v>FEBRERO</v>
      </c>
      <c r="C1523" s="1">
        <v>2025</v>
      </c>
      <c r="D1523" s="1" t="str">
        <f>IF($A1523&lt;=[1]RESULTADOS!$D$6,"YTD","YTG")</f>
        <v>YTD</v>
      </c>
      <c r="E1523" t="s">
        <v>682</v>
      </c>
      <c r="F1523" t="s">
        <v>667</v>
      </c>
      <c r="G1523" t="s">
        <v>667</v>
      </c>
      <c r="H1523" t="s">
        <v>668</v>
      </c>
      <c r="I1523" t="s">
        <v>42</v>
      </c>
      <c r="J1523" t="str">
        <f>IFERROR(VLOOKUP(I1523,[1]AUTOS!$C:$G,2,0),"")</f>
        <v>VENTO</v>
      </c>
      <c r="K1523">
        <f>IFERROR(VLOOKUP(I1523,[1]AUTOS!$C:$G,3,0),"")</f>
        <v>2018</v>
      </c>
      <c r="L1523" t="str">
        <f>IFERROR(VLOOKUP(I1523,[1]AUTOS!$C:$G,4,0),"")</f>
        <v>AMARILLO</v>
      </c>
      <c r="M1523" t="s">
        <v>43</v>
      </c>
      <c r="N1523" s="3">
        <v>2435.7799999999997</v>
      </c>
      <c r="O1523" s="3">
        <v>2500</v>
      </c>
      <c r="P1523" s="3">
        <v>2980.7799999999997</v>
      </c>
      <c r="Q1523" s="3">
        <v>500</v>
      </c>
    </row>
    <row r="1524" spans="1:17" hidden="1" x14ac:dyDescent="0.3">
      <c r="A1524">
        <v>6</v>
      </c>
      <c r="B1524" t="str">
        <f>VLOOKUP($A1524,[1]LISTA!$B:$C,2,0)</f>
        <v>FEBRERO</v>
      </c>
      <c r="C1524" s="1">
        <v>2025</v>
      </c>
      <c r="D1524" s="1" t="str">
        <f>IF($A1524&lt;=[1]RESULTADOS!$D$6,"YTD","YTG")</f>
        <v>YTD</v>
      </c>
      <c r="E1524" t="s">
        <v>680</v>
      </c>
      <c r="F1524" t="s">
        <v>667</v>
      </c>
      <c r="G1524" t="s">
        <v>667</v>
      </c>
      <c r="H1524" t="s">
        <v>668</v>
      </c>
      <c r="I1524" t="s">
        <v>102</v>
      </c>
      <c r="J1524" t="str">
        <f>IFERROR(VLOOKUP(I1524,[1]AUTOS!$C:$G,2,0),"")</f>
        <v>AVEO</v>
      </c>
      <c r="K1524">
        <f>IFERROR(VLOOKUP(I1524,[1]AUTOS!$C:$G,3,0),"")</f>
        <v>2022</v>
      </c>
      <c r="L1524" t="str">
        <f>IFERROR(VLOOKUP(I1524,[1]AUTOS!$C:$G,4,0),"")</f>
        <v>AZUL</v>
      </c>
      <c r="M1524" t="s">
        <v>43</v>
      </c>
      <c r="N1524" s="3">
        <v>3165.75</v>
      </c>
      <c r="O1524" s="3">
        <v>2500</v>
      </c>
      <c r="P1524" s="3">
        <v>3000</v>
      </c>
      <c r="Q1524" s="3">
        <v>0</v>
      </c>
    </row>
    <row r="1525" spans="1:17" hidden="1" x14ac:dyDescent="0.3">
      <c r="A1525">
        <v>6</v>
      </c>
      <c r="B1525" t="str">
        <f>VLOOKUP($A1525,[1]LISTA!$B:$C,2,0)</f>
        <v>FEBRERO</v>
      </c>
      <c r="C1525" s="1">
        <v>2025</v>
      </c>
      <c r="D1525" s="1" t="str">
        <f>IF($A1525&lt;=[1]RESULTADOS!$D$6,"YTD","YTG")</f>
        <v>YTD</v>
      </c>
      <c r="E1525" t="s">
        <v>456</v>
      </c>
      <c r="F1525" t="s">
        <v>667</v>
      </c>
      <c r="G1525" t="s">
        <v>667</v>
      </c>
      <c r="H1525" t="s">
        <v>668</v>
      </c>
      <c r="I1525" t="s">
        <v>73</v>
      </c>
      <c r="J1525" t="str">
        <f>IFERROR(VLOOKUP(I1525,[1]AUTOS!$C:$G,2,0),"")</f>
        <v>VERSA</v>
      </c>
      <c r="K1525">
        <f>IFERROR(VLOOKUP(I1525,[1]AUTOS!$C:$G,3,0),"")</f>
        <v>2023</v>
      </c>
      <c r="L1525" t="str">
        <f>IFERROR(VLOOKUP(I1525,[1]AUTOS!$C:$G,4,0),"")</f>
        <v>PLATA</v>
      </c>
      <c r="M1525" t="s">
        <v>43</v>
      </c>
      <c r="N1525" s="3">
        <v>4210.6900000000005</v>
      </c>
      <c r="O1525" s="3">
        <v>2500</v>
      </c>
      <c r="P1525" s="3">
        <v>3065</v>
      </c>
      <c r="Q1525" s="3">
        <v>0</v>
      </c>
    </row>
    <row r="1526" spans="1:17" hidden="1" x14ac:dyDescent="0.3">
      <c r="A1526">
        <v>6</v>
      </c>
      <c r="B1526" t="str">
        <f>VLOOKUP($A1526,[1]LISTA!$B:$C,2,0)</f>
        <v>FEBRERO</v>
      </c>
      <c r="C1526" s="1">
        <v>2025</v>
      </c>
      <c r="D1526" s="1" t="str">
        <f>IF($A1526&lt;=[1]RESULTADOS!$D$6,"YTD","YTG")</f>
        <v>YTD</v>
      </c>
      <c r="E1526" t="s">
        <v>674</v>
      </c>
      <c r="F1526" t="s">
        <v>667</v>
      </c>
      <c r="G1526" t="s">
        <v>667</v>
      </c>
      <c r="H1526" t="s">
        <v>668</v>
      </c>
      <c r="I1526" t="s">
        <v>46</v>
      </c>
      <c r="J1526" t="str">
        <f>IFERROR(VLOOKUP(I1526,[1]AUTOS!$C:$G,2,0),"")</f>
        <v>MARCH</v>
      </c>
      <c r="K1526">
        <f>IFERROR(VLOOKUP(I1526,[1]AUTOS!$C:$G,3,0),"")</f>
        <v>2020</v>
      </c>
      <c r="L1526" t="str">
        <f>IFERROR(VLOOKUP(I1526,[1]AUTOS!$C:$G,4,0),"")</f>
        <v>TURQ</v>
      </c>
      <c r="M1526" t="s">
        <v>43</v>
      </c>
      <c r="N1526" s="3">
        <v>2265.9899999999998</v>
      </c>
      <c r="O1526" s="3">
        <v>2500</v>
      </c>
      <c r="P1526" s="3">
        <v>2499.9899999999998</v>
      </c>
      <c r="Q1526" s="3">
        <v>0</v>
      </c>
    </row>
    <row r="1527" spans="1:17" hidden="1" x14ac:dyDescent="0.3">
      <c r="A1527">
        <v>6</v>
      </c>
      <c r="B1527" t="str">
        <f>VLOOKUP($A1527,[1]LISTA!$B:$C,2,0)</f>
        <v>FEBRERO</v>
      </c>
      <c r="C1527" s="1">
        <v>2025</v>
      </c>
      <c r="D1527" s="1" t="str">
        <f>IF($A1527&lt;=[1]RESULTADOS!$D$6,"YTD","YTG")</f>
        <v>YTD</v>
      </c>
      <c r="E1527" t="s">
        <v>681</v>
      </c>
      <c r="F1527" t="s">
        <v>667</v>
      </c>
      <c r="G1527" t="s">
        <v>667</v>
      </c>
      <c r="H1527" t="s">
        <v>668</v>
      </c>
      <c r="I1527" t="s">
        <v>34</v>
      </c>
      <c r="J1527" t="str">
        <f>IFERROR(VLOOKUP(I1527,[1]AUTOS!$C:$G,2,0),"")</f>
        <v>AVEO</v>
      </c>
      <c r="K1527">
        <f>IFERROR(VLOOKUP(I1527,[1]AUTOS!$C:$G,3,0),"")</f>
        <v>2018</v>
      </c>
      <c r="L1527" t="str">
        <f>IFERROR(VLOOKUP(I1527,[1]AUTOS!$C:$G,4,0),"")</f>
        <v>ROJO</v>
      </c>
      <c r="M1527" t="s">
        <v>43</v>
      </c>
      <c r="N1527" s="3">
        <v>2905.1700000000005</v>
      </c>
      <c r="O1527" s="3">
        <v>2500</v>
      </c>
      <c r="P1527" s="3">
        <v>2491</v>
      </c>
      <c r="Q1527" s="3">
        <v>0</v>
      </c>
    </row>
    <row r="1528" spans="1:17" hidden="1" x14ac:dyDescent="0.3">
      <c r="A1528">
        <v>6</v>
      </c>
      <c r="B1528" t="str">
        <f>VLOOKUP($A1528,[1]LISTA!$B:$C,2,0)</f>
        <v>FEBRERO</v>
      </c>
      <c r="C1528" s="1">
        <v>2025</v>
      </c>
      <c r="D1528" s="1" t="str">
        <f>IF($A1528&lt;=[1]RESULTADOS!$D$6,"YTD","YTG")</f>
        <v>YTD</v>
      </c>
      <c r="E1528" t="s">
        <v>675</v>
      </c>
      <c r="F1528" t="s">
        <v>667</v>
      </c>
      <c r="G1528" t="s">
        <v>667</v>
      </c>
      <c r="H1528" t="s">
        <v>668</v>
      </c>
      <c r="I1528" t="s">
        <v>40</v>
      </c>
      <c r="J1528" t="str">
        <f>IFERROR(VLOOKUP(I1528,[1]AUTOS!$C:$G,2,0),"")</f>
        <v>VERSA</v>
      </c>
      <c r="K1528">
        <f>IFERROR(VLOOKUP(I1528,[1]AUTOS!$C:$G,3,0),"")</f>
        <v>2017</v>
      </c>
      <c r="L1528" t="str">
        <f>IFERROR(VLOOKUP(I1528,[1]AUTOS!$C:$G,4,0),"")</f>
        <v>ACERO</v>
      </c>
      <c r="M1528" t="s">
        <v>43</v>
      </c>
      <c r="N1528" s="3">
        <v>2237.8199999999997</v>
      </c>
      <c r="O1528" s="3">
        <v>2321.4285714285716</v>
      </c>
      <c r="P1528" s="3">
        <v>2821.8199999999997</v>
      </c>
      <c r="Q1528" s="3">
        <v>500</v>
      </c>
    </row>
    <row r="1529" spans="1:17" hidden="1" x14ac:dyDescent="0.3">
      <c r="A1529">
        <v>6</v>
      </c>
      <c r="B1529" t="str">
        <f>VLOOKUP($A1529,[1]LISTA!$B:$C,2,0)</f>
        <v>FEBRERO</v>
      </c>
      <c r="C1529" s="1">
        <v>2025</v>
      </c>
      <c r="D1529" s="1" t="str">
        <f>IF($A1529&lt;=[1]RESULTADOS!$D$6,"YTD","YTG")</f>
        <v>YTD</v>
      </c>
      <c r="E1529" t="s">
        <v>683</v>
      </c>
      <c r="F1529" t="s">
        <v>667</v>
      </c>
      <c r="G1529" t="s">
        <v>667</v>
      </c>
      <c r="H1529" t="s">
        <v>668</v>
      </c>
      <c r="I1529" t="s">
        <v>59</v>
      </c>
      <c r="J1529" t="str">
        <f>IFERROR(VLOOKUP(I1529,[1]AUTOS!$C:$G,2,0),"")</f>
        <v>AVEO</v>
      </c>
      <c r="K1529">
        <f>IFERROR(VLOOKUP(I1529,[1]AUTOS!$C:$G,3,0),"")</f>
        <v>2019</v>
      </c>
      <c r="L1529" t="str">
        <f>IFERROR(VLOOKUP(I1529,[1]AUTOS!$C:$G,4,0),"")</f>
        <v>BLANCO</v>
      </c>
      <c r="M1529" t="s">
        <v>669</v>
      </c>
      <c r="N1529" s="3">
        <v>325.52</v>
      </c>
      <c r="O1529" s="3">
        <v>1786</v>
      </c>
      <c r="P1529" s="3">
        <v>3492.52</v>
      </c>
      <c r="Q1529" s="3">
        <v>0</v>
      </c>
    </row>
    <row r="1530" spans="1:17" hidden="1" x14ac:dyDescent="0.3">
      <c r="A1530">
        <v>6</v>
      </c>
      <c r="B1530" t="str">
        <f>VLOOKUP($A1530,[1]LISTA!$B:$C,2,0)</f>
        <v>FEBRERO</v>
      </c>
      <c r="C1530" s="1">
        <v>2025</v>
      </c>
      <c r="D1530" s="1" t="str">
        <f>IF($A1530&lt;=[1]RESULTADOS!$D$6,"YTD","YTG")</f>
        <v>YTD</v>
      </c>
      <c r="E1530" t="s">
        <v>684</v>
      </c>
      <c r="F1530" t="s">
        <v>667</v>
      </c>
      <c r="G1530" t="s">
        <v>667</v>
      </c>
      <c r="H1530" t="s">
        <v>668</v>
      </c>
      <c r="I1530" t="s">
        <v>76</v>
      </c>
      <c r="J1530" t="str">
        <f>IFERROR(VLOOKUP(I1530,[1]AUTOS!$C:$G,2,0),"")</f>
        <v>AVEO</v>
      </c>
      <c r="K1530">
        <f>IFERROR(VLOOKUP(I1530,[1]AUTOS!$C:$G,3,0),"")</f>
        <v>2018</v>
      </c>
      <c r="L1530" t="str">
        <f>IFERROR(VLOOKUP(I1530,[1]AUTOS!$C:$G,4,0),"")</f>
        <v>GRIS</v>
      </c>
      <c r="M1530" t="s">
        <v>43</v>
      </c>
      <c r="N1530" s="3">
        <v>1675.7099999999998</v>
      </c>
      <c r="O1530" s="3">
        <v>1785.7142857142858</v>
      </c>
      <c r="P1530" s="3">
        <v>1675.7099999999998</v>
      </c>
      <c r="Q1530" s="3">
        <v>500</v>
      </c>
    </row>
    <row r="1531" spans="1:17" hidden="1" x14ac:dyDescent="0.3">
      <c r="A1531">
        <v>6</v>
      </c>
      <c r="B1531" t="str">
        <f>VLOOKUP($A1531,[1]LISTA!$B:$C,2,0)</f>
        <v>FEBRERO</v>
      </c>
      <c r="C1531" s="1">
        <v>2025</v>
      </c>
      <c r="D1531" s="1" t="str">
        <f>IF($A1531&lt;=[1]RESULTADOS!$D$6,"YTD","YTG")</f>
        <v>YTD</v>
      </c>
      <c r="E1531" t="s">
        <v>403</v>
      </c>
      <c r="F1531" t="s">
        <v>667</v>
      </c>
      <c r="G1531" t="s">
        <v>667</v>
      </c>
      <c r="H1531" t="s">
        <v>668</v>
      </c>
      <c r="I1531" t="s">
        <v>51</v>
      </c>
      <c r="J1531" t="str">
        <f>IFERROR(VLOOKUP(I1531,[1]AUTOS!$C:$G,2,0),"")</f>
        <v>VENTO</v>
      </c>
      <c r="K1531">
        <f>IFERROR(VLOOKUP(I1531,[1]AUTOS!$C:$G,3,0),"")</f>
        <v>2017</v>
      </c>
      <c r="L1531" t="str">
        <f>IFERROR(VLOOKUP(I1531,[1]AUTOS!$C:$G,4,0),"")</f>
        <v>GRIS</v>
      </c>
      <c r="M1531" t="s">
        <v>43</v>
      </c>
      <c r="N1531" s="3">
        <v>3339.2200000000003</v>
      </c>
      <c r="O1531" s="3">
        <v>2300</v>
      </c>
      <c r="P1531" s="3">
        <v>2800</v>
      </c>
      <c r="Q1531" s="3">
        <v>0</v>
      </c>
    </row>
    <row r="1532" spans="1:17" hidden="1" x14ac:dyDescent="0.3">
      <c r="A1532">
        <v>6</v>
      </c>
      <c r="B1532" t="str">
        <f>VLOOKUP($A1532,[1]LISTA!$B:$C,2,0)</f>
        <v>FEBRERO</v>
      </c>
      <c r="C1532" s="1">
        <v>2025</v>
      </c>
      <c r="D1532" s="1" t="str">
        <f>IF($A1532&lt;=[1]RESULTADOS!$D$6,"YTD","YTG")</f>
        <v>YTD</v>
      </c>
      <c r="E1532" t="s">
        <v>685</v>
      </c>
      <c r="F1532" t="s">
        <v>667</v>
      </c>
      <c r="G1532" t="s">
        <v>667</v>
      </c>
      <c r="H1532" t="s">
        <v>668</v>
      </c>
      <c r="I1532" t="s">
        <v>37</v>
      </c>
      <c r="J1532" t="str">
        <f>IFERROR(VLOOKUP(I1532,[1]AUTOS!$C:$G,2,0),"")</f>
        <v>BEAT</v>
      </c>
      <c r="K1532">
        <f>IFERROR(VLOOKUP(I1532,[1]AUTOS!$C:$G,3,0),"")</f>
        <v>2020</v>
      </c>
      <c r="L1532" t="str">
        <f>IFERROR(VLOOKUP(I1532,[1]AUTOS!$C:$G,4,0),"")</f>
        <v>GRIS</v>
      </c>
      <c r="M1532" t="s">
        <v>43</v>
      </c>
      <c r="N1532" s="3">
        <v>1094.4100000000001</v>
      </c>
      <c r="O1532" s="3">
        <v>1785.7142857142858</v>
      </c>
      <c r="P1532" s="3">
        <v>1094.4100000000001</v>
      </c>
      <c r="Q1532" s="3">
        <v>500</v>
      </c>
    </row>
    <row r="1533" spans="1:17" hidden="1" x14ac:dyDescent="0.3">
      <c r="A1533">
        <v>6</v>
      </c>
      <c r="B1533" t="str">
        <f>VLOOKUP($A1533,[1]LISTA!$B:$C,2,0)</f>
        <v>FEBRERO</v>
      </c>
      <c r="C1533" s="1">
        <v>2025</v>
      </c>
      <c r="D1533" s="1" t="str">
        <f>IF($A1533&lt;=[1]RESULTADOS!$D$6,"YTD","YTG")</f>
        <v>YTD</v>
      </c>
      <c r="E1533" t="s">
        <v>676</v>
      </c>
      <c r="F1533" t="s">
        <v>667</v>
      </c>
      <c r="G1533" t="s">
        <v>667</v>
      </c>
      <c r="H1533" t="s">
        <v>668</v>
      </c>
      <c r="I1533" t="s">
        <v>67</v>
      </c>
      <c r="J1533" t="str">
        <f>IFERROR(VLOOKUP(I1533,[1]AUTOS!$C:$G,2,0),"")</f>
        <v>KIA RIO</v>
      </c>
      <c r="K1533">
        <f>IFERROR(VLOOKUP(I1533,[1]AUTOS!$C:$G,3,0),"")</f>
        <v>2020</v>
      </c>
      <c r="L1533" t="str">
        <f>IFERROR(VLOOKUP(I1533,[1]AUTOS!$C:$G,4,0),"")</f>
        <v>GRIS</v>
      </c>
      <c r="M1533" t="s">
        <v>669</v>
      </c>
      <c r="N1533" s="3">
        <v>2885.8199999999997</v>
      </c>
      <c r="O1533" s="3">
        <v>2500</v>
      </c>
      <c r="P1533" s="3">
        <v>2500</v>
      </c>
      <c r="Q1533" s="3">
        <v>0</v>
      </c>
    </row>
    <row r="1534" spans="1:17" hidden="1" x14ac:dyDescent="0.3">
      <c r="A1534">
        <v>7</v>
      </c>
      <c r="B1534" t="str">
        <f>VLOOKUP($A1534,[1]LISTA!$B:$C,2,0)</f>
        <v>FEBRERO</v>
      </c>
      <c r="C1534" s="1">
        <v>2025</v>
      </c>
      <c r="D1534" s="1" t="str">
        <f>IF($A1534&lt;=[1]RESULTADOS!$D$6,"YTD","YTG")</f>
        <v>YTD</v>
      </c>
      <c r="E1534" t="s">
        <v>492</v>
      </c>
      <c r="F1534" t="s">
        <v>667</v>
      </c>
      <c r="G1534" t="s">
        <v>667</v>
      </c>
      <c r="H1534" t="s">
        <v>668</v>
      </c>
      <c r="I1534" t="s">
        <v>79</v>
      </c>
      <c r="J1534" t="str">
        <f>IFERROR(VLOOKUP(I1534,[1]AUTOS!$C:$G,2,0),"")</f>
        <v>AVEO</v>
      </c>
      <c r="K1534">
        <f>IFERROR(VLOOKUP(I1534,[1]AUTOS!$C:$G,3,0),"")</f>
        <v>2021</v>
      </c>
      <c r="L1534" t="str">
        <f>IFERROR(VLOOKUP(I1534,[1]AUTOS!$C:$G,4,0),"")</f>
        <v>OCRE</v>
      </c>
      <c r="M1534" t="s">
        <v>669</v>
      </c>
      <c r="N1534" s="3">
        <v>0</v>
      </c>
      <c r="O1534" s="3">
        <v>0</v>
      </c>
      <c r="P1534" s="3">
        <v>0</v>
      </c>
      <c r="Q1534" s="3">
        <v>0</v>
      </c>
    </row>
    <row r="1535" spans="1:17" hidden="1" x14ac:dyDescent="0.3">
      <c r="A1535">
        <v>7</v>
      </c>
      <c r="B1535" t="str">
        <f>VLOOKUP($A1535,[1]LISTA!$B:$C,2,0)</f>
        <v>FEBRERO</v>
      </c>
      <c r="C1535" s="1">
        <v>2025</v>
      </c>
      <c r="D1535" s="1" t="str">
        <f>IF($A1535&lt;=[1]RESULTADOS!$D$6,"YTD","YTG")</f>
        <v>YTD</v>
      </c>
      <c r="E1535" t="s">
        <v>671</v>
      </c>
      <c r="F1535" t="s">
        <v>667</v>
      </c>
      <c r="G1535" t="s">
        <v>667</v>
      </c>
      <c r="H1535" t="s">
        <v>668</v>
      </c>
      <c r="I1535" t="s">
        <v>162</v>
      </c>
      <c r="J1535" t="str">
        <f>IFERROR(VLOOKUP(I1535,[1]AUTOS!$C:$G,2,0),"")</f>
        <v>HYUNDAI</v>
      </c>
      <c r="K1535">
        <f>IFERROR(VLOOKUP(I1535,[1]AUTOS!$C:$G,3,0),"")</f>
        <v>2022</v>
      </c>
      <c r="L1535" t="str">
        <f>IFERROR(VLOOKUP(I1535,[1]AUTOS!$C:$G,4,0),"")</f>
        <v>PLATA</v>
      </c>
      <c r="M1535" t="s">
        <v>669</v>
      </c>
      <c r="N1535" s="3">
        <v>0</v>
      </c>
      <c r="O1535" s="3">
        <v>2500</v>
      </c>
      <c r="P1535" s="3">
        <v>2500</v>
      </c>
      <c r="Q1535" s="3">
        <v>0</v>
      </c>
    </row>
    <row r="1536" spans="1:17" x14ac:dyDescent="0.3">
      <c r="A1536">
        <v>7</v>
      </c>
      <c r="B1536" t="str">
        <f>VLOOKUP($A1536,[1]LISTA!$B:$C,2,0)</f>
        <v>FEBRERO</v>
      </c>
      <c r="C1536" s="1">
        <v>2025</v>
      </c>
      <c r="D1536" s="1" t="str">
        <f>IF($A1536&lt;=[1]RESULTADOS!$D$6,"YTD","YTG")</f>
        <v>YTD</v>
      </c>
      <c r="E1536" t="s">
        <v>678</v>
      </c>
      <c r="F1536" t="s">
        <v>667</v>
      </c>
      <c r="G1536" t="s">
        <v>667</v>
      </c>
      <c r="H1536" t="s">
        <v>668</v>
      </c>
      <c r="I1536" t="s">
        <v>72</v>
      </c>
      <c r="J1536" t="str">
        <f>IFERROR(VLOOKUP(I1536,[1]AUTOS!$C:$G,2,0),"")</f>
        <v>VENTO</v>
      </c>
      <c r="K1536">
        <f>IFERROR(VLOOKUP(I1536,[1]AUTOS!$C:$G,3,0),"")</f>
        <v>2020</v>
      </c>
      <c r="L1536" t="str">
        <f>IFERROR(VLOOKUP(I1536,[1]AUTOS!$C:$G,4,0),"")</f>
        <v>GRIS</v>
      </c>
      <c r="M1536" t="s">
        <v>43</v>
      </c>
      <c r="N1536" s="3">
        <v>1180.9100000000001</v>
      </c>
      <c r="O1536" s="3">
        <v>2500</v>
      </c>
      <c r="P1536" s="3">
        <v>1180.9100000000001</v>
      </c>
      <c r="Q1536" s="3">
        <v>0</v>
      </c>
    </row>
    <row r="1537" spans="1:17" hidden="1" x14ac:dyDescent="0.3">
      <c r="A1537">
        <v>7</v>
      </c>
      <c r="B1537" t="str">
        <f>VLOOKUP($A1537,[1]LISTA!$B:$C,2,0)</f>
        <v>FEBRERO</v>
      </c>
      <c r="C1537" s="1">
        <v>2025</v>
      </c>
      <c r="D1537" s="1" t="str">
        <f>IF($A1537&lt;=[1]RESULTADOS!$D$6,"YTD","YTG")</f>
        <v>YTD</v>
      </c>
      <c r="E1537" t="s">
        <v>679</v>
      </c>
      <c r="F1537" t="s">
        <v>667</v>
      </c>
      <c r="G1537" t="s">
        <v>667</v>
      </c>
      <c r="H1537" t="s">
        <v>668</v>
      </c>
      <c r="I1537" t="s">
        <v>82</v>
      </c>
      <c r="J1537" t="str">
        <f>IFERROR(VLOOKUP(I1537,[1]AUTOS!$C:$G,2,0),"")</f>
        <v>AVEO</v>
      </c>
      <c r="K1537">
        <f>IFERROR(VLOOKUP(I1537,[1]AUTOS!$C:$G,3,0),"")</f>
        <v>2019</v>
      </c>
      <c r="L1537" t="str">
        <f>IFERROR(VLOOKUP(I1537,[1]AUTOS!$C:$G,4,0),"")</f>
        <v>PLATA</v>
      </c>
      <c r="M1537" t="s">
        <v>43</v>
      </c>
      <c r="N1537" s="3">
        <v>4218.54</v>
      </c>
      <c r="O1537" s="3">
        <v>96</v>
      </c>
      <c r="P1537" s="3">
        <v>96</v>
      </c>
      <c r="Q1537" s="3">
        <v>0</v>
      </c>
    </row>
    <row r="1538" spans="1:17" hidden="1" x14ac:dyDescent="0.3">
      <c r="A1538">
        <v>7</v>
      </c>
      <c r="B1538" t="str">
        <f>VLOOKUP($A1538,[1]LISTA!$B:$C,2,0)</f>
        <v>FEBRERO</v>
      </c>
      <c r="C1538" s="1">
        <v>2025</v>
      </c>
      <c r="D1538" s="1" t="str">
        <f>IF($A1538&lt;=[1]RESULTADOS!$D$6,"YTD","YTG")</f>
        <v>YTD</v>
      </c>
      <c r="E1538" t="s">
        <v>682</v>
      </c>
      <c r="F1538" t="s">
        <v>667</v>
      </c>
      <c r="G1538" t="s">
        <v>667</v>
      </c>
      <c r="H1538" t="s">
        <v>668</v>
      </c>
      <c r="I1538" t="s">
        <v>42</v>
      </c>
      <c r="J1538" t="str">
        <f>IFERROR(VLOOKUP(I1538,[1]AUTOS!$C:$G,2,0),"")</f>
        <v>VENTO</v>
      </c>
      <c r="K1538">
        <f>IFERROR(VLOOKUP(I1538,[1]AUTOS!$C:$G,3,0),"")</f>
        <v>2018</v>
      </c>
      <c r="L1538" t="str">
        <f>IFERROR(VLOOKUP(I1538,[1]AUTOS!$C:$G,4,0),"")</f>
        <v>AMARILLO</v>
      </c>
      <c r="M1538" t="s">
        <v>43</v>
      </c>
      <c r="N1538" s="3">
        <v>8.6800000000000068</v>
      </c>
      <c r="O1538" s="3">
        <v>0</v>
      </c>
      <c r="P1538" s="3">
        <v>0</v>
      </c>
      <c r="Q1538" s="3">
        <v>0</v>
      </c>
    </row>
    <row r="1539" spans="1:17" hidden="1" x14ac:dyDescent="0.3">
      <c r="A1539">
        <v>7</v>
      </c>
      <c r="B1539" t="str">
        <f>VLOOKUP($A1539,[1]LISTA!$B:$C,2,0)</f>
        <v>FEBRERO</v>
      </c>
      <c r="C1539" s="1">
        <v>2025</v>
      </c>
      <c r="D1539" s="1" t="str">
        <f>IF($A1539&lt;=[1]RESULTADOS!$D$6,"YTD","YTG")</f>
        <v>YTD</v>
      </c>
      <c r="E1539" t="s">
        <v>680</v>
      </c>
      <c r="F1539" t="s">
        <v>667</v>
      </c>
      <c r="G1539" t="s">
        <v>667</v>
      </c>
      <c r="H1539" t="s">
        <v>668</v>
      </c>
      <c r="I1539" t="s">
        <v>102</v>
      </c>
      <c r="J1539" t="str">
        <f>IFERROR(VLOOKUP(I1539,[1]AUTOS!$C:$G,2,0),"")</f>
        <v>AVEO</v>
      </c>
      <c r="K1539">
        <f>IFERROR(VLOOKUP(I1539,[1]AUTOS!$C:$G,3,0),"")</f>
        <v>2022</v>
      </c>
      <c r="L1539" t="str">
        <f>IFERROR(VLOOKUP(I1539,[1]AUTOS!$C:$G,4,0),"")</f>
        <v>AZUL</v>
      </c>
      <c r="M1539" t="s">
        <v>43</v>
      </c>
      <c r="N1539" s="3">
        <v>2809.25</v>
      </c>
      <c r="O1539" s="3">
        <v>56</v>
      </c>
      <c r="P1539" s="3">
        <v>356</v>
      </c>
      <c r="Q1539" s="3">
        <v>0</v>
      </c>
    </row>
    <row r="1540" spans="1:17" hidden="1" x14ac:dyDescent="0.3">
      <c r="A1540">
        <v>7</v>
      </c>
      <c r="B1540" t="str">
        <f>VLOOKUP($A1540,[1]LISTA!$B:$C,2,0)</f>
        <v>FEBRERO</v>
      </c>
      <c r="C1540" s="1">
        <v>2025</v>
      </c>
      <c r="D1540" s="1" t="str">
        <f>IF($A1540&lt;=[1]RESULTADOS!$D$6,"YTD","YTG")</f>
        <v>YTD</v>
      </c>
      <c r="E1540" t="s">
        <v>456</v>
      </c>
      <c r="F1540" t="s">
        <v>667</v>
      </c>
      <c r="G1540" t="s">
        <v>667</v>
      </c>
      <c r="H1540" t="s">
        <v>668</v>
      </c>
      <c r="I1540" t="s">
        <v>73</v>
      </c>
      <c r="J1540" t="str">
        <f>IFERROR(VLOOKUP(I1540,[1]AUTOS!$C:$G,2,0),"")</f>
        <v>VERSA</v>
      </c>
      <c r="K1540">
        <f>IFERROR(VLOOKUP(I1540,[1]AUTOS!$C:$G,3,0),"")</f>
        <v>2023</v>
      </c>
      <c r="L1540" t="str">
        <f>IFERROR(VLOOKUP(I1540,[1]AUTOS!$C:$G,4,0),"")</f>
        <v>PLATA</v>
      </c>
      <c r="M1540" t="s">
        <v>43</v>
      </c>
      <c r="N1540" s="3">
        <v>3830.6800000000003</v>
      </c>
      <c r="O1540" s="3">
        <v>85</v>
      </c>
      <c r="P1540" s="3">
        <v>1085</v>
      </c>
      <c r="Q1540" s="3">
        <v>0</v>
      </c>
    </row>
    <row r="1541" spans="1:17" hidden="1" x14ac:dyDescent="0.3">
      <c r="A1541">
        <v>7</v>
      </c>
      <c r="B1541" t="str">
        <f>VLOOKUP($A1541,[1]LISTA!$B:$C,2,0)</f>
        <v>FEBRERO</v>
      </c>
      <c r="C1541" s="1">
        <v>2025</v>
      </c>
      <c r="D1541" s="1" t="str">
        <f>IF($A1541&lt;=[1]RESULTADOS!$D$6,"YTD","YTG")</f>
        <v>YTD</v>
      </c>
      <c r="E1541" t="s">
        <v>674</v>
      </c>
      <c r="F1541" t="s">
        <v>667</v>
      </c>
      <c r="G1541" t="s">
        <v>667</v>
      </c>
      <c r="H1541" t="s">
        <v>668</v>
      </c>
      <c r="I1541" t="s">
        <v>46</v>
      </c>
      <c r="J1541" t="str">
        <f>IFERROR(VLOOKUP(I1541,[1]AUTOS!$C:$G,2,0),"")</f>
        <v>MARCH</v>
      </c>
      <c r="K1541">
        <f>IFERROR(VLOOKUP(I1541,[1]AUTOS!$C:$G,3,0),"")</f>
        <v>2020</v>
      </c>
      <c r="L1541" t="str">
        <f>IFERROR(VLOOKUP(I1541,[1]AUTOS!$C:$G,4,0),"")</f>
        <v>TURQ</v>
      </c>
      <c r="M1541" t="s">
        <v>43</v>
      </c>
      <c r="N1541" s="3">
        <v>2938.96</v>
      </c>
      <c r="O1541" s="3">
        <v>45</v>
      </c>
      <c r="P1541" s="3">
        <v>45</v>
      </c>
      <c r="Q1541" s="3">
        <v>0</v>
      </c>
    </row>
    <row r="1542" spans="1:17" hidden="1" x14ac:dyDescent="0.3">
      <c r="A1542">
        <v>7</v>
      </c>
      <c r="B1542" t="str">
        <f>VLOOKUP($A1542,[1]LISTA!$B:$C,2,0)</f>
        <v>FEBRERO</v>
      </c>
      <c r="C1542" s="1">
        <v>2025</v>
      </c>
      <c r="D1542" s="1" t="str">
        <f>IF($A1542&lt;=[1]RESULTADOS!$D$6,"YTD","YTG")</f>
        <v>YTD</v>
      </c>
      <c r="E1542" t="s">
        <v>681</v>
      </c>
      <c r="F1542" t="s">
        <v>667</v>
      </c>
      <c r="G1542" t="s">
        <v>667</v>
      </c>
      <c r="H1542" t="s">
        <v>668</v>
      </c>
      <c r="I1542" t="s">
        <v>34</v>
      </c>
      <c r="J1542" t="str">
        <f>IFERROR(VLOOKUP(I1542,[1]AUTOS!$C:$G,2,0),"")</f>
        <v>AVEO</v>
      </c>
      <c r="K1542">
        <f>IFERROR(VLOOKUP(I1542,[1]AUTOS!$C:$G,3,0),"")</f>
        <v>2018</v>
      </c>
      <c r="L1542" t="str">
        <f>IFERROR(VLOOKUP(I1542,[1]AUTOS!$C:$G,4,0),"")</f>
        <v>ROJO</v>
      </c>
      <c r="M1542" t="s">
        <v>43</v>
      </c>
      <c r="N1542" s="3">
        <v>2447.38</v>
      </c>
      <c r="O1542" s="3">
        <v>78</v>
      </c>
      <c r="P1542" s="3">
        <v>20</v>
      </c>
      <c r="Q1542" s="3">
        <v>0</v>
      </c>
    </row>
    <row r="1543" spans="1:17" hidden="1" x14ac:dyDescent="0.3">
      <c r="A1543">
        <v>7</v>
      </c>
      <c r="B1543" t="str">
        <f>VLOOKUP($A1543,[1]LISTA!$B:$C,2,0)</f>
        <v>FEBRERO</v>
      </c>
      <c r="C1543" s="1">
        <v>2025</v>
      </c>
      <c r="D1543" s="1" t="str">
        <f>IF($A1543&lt;=[1]RESULTADOS!$D$6,"YTD","YTG")</f>
        <v>YTD</v>
      </c>
      <c r="E1543" t="s">
        <v>675</v>
      </c>
      <c r="F1543" t="s">
        <v>667</v>
      </c>
      <c r="G1543" t="s">
        <v>667</v>
      </c>
      <c r="H1543" t="s">
        <v>668</v>
      </c>
      <c r="I1543" t="s">
        <v>40</v>
      </c>
      <c r="J1543" t="str">
        <f>IFERROR(VLOOKUP(I1543,[1]AUTOS!$C:$G,2,0),"")</f>
        <v>VERSA</v>
      </c>
      <c r="K1543">
        <f>IFERROR(VLOOKUP(I1543,[1]AUTOS!$C:$G,3,0),"")</f>
        <v>2017</v>
      </c>
      <c r="L1543" t="str">
        <f>IFERROR(VLOOKUP(I1543,[1]AUTOS!$C:$G,4,0),"")</f>
        <v>ACERO</v>
      </c>
      <c r="M1543" t="s">
        <v>43</v>
      </c>
      <c r="N1543" s="3">
        <v>1983.14</v>
      </c>
      <c r="O1543" s="3">
        <v>2500</v>
      </c>
      <c r="P1543" s="3">
        <v>2826.1400000000003</v>
      </c>
      <c r="Q1543" s="3">
        <v>326</v>
      </c>
    </row>
    <row r="1544" spans="1:17" hidden="1" x14ac:dyDescent="0.3">
      <c r="A1544">
        <v>7</v>
      </c>
      <c r="B1544" t="str">
        <f>VLOOKUP($A1544,[1]LISTA!$B:$C,2,0)</f>
        <v>FEBRERO</v>
      </c>
      <c r="C1544" s="1">
        <v>2025</v>
      </c>
      <c r="D1544" s="1" t="str">
        <f>IF($A1544&lt;=[1]RESULTADOS!$D$6,"YTD","YTG")</f>
        <v>YTD</v>
      </c>
      <c r="E1544" t="s">
        <v>683</v>
      </c>
      <c r="F1544" t="s">
        <v>667</v>
      </c>
      <c r="G1544" t="s">
        <v>667</v>
      </c>
      <c r="H1544" t="s">
        <v>668</v>
      </c>
      <c r="I1544" t="s">
        <v>59</v>
      </c>
      <c r="J1544" t="str">
        <f>IFERROR(VLOOKUP(I1544,[1]AUTOS!$C:$G,2,0),"")</f>
        <v>AVEO</v>
      </c>
      <c r="K1544">
        <f>IFERROR(VLOOKUP(I1544,[1]AUTOS!$C:$G,3,0),"")</f>
        <v>2019</v>
      </c>
      <c r="L1544" t="str">
        <f>IFERROR(VLOOKUP(I1544,[1]AUTOS!$C:$G,4,0),"")</f>
        <v>BLANCO</v>
      </c>
      <c r="M1544" t="s">
        <v>669</v>
      </c>
      <c r="N1544" s="3">
        <v>0</v>
      </c>
      <c r="O1544" s="3">
        <v>0</v>
      </c>
      <c r="P1544" s="3">
        <v>0</v>
      </c>
      <c r="Q1544" s="3">
        <v>0</v>
      </c>
    </row>
    <row r="1545" spans="1:17" hidden="1" x14ac:dyDescent="0.3">
      <c r="A1545">
        <v>7</v>
      </c>
      <c r="B1545" t="str">
        <f>VLOOKUP($A1545,[1]LISTA!$B:$C,2,0)</f>
        <v>FEBRERO</v>
      </c>
      <c r="C1545" s="1">
        <v>2025</v>
      </c>
      <c r="D1545" s="1" t="str">
        <f>IF($A1545&lt;=[1]RESULTADOS!$D$6,"YTD","YTG")</f>
        <v>YTD</v>
      </c>
      <c r="E1545" t="s">
        <v>684</v>
      </c>
      <c r="F1545" t="s">
        <v>667</v>
      </c>
      <c r="G1545" t="s">
        <v>667</v>
      </c>
      <c r="H1545" t="s">
        <v>668</v>
      </c>
      <c r="I1545" t="s">
        <v>76</v>
      </c>
      <c r="J1545" t="str">
        <f>IFERROR(VLOOKUP(I1545,[1]AUTOS!$C:$G,2,0),"")</f>
        <v>AVEO</v>
      </c>
      <c r="K1545">
        <f>IFERROR(VLOOKUP(I1545,[1]AUTOS!$C:$G,3,0),"")</f>
        <v>2018</v>
      </c>
      <c r="L1545" t="str">
        <f>IFERROR(VLOOKUP(I1545,[1]AUTOS!$C:$G,4,0),"")</f>
        <v>GRIS</v>
      </c>
      <c r="M1545" t="s">
        <v>43</v>
      </c>
      <c r="N1545" s="3">
        <v>1846.8799999999997</v>
      </c>
      <c r="O1545" s="3">
        <v>2500</v>
      </c>
      <c r="P1545" s="3">
        <v>1846.8799999999997</v>
      </c>
      <c r="Q1545" s="3">
        <v>500</v>
      </c>
    </row>
    <row r="1546" spans="1:17" hidden="1" x14ac:dyDescent="0.3">
      <c r="A1546">
        <v>7</v>
      </c>
      <c r="B1546" t="str">
        <f>VLOOKUP($A1546,[1]LISTA!$B:$C,2,0)</f>
        <v>FEBRERO</v>
      </c>
      <c r="C1546" s="1">
        <v>2025</v>
      </c>
      <c r="D1546" s="1" t="str">
        <f>IF($A1546&lt;=[1]RESULTADOS!$D$6,"YTD","YTG")</f>
        <v>YTD</v>
      </c>
      <c r="E1546" t="s">
        <v>403</v>
      </c>
      <c r="F1546" t="s">
        <v>667</v>
      </c>
      <c r="G1546" t="s">
        <v>667</v>
      </c>
      <c r="H1546" t="s">
        <v>668</v>
      </c>
      <c r="I1546" t="s">
        <v>51</v>
      </c>
      <c r="J1546" t="str">
        <f>IFERROR(VLOOKUP(I1546,[1]AUTOS!$C:$G,2,0),"")</f>
        <v>VENTO</v>
      </c>
      <c r="K1546">
        <f>IFERROR(VLOOKUP(I1546,[1]AUTOS!$C:$G,3,0),"")</f>
        <v>2017</v>
      </c>
      <c r="L1546" t="str">
        <f>IFERROR(VLOOKUP(I1546,[1]AUTOS!$C:$G,4,0),"")</f>
        <v>GRIS</v>
      </c>
      <c r="M1546" t="s">
        <v>43</v>
      </c>
      <c r="N1546" s="3">
        <v>2821.16</v>
      </c>
      <c r="O1546" s="3">
        <v>67</v>
      </c>
      <c r="P1546" s="3">
        <v>567</v>
      </c>
      <c r="Q1546" s="3">
        <v>0</v>
      </c>
    </row>
    <row r="1547" spans="1:17" hidden="1" x14ac:dyDescent="0.3">
      <c r="A1547">
        <v>7</v>
      </c>
      <c r="B1547" t="str">
        <f>VLOOKUP($A1547,[1]LISTA!$B:$C,2,0)</f>
        <v>FEBRERO</v>
      </c>
      <c r="C1547" s="1">
        <v>2025</v>
      </c>
      <c r="D1547" s="1" t="str">
        <f>IF($A1547&lt;=[1]RESULTADOS!$D$6,"YTD","YTG")</f>
        <v>YTD</v>
      </c>
      <c r="E1547" t="s">
        <v>685</v>
      </c>
      <c r="F1547" t="s">
        <v>667</v>
      </c>
      <c r="G1547" t="s">
        <v>667</v>
      </c>
      <c r="H1547" t="s">
        <v>668</v>
      </c>
      <c r="I1547" t="s">
        <v>37</v>
      </c>
      <c r="J1547" t="str">
        <f>IFERROR(VLOOKUP(I1547,[1]AUTOS!$C:$G,2,0),"")</f>
        <v>BEAT</v>
      </c>
      <c r="K1547">
        <f>IFERROR(VLOOKUP(I1547,[1]AUTOS!$C:$G,3,0),"")</f>
        <v>2020</v>
      </c>
      <c r="L1547" t="str">
        <f>IFERROR(VLOOKUP(I1547,[1]AUTOS!$C:$G,4,0),"")</f>
        <v>GRIS</v>
      </c>
      <c r="M1547" t="s">
        <v>43</v>
      </c>
      <c r="N1547" s="3">
        <v>1809.85</v>
      </c>
      <c r="O1547" s="3">
        <v>2500</v>
      </c>
      <c r="P1547" s="3">
        <v>1809.85</v>
      </c>
      <c r="Q1547" s="3">
        <v>500</v>
      </c>
    </row>
    <row r="1548" spans="1:17" hidden="1" x14ac:dyDescent="0.3">
      <c r="A1548">
        <v>7</v>
      </c>
      <c r="B1548" t="str">
        <f>VLOOKUP($A1548,[1]LISTA!$B:$C,2,0)</f>
        <v>FEBRERO</v>
      </c>
      <c r="C1548" s="1">
        <v>2025</v>
      </c>
      <c r="D1548" s="1" t="str">
        <f>IF($A1548&lt;=[1]RESULTADOS!$D$6,"YTD","YTG")</f>
        <v>YTD</v>
      </c>
      <c r="E1548" t="s">
        <v>676</v>
      </c>
      <c r="F1548" t="s">
        <v>667</v>
      </c>
      <c r="G1548" t="s">
        <v>667</v>
      </c>
      <c r="H1548" t="s">
        <v>668</v>
      </c>
      <c r="I1548" t="s">
        <v>67</v>
      </c>
      <c r="J1548" t="str">
        <f>IFERROR(VLOOKUP(I1548,[1]AUTOS!$C:$G,2,0),"")</f>
        <v>KIA RIO</v>
      </c>
      <c r="K1548">
        <f>IFERROR(VLOOKUP(I1548,[1]AUTOS!$C:$G,3,0),"")</f>
        <v>2020</v>
      </c>
      <c r="L1548" t="str">
        <f>IFERROR(VLOOKUP(I1548,[1]AUTOS!$C:$G,4,0),"")</f>
        <v>GRIS</v>
      </c>
      <c r="M1548" t="s">
        <v>669</v>
      </c>
      <c r="N1548" s="3">
        <v>0</v>
      </c>
      <c r="O1548" s="3">
        <v>0</v>
      </c>
      <c r="P1548" s="3">
        <v>0</v>
      </c>
      <c r="Q1548" s="3">
        <v>0</v>
      </c>
    </row>
    <row r="1549" spans="1:17" hidden="1" x14ac:dyDescent="0.3">
      <c r="A1549">
        <v>8</v>
      </c>
      <c r="B1549" t="str">
        <f>VLOOKUP($A1549,[1]LISTA!$B:$C,2,0)</f>
        <v>FEBRERO</v>
      </c>
      <c r="C1549" s="1">
        <v>2025</v>
      </c>
      <c r="D1549" s="1" t="str">
        <f>IF($A1549&lt;=[1]RESULTADOS!$D$6,"YTD","YTG")</f>
        <v>YTD</v>
      </c>
      <c r="E1549" t="s">
        <v>492</v>
      </c>
      <c r="F1549" t="s">
        <v>667</v>
      </c>
      <c r="G1549" t="s">
        <v>667</v>
      </c>
      <c r="H1549" t="s">
        <v>668</v>
      </c>
      <c r="I1549" t="s">
        <v>79</v>
      </c>
      <c r="J1549" t="str">
        <f>IFERROR(VLOOKUP(I1549,[1]AUTOS!$C:$G,2,0),"")</f>
        <v>AVEO</v>
      </c>
      <c r="K1549">
        <f>IFERROR(VLOOKUP(I1549,[1]AUTOS!$C:$G,3,0),"")</f>
        <v>2021</v>
      </c>
      <c r="L1549" t="str">
        <f>IFERROR(VLOOKUP(I1549,[1]AUTOS!$C:$G,4,0),"")</f>
        <v>OCRE</v>
      </c>
      <c r="M1549" t="s">
        <v>669</v>
      </c>
      <c r="N1549" s="3">
        <v>1810.21</v>
      </c>
      <c r="O1549" s="3">
        <v>0</v>
      </c>
      <c r="P1549" s="3">
        <v>0</v>
      </c>
      <c r="Q1549" s="3">
        <v>0</v>
      </c>
    </row>
    <row r="1550" spans="1:17" hidden="1" x14ac:dyDescent="0.3">
      <c r="A1550">
        <v>8</v>
      </c>
      <c r="B1550" t="str">
        <f>VLOOKUP($A1550,[1]LISTA!$B:$C,2,0)</f>
        <v>FEBRERO</v>
      </c>
      <c r="C1550" s="1">
        <v>2025</v>
      </c>
      <c r="D1550" s="1" t="str">
        <f>IF($A1550&lt;=[1]RESULTADOS!$D$6,"YTD","YTG")</f>
        <v>YTD</v>
      </c>
      <c r="E1550" t="s">
        <v>671</v>
      </c>
      <c r="F1550" t="s">
        <v>667</v>
      </c>
      <c r="G1550" t="s">
        <v>667</v>
      </c>
      <c r="H1550" t="s">
        <v>668</v>
      </c>
      <c r="I1550" t="s">
        <v>162</v>
      </c>
      <c r="J1550" t="str">
        <f>IFERROR(VLOOKUP(I1550,[1]AUTOS!$C:$G,2,0),"")</f>
        <v>HYUNDAI</v>
      </c>
      <c r="K1550">
        <f>IFERROR(VLOOKUP(I1550,[1]AUTOS!$C:$G,3,0),"")</f>
        <v>2022</v>
      </c>
      <c r="L1550" t="str">
        <f>IFERROR(VLOOKUP(I1550,[1]AUTOS!$C:$G,4,0),"")</f>
        <v>PLATA</v>
      </c>
      <c r="M1550" t="s">
        <v>669</v>
      </c>
      <c r="N1550" s="3">
        <v>972.7600000000001</v>
      </c>
      <c r="O1550" s="3">
        <v>2500</v>
      </c>
      <c r="P1550" s="3">
        <v>972.7600000000001</v>
      </c>
      <c r="Q1550" s="3">
        <v>0</v>
      </c>
    </row>
    <row r="1551" spans="1:17" hidden="1" x14ac:dyDescent="0.3">
      <c r="A1551">
        <v>8</v>
      </c>
      <c r="B1551" t="str">
        <f>VLOOKUP($A1551,[1]LISTA!$B:$C,2,0)</f>
        <v>FEBRERO</v>
      </c>
      <c r="C1551" s="1">
        <v>2025</v>
      </c>
      <c r="D1551" s="1" t="str">
        <f>IF($A1551&lt;=[1]RESULTADOS!$D$6,"YTD","YTG")</f>
        <v>YTD</v>
      </c>
      <c r="E1551" t="s">
        <v>478</v>
      </c>
      <c r="F1551" t="s">
        <v>667</v>
      </c>
      <c r="G1551" t="s">
        <v>667</v>
      </c>
      <c r="H1551" t="s">
        <v>668</v>
      </c>
      <c r="I1551" t="s">
        <v>37</v>
      </c>
      <c r="J1551" t="str">
        <f>IFERROR(VLOOKUP(I1551,[1]AUTOS!$C:$G,2,0),"")</f>
        <v>BEAT</v>
      </c>
      <c r="K1551">
        <f>IFERROR(VLOOKUP(I1551,[1]AUTOS!$C:$G,3,0),"")</f>
        <v>2020</v>
      </c>
      <c r="L1551" t="str">
        <f>IFERROR(VLOOKUP(I1551,[1]AUTOS!$C:$G,4,0),"")</f>
        <v>GRIS</v>
      </c>
      <c r="M1551" t="s">
        <v>43</v>
      </c>
      <c r="N1551" s="3">
        <v>1614.5700215354393</v>
      </c>
      <c r="O1551" s="3">
        <v>1542.8571428571427</v>
      </c>
      <c r="P1551" s="3">
        <v>1614.5700215354393</v>
      </c>
      <c r="Q1551" s="3">
        <v>500</v>
      </c>
    </row>
    <row r="1552" spans="1:17" x14ac:dyDescent="0.3">
      <c r="A1552">
        <v>8</v>
      </c>
      <c r="B1552" t="str">
        <f>VLOOKUP($A1552,[1]LISTA!$B:$C,2,0)</f>
        <v>FEBRERO</v>
      </c>
      <c r="C1552" s="1">
        <v>2025</v>
      </c>
      <c r="D1552" s="1" t="str">
        <f>IF($A1552&lt;=[1]RESULTADOS!$D$6,"YTD","YTG")</f>
        <v>YTD</v>
      </c>
      <c r="E1552" t="s">
        <v>678</v>
      </c>
      <c r="F1552" t="s">
        <v>667</v>
      </c>
      <c r="G1552" t="s">
        <v>667</v>
      </c>
      <c r="H1552" t="s">
        <v>668</v>
      </c>
      <c r="I1552" t="s">
        <v>72</v>
      </c>
      <c r="J1552" t="str">
        <f>IFERROR(VLOOKUP(I1552,[1]AUTOS!$C:$G,2,0),"")</f>
        <v>VENTO</v>
      </c>
      <c r="K1552">
        <f>IFERROR(VLOOKUP(I1552,[1]AUTOS!$C:$G,3,0),"")</f>
        <v>2020</v>
      </c>
      <c r="L1552" t="str">
        <f>IFERROR(VLOOKUP(I1552,[1]AUTOS!$C:$G,4,0),"")</f>
        <v>GRIS</v>
      </c>
      <c r="M1552" t="s">
        <v>43</v>
      </c>
      <c r="N1552" s="3">
        <v>488.83999999999992</v>
      </c>
      <c r="O1552" s="3">
        <v>0</v>
      </c>
      <c r="P1552" s="3">
        <v>0</v>
      </c>
      <c r="Q1552" s="3">
        <v>0</v>
      </c>
    </row>
    <row r="1553" spans="1:17" hidden="1" x14ac:dyDescent="0.3">
      <c r="A1553">
        <v>8</v>
      </c>
      <c r="B1553" t="str">
        <f>VLOOKUP($A1553,[1]LISTA!$B:$C,2,0)</f>
        <v>FEBRERO</v>
      </c>
      <c r="C1553" s="1">
        <v>2025</v>
      </c>
      <c r="D1553" s="1" t="str">
        <f>IF($A1553&lt;=[1]RESULTADOS!$D$6,"YTD","YTG")</f>
        <v>YTD</v>
      </c>
      <c r="E1553" t="s">
        <v>679</v>
      </c>
      <c r="F1553" t="s">
        <v>667</v>
      </c>
      <c r="G1553" t="s">
        <v>667</v>
      </c>
      <c r="H1553" t="s">
        <v>668</v>
      </c>
      <c r="I1553" t="s">
        <v>82</v>
      </c>
      <c r="J1553" t="str">
        <f>IFERROR(VLOOKUP(I1553,[1]AUTOS!$C:$G,2,0),"")</f>
        <v>AVEO</v>
      </c>
      <c r="K1553">
        <f>IFERROR(VLOOKUP(I1553,[1]AUTOS!$C:$G,3,0),"")</f>
        <v>2019</v>
      </c>
      <c r="L1553" t="str">
        <f>IFERROR(VLOOKUP(I1553,[1]AUTOS!$C:$G,4,0),"")</f>
        <v>PLATA</v>
      </c>
      <c r="M1553" t="s">
        <v>43</v>
      </c>
      <c r="N1553" s="3">
        <v>0</v>
      </c>
      <c r="O1553" s="3">
        <v>0</v>
      </c>
      <c r="P1553" s="3">
        <v>-500</v>
      </c>
      <c r="Q1553" s="3">
        <v>-500</v>
      </c>
    </row>
    <row r="1554" spans="1:17" hidden="1" x14ac:dyDescent="0.3">
      <c r="A1554">
        <v>8</v>
      </c>
      <c r="B1554" t="str">
        <f>VLOOKUP($A1554,[1]LISTA!$B:$C,2,0)</f>
        <v>FEBRERO</v>
      </c>
      <c r="C1554" s="1">
        <v>2025</v>
      </c>
      <c r="D1554" s="1" t="str">
        <f>IF($A1554&lt;=[1]RESULTADOS!$D$6,"YTD","YTG")</f>
        <v>YTD</v>
      </c>
      <c r="E1554" t="s">
        <v>682</v>
      </c>
      <c r="F1554" t="s">
        <v>667</v>
      </c>
      <c r="G1554" t="s">
        <v>667</v>
      </c>
      <c r="H1554" t="s">
        <v>668</v>
      </c>
      <c r="I1554" t="s">
        <v>59</v>
      </c>
      <c r="J1554" t="str">
        <f>IFERROR(VLOOKUP(I1554,[1]AUTOS!$C:$G,2,0),"")</f>
        <v>AVEO</v>
      </c>
      <c r="K1554">
        <f>IFERROR(VLOOKUP(I1554,[1]AUTOS!$C:$G,3,0),"")</f>
        <v>2019</v>
      </c>
      <c r="L1554" t="str">
        <f>IFERROR(VLOOKUP(I1554,[1]AUTOS!$C:$G,4,0),"")</f>
        <v>BLANCO</v>
      </c>
      <c r="M1554" t="s">
        <v>43</v>
      </c>
      <c r="N1554" s="3">
        <v>22.562115424541645</v>
      </c>
      <c r="O1554" s="3">
        <v>1428.5714285714287</v>
      </c>
      <c r="P1554" s="3">
        <v>1414.5621154245416</v>
      </c>
      <c r="Q1554" s="3">
        <v>285.71428571428572</v>
      </c>
    </row>
    <row r="1555" spans="1:17" hidden="1" x14ac:dyDescent="0.3">
      <c r="A1555">
        <v>8</v>
      </c>
      <c r="B1555" t="str">
        <f>VLOOKUP($A1555,[1]LISTA!$B:$C,2,0)</f>
        <v>FEBRERO</v>
      </c>
      <c r="C1555" s="1">
        <v>2025</v>
      </c>
      <c r="D1555" s="1" t="str">
        <f>IF($A1555&lt;=[1]RESULTADOS!$D$6,"YTD","YTG")</f>
        <v>YTD</v>
      </c>
      <c r="E1555" t="s">
        <v>680</v>
      </c>
      <c r="F1555" t="s">
        <v>667</v>
      </c>
      <c r="G1555" t="s">
        <v>667</v>
      </c>
      <c r="H1555" t="s">
        <v>668</v>
      </c>
      <c r="I1555" t="s">
        <v>116</v>
      </c>
      <c r="J1555" t="str">
        <f>IFERROR(VLOOKUP(I1555,[1]AUTOS!$C:$G,2,0),"")</f>
        <v>AVEO</v>
      </c>
      <c r="K1555">
        <f>IFERROR(VLOOKUP(I1555,[1]AUTOS!$C:$G,3,0),"")</f>
        <v>2022</v>
      </c>
      <c r="L1555" t="str">
        <f>IFERROR(VLOOKUP(I1555,[1]AUTOS!$C:$G,4,0),"")</f>
        <v>AZUL</v>
      </c>
      <c r="M1555" t="s">
        <v>43</v>
      </c>
      <c r="N1555" s="3">
        <v>189.13</v>
      </c>
      <c r="O1555" s="3">
        <v>0</v>
      </c>
      <c r="P1555" s="3">
        <v>189.13</v>
      </c>
      <c r="Q1555" s="3">
        <v>0</v>
      </c>
    </row>
    <row r="1556" spans="1:17" hidden="1" x14ac:dyDescent="0.3">
      <c r="A1556">
        <v>8</v>
      </c>
      <c r="B1556" t="str">
        <f>VLOOKUP($A1556,[1]LISTA!$B:$C,2,0)</f>
        <v>FEBRERO</v>
      </c>
      <c r="C1556" s="1">
        <v>2025</v>
      </c>
      <c r="D1556" s="1" t="str">
        <f>IF($A1556&lt;=[1]RESULTADOS!$D$6,"YTD","YTG")</f>
        <v>YTD</v>
      </c>
      <c r="E1556" t="s">
        <v>456</v>
      </c>
      <c r="F1556" t="s">
        <v>667</v>
      </c>
      <c r="G1556" t="s">
        <v>667</v>
      </c>
      <c r="H1556" t="s">
        <v>668</v>
      </c>
      <c r="I1556" t="s">
        <v>73</v>
      </c>
      <c r="J1556" t="str">
        <f>IFERROR(VLOOKUP(I1556,[1]AUTOS!$C:$G,2,0),"")</f>
        <v>VERSA</v>
      </c>
      <c r="K1556">
        <f>IFERROR(VLOOKUP(I1556,[1]AUTOS!$C:$G,3,0),"")</f>
        <v>2023</v>
      </c>
      <c r="L1556" t="str">
        <f>IFERROR(VLOOKUP(I1556,[1]AUTOS!$C:$G,4,0),"")</f>
        <v>PLATA</v>
      </c>
      <c r="M1556" t="s">
        <v>43</v>
      </c>
      <c r="N1556" s="3">
        <v>4649.6099999999988</v>
      </c>
      <c r="O1556" s="3">
        <v>2500</v>
      </c>
      <c r="P1556" s="3">
        <v>3500</v>
      </c>
      <c r="Q1556" s="3">
        <v>0</v>
      </c>
    </row>
    <row r="1557" spans="1:17" x14ac:dyDescent="0.3">
      <c r="A1557">
        <v>8</v>
      </c>
      <c r="B1557" t="str">
        <f>VLOOKUP($A1557,[1]LISTA!$B:$C,2,0)</f>
        <v>FEBRERO</v>
      </c>
      <c r="C1557" s="1">
        <v>2025</v>
      </c>
      <c r="D1557" s="1" t="str">
        <f>IF($A1557&lt;=[1]RESULTADOS!$D$6,"YTD","YTG")</f>
        <v>YTD</v>
      </c>
      <c r="E1557" t="s">
        <v>518</v>
      </c>
      <c r="F1557" t="s">
        <v>667</v>
      </c>
      <c r="G1557" t="s">
        <v>667</v>
      </c>
      <c r="H1557" t="s">
        <v>668</v>
      </c>
      <c r="I1557" t="s">
        <v>72</v>
      </c>
      <c r="J1557" t="str">
        <f>IFERROR(VLOOKUP(I1557,[1]AUTOS!$C:$G,2,0),"")</f>
        <v>VENTO</v>
      </c>
      <c r="K1557">
        <f>IFERROR(VLOOKUP(I1557,[1]AUTOS!$C:$G,3,0),"")</f>
        <v>2020</v>
      </c>
      <c r="L1557" t="str">
        <f>IFERROR(VLOOKUP(I1557,[1]AUTOS!$C:$G,4,0),"")</f>
        <v>GRIS</v>
      </c>
      <c r="M1557" t="s">
        <v>43</v>
      </c>
      <c r="N1557" s="3">
        <v>666.67</v>
      </c>
      <c r="O1557" s="3">
        <v>0</v>
      </c>
      <c r="P1557" s="3">
        <v>200</v>
      </c>
      <c r="Q1557" s="3">
        <v>0</v>
      </c>
    </row>
    <row r="1558" spans="1:17" hidden="1" x14ac:dyDescent="0.3">
      <c r="A1558">
        <v>8</v>
      </c>
      <c r="B1558" t="str">
        <f>VLOOKUP($A1558,[1]LISTA!$B:$C,2,0)</f>
        <v>FEBRERO</v>
      </c>
      <c r="C1558" s="1">
        <v>2025</v>
      </c>
      <c r="D1558" s="1" t="str">
        <f>IF($A1558&lt;=[1]RESULTADOS!$D$6,"YTD","YTG")</f>
        <v>YTD</v>
      </c>
      <c r="E1558" t="s">
        <v>674</v>
      </c>
      <c r="F1558" t="s">
        <v>667</v>
      </c>
      <c r="G1558" t="s">
        <v>667</v>
      </c>
      <c r="H1558" t="s">
        <v>668</v>
      </c>
      <c r="I1558" t="s">
        <v>46</v>
      </c>
      <c r="J1558" t="str">
        <f>IFERROR(VLOOKUP(I1558,[1]AUTOS!$C:$G,2,0),"")</f>
        <v>MARCH</v>
      </c>
      <c r="K1558">
        <f>IFERROR(VLOOKUP(I1558,[1]AUTOS!$C:$G,3,0),"")</f>
        <v>2020</v>
      </c>
      <c r="L1558" t="str">
        <f>IFERROR(VLOOKUP(I1558,[1]AUTOS!$C:$G,4,0),"")</f>
        <v>TURQ</v>
      </c>
      <c r="M1558" t="s">
        <v>43</v>
      </c>
      <c r="N1558" s="3">
        <v>2792.4810513336711</v>
      </c>
      <c r="O1558" s="3">
        <v>2500</v>
      </c>
      <c r="P1558" s="3">
        <v>2500</v>
      </c>
      <c r="Q1558" s="3">
        <v>0</v>
      </c>
    </row>
    <row r="1559" spans="1:17" hidden="1" x14ac:dyDescent="0.3">
      <c r="A1559">
        <v>8</v>
      </c>
      <c r="B1559" t="str">
        <f>VLOOKUP($A1559,[1]LISTA!$B:$C,2,0)</f>
        <v>FEBRERO</v>
      </c>
      <c r="C1559" s="1">
        <v>2025</v>
      </c>
      <c r="D1559" s="1" t="str">
        <f>IF($A1559&lt;=[1]RESULTADOS!$D$6,"YTD","YTG")</f>
        <v>YTD</v>
      </c>
      <c r="E1559" t="s">
        <v>681</v>
      </c>
      <c r="F1559" t="s">
        <v>667</v>
      </c>
      <c r="G1559" t="s">
        <v>667</v>
      </c>
      <c r="H1559" t="s">
        <v>668</v>
      </c>
      <c r="I1559" t="s">
        <v>76</v>
      </c>
      <c r="J1559" t="str">
        <f>IFERROR(VLOOKUP(I1559,[1]AUTOS!$C:$G,2,0),"")</f>
        <v>AVEO</v>
      </c>
      <c r="K1559">
        <f>IFERROR(VLOOKUP(I1559,[1]AUTOS!$C:$G,3,0),"")</f>
        <v>2018</v>
      </c>
      <c r="L1559" t="str">
        <f>IFERROR(VLOOKUP(I1559,[1]AUTOS!$C:$G,4,0),"")</f>
        <v>GRIS</v>
      </c>
      <c r="M1559" t="s">
        <v>43</v>
      </c>
      <c r="N1559" s="3">
        <v>2585.777579459766</v>
      </c>
      <c r="O1559" s="3">
        <v>2142.8571428571431</v>
      </c>
      <c r="P1559" s="3">
        <v>2127.8571428571431</v>
      </c>
      <c r="Q1559" s="3">
        <v>0</v>
      </c>
    </row>
    <row r="1560" spans="1:17" hidden="1" x14ac:dyDescent="0.3">
      <c r="A1560">
        <v>8</v>
      </c>
      <c r="B1560" t="str">
        <f>VLOOKUP($A1560,[1]LISTA!$B:$C,2,0)</f>
        <v>FEBRERO</v>
      </c>
      <c r="C1560" s="1">
        <v>2025</v>
      </c>
      <c r="D1560" s="1" t="str">
        <f>IF($A1560&lt;=[1]RESULTADOS!$D$6,"YTD","YTG")</f>
        <v>YTD</v>
      </c>
      <c r="E1560" t="s">
        <v>675</v>
      </c>
      <c r="F1560" t="s">
        <v>667</v>
      </c>
      <c r="G1560" t="s">
        <v>667</v>
      </c>
      <c r="H1560" t="s">
        <v>668</v>
      </c>
      <c r="I1560" t="s">
        <v>40</v>
      </c>
      <c r="J1560" t="str">
        <f>IFERROR(VLOOKUP(I1560,[1]AUTOS!$C:$G,2,0),"")</f>
        <v>VERSA</v>
      </c>
      <c r="K1560">
        <f>IFERROR(VLOOKUP(I1560,[1]AUTOS!$C:$G,3,0),"")</f>
        <v>2017</v>
      </c>
      <c r="L1560" t="str">
        <f>IFERROR(VLOOKUP(I1560,[1]AUTOS!$C:$G,4,0),"")</f>
        <v>ACERO</v>
      </c>
      <c r="M1560" t="s">
        <v>43</v>
      </c>
      <c r="N1560" s="3">
        <v>3311.2544404908549</v>
      </c>
      <c r="O1560" s="3">
        <v>2500</v>
      </c>
      <c r="P1560" s="3">
        <v>2500</v>
      </c>
      <c r="Q1560" s="3">
        <v>0</v>
      </c>
    </row>
    <row r="1561" spans="1:17" hidden="1" x14ac:dyDescent="0.3">
      <c r="A1561">
        <v>8</v>
      </c>
      <c r="B1561" t="str">
        <f>VLOOKUP($A1561,[1]LISTA!$B:$C,2,0)</f>
        <v>FEBRERO</v>
      </c>
      <c r="C1561" s="1">
        <v>2025</v>
      </c>
      <c r="D1561" s="1" t="str">
        <f>IF($A1561&lt;=[1]RESULTADOS!$D$6,"YTD","YTG")</f>
        <v>YTD</v>
      </c>
      <c r="E1561" t="s">
        <v>686</v>
      </c>
      <c r="F1561" t="s">
        <v>667</v>
      </c>
      <c r="G1561" t="s">
        <v>667</v>
      </c>
      <c r="H1561" t="s">
        <v>668</v>
      </c>
      <c r="I1561" t="s">
        <v>82</v>
      </c>
      <c r="J1561" t="str">
        <f>IFERROR(VLOOKUP(I1561,[1]AUTOS!$C:$G,2,0),"")</f>
        <v>AVEO</v>
      </c>
      <c r="K1561">
        <f>IFERROR(VLOOKUP(I1561,[1]AUTOS!$C:$G,3,0),"")</f>
        <v>2019</v>
      </c>
      <c r="L1561" t="str">
        <f>IFERROR(VLOOKUP(I1561,[1]AUTOS!$C:$G,4,0),"")</f>
        <v>PLATA</v>
      </c>
      <c r="M1561" t="s">
        <v>43</v>
      </c>
      <c r="N1561" s="3">
        <v>2529.0199999999995</v>
      </c>
      <c r="O1561" s="3">
        <v>2142.8571428571431</v>
      </c>
      <c r="P1561" s="3">
        <v>2142.8571428571431</v>
      </c>
      <c r="Q1561" s="3">
        <v>0</v>
      </c>
    </row>
    <row r="1562" spans="1:17" hidden="1" x14ac:dyDescent="0.3">
      <c r="A1562">
        <v>8</v>
      </c>
      <c r="B1562" t="str">
        <f>VLOOKUP($A1562,[1]LISTA!$B:$C,2,0)</f>
        <v>FEBRERO</v>
      </c>
      <c r="C1562" s="1">
        <v>2025</v>
      </c>
      <c r="D1562" s="1" t="str">
        <f>IF($A1562&lt;=[1]RESULTADOS!$D$6,"YTD","YTG")</f>
        <v>YTD</v>
      </c>
      <c r="E1562" t="s">
        <v>403</v>
      </c>
      <c r="F1562" t="s">
        <v>667</v>
      </c>
      <c r="G1562" t="s">
        <v>667</v>
      </c>
      <c r="H1562" t="s">
        <v>668</v>
      </c>
      <c r="I1562" t="s">
        <v>51</v>
      </c>
      <c r="J1562" t="str">
        <f>IFERROR(VLOOKUP(I1562,[1]AUTOS!$C:$G,2,0),"")</f>
        <v>VENTO</v>
      </c>
      <c r="K1562">
        <f>IFERROR(VLOOKUP(I1562,[1]AUTOS!$C:$G,3,0),"")</f>
        <v>2017</v>
      </c>
      <c r="L1562" t="str">
        <f>IFERROR(VLOOKUP(I1562,[1]AUTOS!$C:$G,4,0),"")</f>
        <v>GRIS</v>
      </c>
      <c r="M1562" t="s">
        <v>43</v>
      </c>
      <c r="N1562" s="3">
        <v>2603.1034299785315</v>
      </c>
      <c r="O1562" s="3">
        <v>2300</v>
      </c>
      <c r="P1562" s="3">
        <v>2557</v>
      </c>
      <c r="Q1562" s="3">
        <v>0</v>
      </c>
    </row>
    <row r="1563" spans="1:17" hidden="1" x14ac:dyDescent="0.3">
      <c r="A1563">
        <v>8</v>
      </c>
      <c r="B1563" t="str">
        <f>VLOOKUP($A1563,[1]LISTA!$B:$C,2,0)</f>
        <v>FEBRERO</v>
      </c>
      <c r="C1563" s="1">
        <v>2025</v>
      </c>
      <c r="D1563" s="1" t="str">
        <f>IF($A1563&lt;=[1]RESULTADOS!$D$6,"YTD","YTG")</f>
        <v>YTD</v>
      </c>
      <c r="E1563" t="s">
        <v>676</v>
      </c>
      <c r="F1563" t="s">
        <v>667</v>
      </c>
      <c r="G1563" t="s">
        <v>667</v>
      </c>
      <c r="H1563" t="s">
        <v>668</v>
      </c>
      <c r="I1563" t="s">
        <v>67</v>
      </c>
      <c r="J1563" t="str">
        <f>IFERROR(VLOOKUP(I1563,[1]AUTOS!$C:$G,2,0),"")</f>
        <v>KIA RIO</v>
      </c>
      <c r="K1563">
        <f>IFERROR(VLOOKUP(I1563,[1]AUTOS!$C:$G,3,0),"")</f>
        <v>2020</v>
      </c>
      <c r="L1563" t="str">
        <f>IFERROR(VLOOKUP(I1563,[1]AUTOS!$C:$G,4,0),"")</f>
        <v>GRIS</v>
      </c>
      <c r="M1563" t="s">
        <v>669</v>
      </c>
      <c r="N1563" s="3">
        <v>556.0327110170706</v>
      </c>
      <c r="O1563" s="3">
        <v>357.14285714285717</v>
      </c>
      <c r="P1563" s="3">
        <v>357.14285714285717</v>
      </c>
      <c r="Q1563" s="3">
        <v>0</v>
      </c>
    </row>
    <row r="1564" spans="1:17" hidden="1" x14ac:dyDescent="0.3">
      <c r="A1564">
        <v>8</v>
      </c>
      <c r="B1564" t="str">
        <f>VLOOKUP($A1564,[1]LISTA!$B:$C,2,0)</f>
        <v>FEBRERO</v>
      </c>
      <c r="C1564" s="1">
        <v>2025</v>
      </c>
      <c r="D1564" s="1" t="str">
        <f>IF($A1564&lt;=[1]RESULTADOS!$D$6,"YTD","YTG")</f>
        <v>YTD</v>
      </c>
      <c r="E1564" t="s">
        <v>676</v>
      </c>
      <c r="F1564" t="s">
        <v>667</v>
      </c>
      <c r="G1564" t="s">
        <v>667</v>
      </c>
      <c r="H1564" t="s">
        <v>668</v>
      </c>
      <c r="I1564" t="s">
        <v>67</v>
      </c>
      <c r="J1564" t="str">
        <f>IFERROR(VLOOKUP(I1564,[1]AUTOS!$C:$G,2,0),"")</f>
        <v>KIA RIO</v>
      </c>
      <c r="K1564">
        <f>IFERROR(VLOOKUP(I1564,[1]AUTOS!$C:$G,3,0),"")</f>
        <v>2020</v>
      </c>
      <c r="L1564" t="str">
        <f>IFERROR(VLOOKUP(I1564,[1]AUTOS!$C:$G,4,0),"")</f>
        <v>GRIS</v>
      </c>
      <c r="M1564" t="s">
        <v>669</v>
      </c>
      <c r="N1564" s="3">
        <v>4042.4700000000003</v>
      </c>
      <c r="O1564" s="3">
        <v>0</v>
      </c>
      <c r="P1564" s="3">
        <v>0</v>
      </c>
      <c r="Q1564" s="3">
        <v>0</v>
      </c>
    </row>
    <row r="1565" spans="1:17" hidden="1" x14ac:dyDescent="0.3">
      <c r="A1565">
        <v>9</v>
      </c>
      <c r="B1565" t="str">
        <f>VLOOKUP($A1565,[1]LISTA!$B:$C,2,0)</f>
        <v>FEBRERO</v>
      </c>
      <c r="C1565" s="1">
        <v>2025</v>
      </c>
      <c r="D1565" s="1" t="str">
        <f>IF($A1565&lt;=[1]RESULTADOS!$D$6,"YTD","YTG")</f>
        <v>YTD</v>
      </c>
      <c r="E1565" t="s">
        <v>492</v>
      </c>
      <c r="F1565" t="s">
        <v>667</v>
      </c>
      <c r="G1565" t="s">
        <v>667</v>
      </c>
      <c r="H1565" t="s">
        <v>668</v>
      </c>
      <c r="I1565" t="s">
        <v>79</v>
      </c>
      <c r="J1565" t="str">
        <f>IFERROR(VLOOKUP(I1565,[1]AUTOS!$C:$G,2,0),"")</f>
        <v>AVEO</v>
      </c>
      <c r="K1565">
        <f>IFERROR(VLOOKUP(I1565,[1]AUTOS!$C:$G,3,0),"")</f>
        <v>2021</v>
      </c>
      <c r="L1565" t="str">
        <f>IFERROR(VLOOKUP(I1565,[1]AUTOS!$C:$G,4,0),"")</f>
        <v>OCRE</v>
      </c>
      <c r="M1565" t="s">
        <v>669</v>
      </c>
      <c r="N1565" s="3">
        <v>1398</v>
      </c>
      <c r="O1565" s="3">
        <v>2500</v>
      </c>
      <c r="P1565" s="3">
        <v>3000</v>
      </c>
      <c r="Q1565" s="3">
        <v>0</v>
      </c>
    </row>
    <row r="1566" spans="1:17" hidden="1" x14ac:dyDescent="0.3">
      <c r="A1566">
        <v>9</v>
      </c>
      <c r="B1566" t="str">
        <f>VLOOKUP($A1566,[1]LISTA!$B:$C,2,0)</f>
        <v>FEBRERO</v>
      </c>
      <c r="C1566" s="1">
        <v>2025</v>
      </c>
      <c r="D1566" s="1" t="str">
        <f>IF($A1566&lt;=[1]RESULTADOS!$D$6,"YTD","YTG")</f>
        <v>YTD</v>
      </c>
      <c r="E1566" t="s">
        <v>671</v>
      </c>
      <c r="F1566" t="s">
        <v>667</v>
      </c>
      <c r="G1566" t="s">
        <v>667</v>
      </c>
      <c r="H1566" t="s">
        <v>668</v>
      </c>
      <c r="I1566" t="s">
        <v>162</v>
      </c>
      <c r="J1566" t="str">
        <f>IFERROR(VLOOKUP(I1566,[1]AUTOS!$C:$G,2,0),"")</f>
        <v>HYUNDAI</v>
      </c>
      <c r="K1566">
        <f>IFERROR(VLOOKUP(I1566,[1]AUTOS!$C:$G,3,0),"")</f>
        <v>2022</v>
      </c>
      <c r="L1566" t="str">
        <f>IFERROR(VLOOKUP(I1566,[1]AUTOS!$C:$G,4,0),"")</f>
        <v>PLATA</v>
      </c>
      <c r="M1566" t="s">
        <v>669</v>
      </c>
      <c r="N1566" s="3">
        <v>1352.35</v>
      </c>
      <c r="O1566" s="3">
        <v>2500</v>
      </c>
      <c r="P1566" s="3">
        <v>2500.35</v>
      </c>
      <c r="Q1566" s="3">
        <v>0</v>
      </c>
    </row>
    <row r="1567" spans="1:17" hidden="1" x14ac:dyDescent="0.3">
      <c r="A1567">
        <v>9</v>
      </c>
      <c r="B1567" t="str">
        <f>VLOOKUP($A1567,[1]LISTA!$B:$C,2,0)</f>
        <v>FEBRERO</v>
      </c>
      <c r="C1567" s="1">
        <v>2025</v>
      </c>
      <c r="D1567" s="1" t="str">
        <f>IF($A1567&lt;=[1]RESULTADOS!$D$6,"YTD","YTG")</f>
        <v>YTD</v>
      </c>
      <c r="E1567" t="s">
        <v>478</v>
      </c>
      <c r="F1567" t="s">
        <v>667</v>
      </c>
      <c r="G1567" t="s">
        <v>667</v>
      </c>
      <c r="H1567" t="s">
        <v>668</v>
      </c>
      <c r="I1567" t="s">
        <v>37</v>
      </c>
      <c r="J1567" t="str">
        <f>IFERROR(VLOOKUP(I1567,[1]AUTOS!$C:$G,2,0),"")</f>
        <v>BEAT</v>
      </c>
      <c r="K1567">
        <f>IFERROR(VLOOKUP(I1567,[1]AUTOS!$C:$G,3,0),"")</f>
        <v>2020</v>
      </c>
      <c r="L1567" t="str">
        <f>IFERROR(VLOOKUP(I1567,[1]AUTOS!$C:$G,4,0),"")</f>
        <v>GRIS</v>
      </c>
      <c r="M1567" t="s">
        <v>43</v>
      </c>
      <c r="N1567" s="3">
        <v>3344.55</v>
      </c>
      <c r="O1567" s="3">
        <v>2400</v>
      </c>
      <c r="P1567" s="3">
        <v>2901</v>
      </c>
      <c r="Q1567" s="3">
        <v>500</v>
      </c>
    </row>
    <row r="1568" spans="1:17" hidden="1" x14ac:dyDescent="0.3">
      <c r="A1568">
        <v>9</v>
      </c>
      <c r="B1568" t="str">
        <f>VLOOKUP($A1568,[1]LISTA!$B:$C,2,0)</f>
        <v>FEBRERO</v>
      </c>
      <c r="C1568" s="1">
        <v>2025</v>
      </c>
      <c r="D1568" s="1" t="str">
        <f>IF($A1568&lt;=[1]RESULTADOS!$D$6,"YTD","YTG")</f>
        <v>YTD</v>
      </c>
      <c r="E1568" t="s">
        <v>679</v>
      </c>
      <c r="F1568" t="s">
        <v>667</v>
      </c>
      <c r="G1568" t="s">
        <v>667</v>
      </c>
      <c r="H1568" t="s">
        <v>668</v>
      </c>
      <c r="I1568" t="s">
        <v>82</v>
      </c>
      <c r="J1568" t="str">
        <f>IFERROR(VLOOKUP(I1568,[1]AUTOS!$C:$G,2,0),"")</f>
        <v>AVEO</v>
      </c>
      <c r="K1568">
        <f>IFERROR(VLOOKUP(I1568,[1]AUTOS!$C:$G,3,0),"")</f>
        <v>2019</v>
      </c>
      <c r="L1568" t="str">
        <f>IFERROR(VLOOKUP(I1568,[1]AUTOS!$C:$G,4,0),"")</f>
        <v>PLATA</v>
      </c>
      <c r="M1568" t="s">
        <v>43</v>
      </c>
      <c r="N1568" s="3">
        <v>0</v>
      </c>
      <c r="O1568" s="3">
        <v>0</v>
      </c>
      <c r="P1568" s="3">
        <v>-500</v>
      </c>
      <c r="Q1568" s="3">
        <v>-500</v>
      </c>
    </row>
    <row r="1569" spans="1:17" hidden="1" x14ac:dyDescent="0.3">
      <c r="A1569">
        <v>9</v>
      </c>
      <c r="B1569" t="str">
        <f>VLOOKUP($A1569,[1]LISTA!$B:$C,2,0)</f>
        <v>FEBRERO</v>
      </c>
      <c r="C1569" s="1">
        <v>2025</v>
      </c>
      <c r="D1569" s="1" t="str">
        <f>IF($A1569&lt;=[1]RESULTADOS!$D$6,"YTD","YTG")</f>
        <v>YTD</v>
      </c>
      <c r="E1569" t="s">
        <v>682</v>
      </c>
      <c r="F1569" t="s">
        <v>667</v>
      </c>
      <c r="G1569" t="s">
        <v>667</v>
      </c>
      <c r="H1569" t="s">
        <v>668</v>
      </c>
      <c r="I1569" t="s">
        <v>59</v>
      </c>
      <c r="J1569" t="str">
        <f>IFERROR(VLOOKUP(I1569,[1]AUTOS!$C:$G,2,0),"")</f>
        <v>AVEO</v>
      </c>
      <c r="K1569">
        <f>IFERROR(VLOOKUP(I1569,[1]AUTOS!$C:$G,3,0),"")</f>
        <v>2019</v>
      </c>
      <c r="L1569" t="str">
        <f>IFERROR(VLOOKUP(I1569,[1]AUTOS!$C:$G,4,0),"")</f>
        <v>BLANCO</v>
      </c>
      <c r="M1569" t="s">
        <v>43</v>
      </c>
      <c r="N1569" s="3">
        <v>1079.955506166056</v>
      </c>
      <c r="O1569" s="3">
        <v>2500</v>
      </c>
      <c r="P1569" s="3">
        <v>1079.955506166056</v>
      </c>
      <c r="Q1569" s="3">
        <v>0</v>
      </c>
    </row>
    <row r="1570" spans="1:17" hidden="1" x14ac:dyDescent="0.3">
      <c r="A1570">
        <v>9</v>
      </c>
      <c r="B1570" t="str">
        <f>VLOOKUP($A1570,[1]LISTA!$B:$C,2,0)</f>
        <v>FEBRERO</v>
      </c>
      <c r="C1570" s="1">
        <v>2025</v>
      </c>
      <c r="D1570" s="1" t="str">
        <f>IF($A1570&lt;=[1]RESULTADOS!$D$6,"YTD","YTG")</f>
        <v>YTD</v>
      </c>
      <c r="E1570" t="s">
        <v>680</v>
      </c>
      <c r="F1570" t="s">
        <v>667</v>
      </c>
      <c r="G1570" t="s">
        <v>667</v>
      </c>
      <c r="H1570" t="s">
        <v>668</v>
      </c>
      <c r="I1570" t="s">
        <v>116</v>
      </c>
      <c r="J1570" t="str">
        <f>IFERROR(VLOOKUP(I1570,[1]AUTOS!$C:$G,2,0),"")</f>
        <v>AVEO</v>
      </c>
      <c r="K1570">
        <f>IFERROR(VLOOKUP(I1570,[1]AUTOS!$C:$G,3,0),"")</f>
        <v>2022</v>
      </c>
      <c r="L1570" t="str">
        <f>IFERROR(VLOOKUP(I1570,[1]AUTOS!$C:$G,4,0),"")</f>
        <v>AZUL</v>
      </c>
      <c r="M1570" t="s">
        <v>43</v>
      </c>
      <c r="N1570" s="3">
        <v>4521.504352642256</v>
      </c>
      <c r="O1570" s="3">
        <v>2500</v>
      </c>
      <c r="P1570" s="3">
        <v>2800</v>
      </c>
      <c r="Q1570" s="3">
        <v>0</v>
      </c>
    </row>
    <row r="1571" spans="1:17" hidden="1" x14ac:dyDescent="0.3">
      <c r="A1571">
        <v>9</v>
      </c>
      <c r="B1571" t="str">
        <f>VLOOKUP($A1571,[1]LISTA!$B:$C,2,0)</f>
        <v>FEBRERO</v>
      </c>
      <c r="C1571" s="1">
        <v>2025</v>
      </c>
      <c r="D1571" s="1" t="str">
        <f>IF($A1571&lt;=[1]RESULTADOS!$D$6,"YTD","YTG")</f>
        <v>YTD</v>
      </c>
      <c r="E1571" t="s">
        <v>456</v>
      </c>
      <c r="F1571" t="s">
        <v>667</v>
      </c>
      <c r="G1571" t="s">
        <v>667</v>
      </c>
      <c r="H1571" t="s">
        <v>668</v>
      </c>
      <c r="I1571" t="s">
        <v>73</v>
      </c>
      <c r="J1571" t="str">
        <f>IFERROR(VLOOKUP(I1571,[1]AUTOS!$C:$G,2,0),"")</f>
        <v>VERSA</v>
      </c>
      <c r="K1571">
        <f>IFERROR(VLOOKUP(I1571,[1]AUTOS!$C:$G,3,0),"")</f>
        <v>2023</v>
      </c>
      <c r="L1571" t="str">
        <f>IFERROR(VLOOKUP(I1571,[1]AUTOS!$C:$G,4,0),"")</f>
        <v>PLATA</v>
      </c>
      <c r="M1571" t="s">
        <v>43</v>
      </c>
      <c r="N1571" s="3">
        <v>6064.16</v>
      </c>
      <c r="O1571" s="3">
        <v>2500</v>
      </c>
      <c r="P1571" s="3">
        <v>3500</v>
      </c>
      <c r="Q1571" s="3">
        <v>0</v>
      </c>
    </row>
    <row r="1572" spans="1:17" x14ac:dyDescent="0.3">
      <c r="A1572">
        <v>9</v>
      </c>
      <c r="B1572" t="str">
        <f>VLOOKUP($A1572,[1]LISTA!$B:$C,2,0)</f>
        <v>FEBRERO</v>
      </c>
      <c r="C1572" s="1">
        <v>2025</v>
      </c>
      <c r="D1572" s="1" t="str">
        <f>IF($A1572&lt;=[1]RESULTADOS!$D$6,"YTD","YTG")</f>
        <v>YTD</v>
      </c>
      <c r="E1572" t="s">
        <v>518</v>
      </c>
      <c r="F1572" t="s">
        <v>667</v>
      </c>
      <c r="G1572" t="s">
        <v>667</v>
      </c>
      <c r="H1572" t="s">
        <v>668</v>
      </c>
      <c r="I1572" t="s">
        <v>72</v>
      </c>
      <c r="J1572" t="str">
        <f>IFERROR(VLOOKUP(I1572,[1]AUTOS!$C:$G,2,0),"")</f>
        <v>VENTO</v>
      </c>
      <c r="K1572">
        <f>IFERROR(VLOOKUP(I1572,[1]AUTOS!$C:$G,3,0),"")</f>
        <v>2020</v>
      </c>
      <c r="L1572" t="str">
        <f>IFERROR(VLOOKUP(I1572,[1]AUTOS!$C:$G,4,0),"")</f>
        <v>GRIS</v>
      </c>
      <c r="M1572" t="s">
        <v>43</v>
      </c>
      <c r="N1572" s="3">
        <v>2088.04</v>
      </c>
      <c r="O1572" s="3">
        <v>2154.04</v>
      </c>
      <c r="P1572" s="3">
        <v>5277.04</v>
      </c>
      <c r="Q1572" s="3">
        <v>0</v>
      </c>
    </row>
    <row r="1573" spans="1:17" hidden="1" x14ac:dyDescent="0.3">
      <c r="A1573">
        <v>9</v>
      </c>
      <c r="B1573" t="str">
        <f>VLOOKUP($A1573,[1]LISTA!$B:$C,2,0)</f>
        <v>FEBRERO</v>
      </c>
      <c r="C1573" s="1">
        <v>2025</v>
      </c>
      <c r="D1573" s="1" t="str">
        <f>IF($A1573&lt;=[1]RESULTADOS!$D$6,"YTD","YTG")</f>
        <v>YTD</v>
      </c>
      <c r="E1573" t="s">
        <v>526</v>
      </c>
      <c r="F1573" t="s">
        <v>667</v>
      </c>
      <c r="G1573" t="s">
        <v>667</v>
      </c>
      <c r="H1573" t="s">
        <v>668</v>
      </c>
      <c r="I1573" t="s">
        <v>61</v>
      </c>
      <c r="J1573" t="str">
        <f>IFERROR(VLOOKUP(I1573,[1]AUTOS!$C:$G,2,0),"")</f>
        <v>KIA RIO</v>
      </c>
      <c r="K1573">
        <f>IFERROR(VLOOKUP(I1573,[1]AUTOS!$C:$G,3,0),"")</f>
        <v>2017</v>
      </c>
      <c r="L1573" t="str">
        <f>IFERROR(VLOOKUP(I1573,[1]AUTOS!$C:$G,4,0),"")</f>
        <v>ROJO</v>
      </c>
      <c r="M1573" t="s">
        <v>43</v>
      </c>
      <c r="N1573" s="3">
        <v>4815.8236329158635</v>
      </c>
      <c r="O1573" s="3">
        <v>2350</v>
      </c>
      <c r="P1573" s="3">
        <v>2850</v>
      </c>
      <c r="Q1573" s="3">
        <v>500</v>
      </c>
    </row>
    <row r="1574" spans="1:17" hidden="1" x14ac:dyDescent="0.3">
      <c r="A1574">
        <v>9</v>
      </c>
      <c r="B1574" t="str">
        <f>VLOOKUP($A1574,[1]LISTA!$B:$C,2,0)</f>
        <v>FEBRERO</v>
      </c>
      <c r="C1574" s="1">
        <v>2025</v>
      </c>
      <c r="D1574" s="1" t="str">
        <f>IF($A1574&lt;=[1]RESULTADOS!$D$6,"YTD","YTG")</f>
        <v>YTD</v>
      </c>
      <c r="E1574" t="s">
        <v>674</v>
      </c>
      <c r="F1574" t="s">
        <v>667</v>
      </c>
      <c r="G1574" t="s">
        <v>667</v>
      </c>
      <c r="H1574" t="s">
        <v>668</v>
      </c>
      <c r="I1574" t="s">
        <v>46</v>
      </c>
      <c r="J1574" t="str">
        <f>IFERROR(VLOOKUP(I1574,[1]AUTOS!$C:$G,2,0),"")</f>
        <v>MARCH</v>
      </c>
      <c r="K1574">
        <f>IFERROR(VLOOKUP(I1574,[1]AUTOS!$C:$G,3,0),"")</f>
        <v>2020</v>
      </c>
      <c r="L1574" t="str">
        <f>IFERROR(VLOOKUP(I1574,[1]AUTOS!$C:$G,4,0),"")</f>
        <v>TURQ</v>
      </c>
      <c r="M1574" t="s">
        <v>43</v>
      </c>
      <c r="N1574" s="3">
        <v>4315.7874993037494</v>
      </c>
      <c r="O1574" s="3">
        <v>2500</v>
      </c>
      <c r="P1574" s="3">
        <v>2500</v>
      </c>
      <c r="Q1574" s="3">
        <v>0</v>
      </c>
    </row>
    <row r="1575" spans="1:17" hidden="1" x14ac:dyDescent="0.3">
      <c r="A1575">
        <v>9</v>
      </c>
      <c r="B1575" t="str">
        <f>VLOOKUP($A1575,[1]LISTA!$B:$C,2,0)</f>
        <v>FEBRERO</v>
      </c>
      <c r="C1575" s="1">
        <v>2025</v>
      </c>
      <c r="D1575" s="1" t="str">
        <f>IF($A1575&lt;=[1]RESULTADOS!$D$6,"YTD","YTG")</f>
        <v>YTD</v>
      </c>
      <c r="E1575" t="s">
        <v>681</v>
      </c>
      <c r="F1575" t="s">
        <v>667</v>
      </c>
      <c r="G1575" t="s">
        <v>667</v>
      </c>
      <c r="H1575" t="s">
        <v>668</v>
      </c>
      <c r="I1575" t="s">
        <v>76</v>
      </c>
      <c r="J1575" t="str">
        <f>IFERROR(VLOOKUP(I1575,[1]AUTOS!$C:$G,2,0),"")</f>
        <v>AVEO</v>
      </c>
      <c r="K1575">
        <f>IFERROR(VLOOKUP(I1575,[1]AUTOS!$C:$G,3,0),"")</f>
        <v>2018</v>
      </c>
      <c r="L1575" t="str">
        <f>IFERROR(VLOOKUP(I1575,[1]AUTOS!$C:$G,4,0),"")</f>
        <v>GRIS</v>
      </c>
      <c r="M1575" t="s">
        <v>43</v>
      </c>
      <c r="N1575" s="3">
        <v>2794.5041674693248</v>
      </c>
      <c r="O1575" s="3">
        <v>2500</v>
      </c>
      <c r="P1575" s="3">
        <v>2542</v>
      </c>
      <c r="Q1575" s="3">
        <v>0</v>
      </c>
    </row>
    <row r="1576" spans="1:17" hidden="1" x14ac:dyDescent="0.3">
      <c r="A1576">
        <v>9</v>
      </c>
      <c r="B1576" t="str">
        <f>VLOOKUP($A1576,[1]LISTA!$B:$C,2,0)</f>
        <v>FEBRERO</v>
      </c>
      <c r="C1576" s="1">
        <v>2025</v>
      </c>
      <c r="D1576" s="1" t="str">
        <f>IF($A1576&lt;=[1]RESULTADOS!$D$6,"YTD","YTG")</f>
        <v>YTD</v>
      </c>
      <c r="E1576" t="s">
        <v>675</v>
      </c>
      <c r="F1576" t="s">
        <v>667</v>
      </c>
      <c r="G1576" t="s">
        <v>667</v>
      </c>
      <c r="H1576" t="s">
        <v>668</v>
      </c>
      <c r="I1576" t="s">
        <v>40</v>
      </c>
      <c r="J1576" t="str">
        <f>IFERROR(VLOOKUP(I1576,[1]AUTOS!$C:$G,2,0),"")</f>
        <v>VERSA</v>
      </c>
      <c r="K1576">
        <f>IFERROR(VLOOKUP(I1576,[1]AUTOS!$C:$G,3,0),"")</f>
        <v>2017</v>
      </c>
      <c r="L1576" t="str">
        <f>IFERROR(VLOOKUP(I1576,[1]AUTOS!$C:$G,4,0),"")</f>
        <v>ACERO</v>
      </c>
      <c r="M1576" t="s">
        <v>43</v>
      </c>
      <c r="N1576" s="3">
        <v>3261.9452721864809</v>
      </c>
      <c r="O1576" s="3">
        <v>2500</v>
      </c>
      <c r="P1576" s="3">
        <v>2500</v>
      </c>
      <c r="Q1576" s="3">
        <v>0</v>
      </c>
    </row>
    <row r="1577" spans="1:17" hidden="1" x14ac:dyDescent="0.3">
      <c r="A1577">
        <v>9</v>
      </c>
      <c r="B1577" t="str">
        <f>VLOOKUP($A1577,[1]LISTA!$B:$C,2,0)</f>
        <v>FEBRERO</v>
      </c>
      <c r="C1577" s="1">
        <v>2025</v>
      </c>
      <c r="D1577" s="1" t="str">
        <f>IF($A1577&lt;=[1]RESULTADOS!$D$6,"YTD","YTG")</f>
        <v>YTD</v>
      </c>
      <c r="E1577" t="s">
        <v>686</v>
      </c>
      <c r="F1577" t="s">
        <v>667</v>
      </c>
      <c r="G1577" t="s">
        <v>667</v>
      </c>
      <c r="H1577" t="s">
        <v>668</v>
      </c>
      <c r="I1577" t="s">
        <v>82</v>
      </c>
      <c r="J1577" t="str">
        <f>IFERROR(VLOOKUP(I1577,[1]AUTOS!$C:$G,2,0),"")</f>
        <v>AVEO</v>
      </c>
      <c r="K1577">
        <f>IFERROR(VLOOKUP(I1577,[1]AUTOS!$C:$G,3,0),"")</f>
        <v>2019</v>
      </c>
      <c r="L1577" t="str">
        <f>IFERROR(VLOOKUP(I1577,[1]AUTOS!$C:$G,4,0),"")</f>
        <v>PLATA</v>
      </c>
      <c r="M1577" t="s">
        <v>43</v>
      </c>
      <c r="N1577" s="3">
        <v>1397.0724705382243</v>
      </c>
      <c r="O1577" s="3">
        <v>2500</v>
      </c>
      <c r="P1577" s="3">
        <v>2897.0724705382245</v>
      </c>
      <c r="Q1577" s="3">
        <v>500</v>
      </c>
    </row>
    <row r="1578" spans="1:17" hidden="1" x14ac:dyDescent="0.3">
      <c r="A1578">
        <v>9</v>
      </c>
      <c r="B1578" t="str">
        <f>VLOOKUP($A1578,[1]LISTA!$B:$C,2,0)</f>
        <v>FEBRERO</v>
      </c>
      <c r="C1578" s="1">
        <v>2025</v>
      </c>
      <c r="D1578" s="1" t="str">
        <f>IF($A1578&lt;=[1]RESULTADOS!$D$6,"YTD","YTG")</f>
        <v>YTD</v>
      </c>
      <c r="E1578" t="s">
        <v>687</v>
      </c>
      <c r="F1578" t="s">
        <v>667</v>
      </c>
      <c r="G1578" t="s">
        <v>667</v>
      </c>
      <c r="H1578" t="s">
        <v>668</v>
      </c>
      <c r="I1578" t="s">
        <v>139</v>
      </c>
      <c r="J1578" t="str">
        <f>IFERROR(VLOOKUP(I1578,[1]AUTOS!$C:$G,2,0),"")</f>
        <v>SWIFT</v>
      </c>
      <c r="K1578">
        <f>IFERROR(VLOOKUP(I1578,[1]AUTOS!$C:$G,3,0),"")</f>
        <v>2017</v>
      </c>
      <c r="L1578" t="str">
        <f>IFERROR(VLOOKUP(I1578,[1]AUTOS!$C:$G,4,0),"")</f>
        <v>ROJO</v>
      </c>
      <c r="M1578" t="s">
        <v>43</v>
      </c>
      <c r="N1578" s="3">
        <v>486.21000000000004</v>
      </c>
      <c r="O1578" s="3">
        <v>1071.4285714285716</v>
      </c>
      <c r="P1578" s="3">
        <v>486.21000000000004</v>
      </c>
      <c r="Q1578" s="3">
        <v>0</v>
      </c>
    </row>
    <row r="1579" spans="1:17" hidden="1" x14ac:dyDescent="0.3">
      <c r="A1579">
        <v>9</v>
      </c>
      <c r="B1579" t="str">
        <f>VLOOKUP($A1579,[1]LISTA!$B:$C,2,0)</f>
        <v>FEBRERO</v>
      </c>
      <c r="C1579" s="1">
        <v>2025</v>
      </c>
      <c r="D1579" s="1" t="str">
        <f>IF($A1579&lt;=[1]RESULTADOS!$D$6,"YTD","YTG")</f>
        <v>YTD</v>
      </c>
      <c r="E1579" t="s">
        <v>403</v>
      </c>
      <c r="F1579" t="s">
        <v>667</v>
      </c>
      <c r="G1579" t="s">
        <v>667</v>
      </c>
      <c r="H1579" t="s">
        <v>668</v>
      </c>
      <c r="I1579" t="s">
        <v>51</v>
      </c>
      <c r="J1579" t="str">
        <f>IFERROR(VLOOKUP(I1579,[1]AUTOS!$C:$G,2,0),"")</f>
        <v>VENTO</v>
      </c>
      <c r="K1579">
        <f>IFERROR(VLOOKUP(I1579,[1]AUTOS!$C:$G,3,0),"")</f>
        <v>2017</v>
      </c>
      <c r="L1579" t="str">
        <f>IFERROR(VLOOKUP(I1579,[1]AUTOS!$C:$G,4,0),"")</f>
        <v>GRIS</v>
      </c>
      <c r="M1579" t="s">
        <v>43</v>
      </c>
      <c r="N1579" s="3">
        <v>2033.9900000000002</v>
      </c>
      <c r="O1579" s="3">
        <v>2300</v>
      </c>
      <c r="P1579" s="3">
        <v>2299.9900000000002</v>
      </c>
      <c r="Q1579" s="3">
        <v>0</v>
      </c>
    </row>
    <row r="1580" spans="1:17" hidden="1" x14ac:dyDescent="0.3">
      <c r="A1580">
        <v>9</v>
      </c>
      <c r="B1580" t="str">
        <f>VLOOKUP($A1580,[1]LISTA!$B:$C,2,0)</f>
        <v>FEBRERO</v>
      </c>
      <c r="C1580" s="1">
        <v>2025</v>
      </c>
      <c r="D1580" s="1" t="str">
        <f>IF($A1580&lt;=[1]RESULTADOS!$D$6,"YTD","YTG")</f>
        <v>YTD</v>
      </c>
      <c r="E1580" t="s">
        <v>676</v>
      </c>
      <c r="F1580" t="s">
        <v>667</v>
      </c>
      <c r="G1580" t="s">
        <v>667</v>
      </c>
      <c r="H1580" t="s">
        <v>668</v>
      </c>
      <c r="I1580" t="s">
        <v>67</v>
      </c>
      <c r="J1580" t="str">
        <f>IFERROR(VLOOKUP(I1580,[1]AUTOS!$C:$G,2,0),"")</f>
        <v>KIA RIO</v>
      </c>
      <c r="K1580">
        <f>IFERROR(VLOOKUP(I1580,[1]AUTOS!$C:$G,3,0),"")</f>
        <v>2020</v>
      </c>
      <c r="L1580" t="str">
        <f>IFERROR(VLOOKUP(I1580,[1]AUTOS!$C:$G,4,0),"")</f>
        <v>GRIS</v>
      </c>
      <c r="M1580" t="s">
        <v>669</v>
      </c>
      <c r="N1580" s="3">
        <v>4245.05</v>
      </c>
      <c r="O1580" s="3">
        <v>2500</v>
      </c>
      <c r="P1580" s="3">
        <v>2500</v>
      </c>
      <c r="Q1580" s="3">
        <v>0</v>
      </c>
    </row>
    <row r="1581" spans="1:17" hidden="1" x14ac:dyDescent="0.3">
      <c r="A1581">
        <v>10</v>
      </c>
      <c r="B1581" t="str">
        <f>VLOOKUP($A1581,[1]LISTA!$B:$C,2,0)</f>
        <v>MARZO</v>
      </c>
      <c r="C1581" s="1">
        <v>2025</v>
      </c>
      <c r="D1581" s="1" t="str">
        <f>IF($A1581&lt;=[1]RESULTADOS!$D$6,"YTD","YTG")</f>
        <v>YTD</v>
      </c>
      <c r="E1581" t="s">
        <v>492</v>
      </c>
      <c r="F1581" t="s">
        <v>667</v>
      </c>
      <c r="G1581" t="s">
        <v>667</v>
      </c>
      <c r="H1581" t="s">
        <v>668</v>
      </c>
      <c r="I1581" t="s">
        <v>79</v>
      </c>
      <c r="J1581" t="str">
        <f>IFERROR(VLOOKUP(I1581,[1]AUTOS!$C:$G,2,0),"")</f>
        <v>AVEO</v>
      </c>
      <c r="K1581">
        <f>IFERROR(VLOOKUP(I1581,[1]AUTOS!$C:$G,3,0),"")</f>
        <v>2021</v>
      </c>
      <c r="L1581" t="str">
        <f>IFERROR(VLOOKUP(I1581,[1]AUTOS!$C:$G,4,0),"")</f>
        <v>OCRE</v>
      </c>
      <c r="M1581" t="s">
        <v>669</v>
      </c>
      <c r="N1581" s="3">
        <v>62.099999999999994</v>
      </c>
      <c r="O1581" s="3">
        <v>0</v>
      </c>
      <c r="P1581" s="3">
        <v>0</v>
      </c>
      <c r="Q1581" s="3">
        <v>0</v>
      </c>
    </row>
    <row r="1582" spans="1:17" hidden="1" x14ac:dyDescent="0.3">
      <c r="A1582">
        <v>10</v>
      </c>
      <c r="B1582" t="str">
        <f>VLOOKUP($A1582,[1]LISTA!$B:$C,2,0)</f>
        <v>MARZO</v>
      </c>
      <c r="C1582" s="1">
        <v>2025</v>
      </c>
      <c r="D1582" s="1" t="str">
        <f>IF($A1582&lt;=[1]RESULTADOS!$D$6,"YTD","YTG")</f>
        <v>YTD</v>
      </c>
      <c r="E1582" t="s">
        <v>671</v>
      </c>
      <c r="F1582" t="s">
        <v>667</v>
      </c>
      <c r="G1582" t="s">
        <v>667</v>
      </c>
      <c r="H1582" t="s">
        <v>668</v>
      </c>
      <c r="I1582" t="s">
        <v>162</v>
      </c>
      <c r="J1582" t="str">
        <f>IFERROR(VLOOKUP(I1582,[1]AUTOS!$C:$G,2,0),"")</f>
        <v>HYUNDAI</v>
      </c>
      <c r="K1582">
        <f>IFERROR(VLOOKUP(I1582,[1]AUTOS!$C:$G,3,0),"")</f>
        <v>2022</v>
      </c>
      <c r="L1582" t="str">
        <f>IFERROR(VLOOKUP(I1582,[1]AUTOS!$C:$G,4,0),"")</f>
        <v>PLATA</v>
      </c>
      <c r="M1582" t="s">
        <v>669</v>
      </c>
      <c r="N1582" s="3">
        <v>19.579999999999998</v>
      </c>
      <c r="O1582" s="3">
        <v>2500</v>
      </c>
      <c r="P1582" s="3">
        <v>2674.58</v>
      </c>
      <c r="Q1582" s="3">
        <v>0</v>
      </c>
    </row>
    <row r="1583" spans="1:17" hidden="1" x14ac:dyDescent="0.3">
      <c r="A1583">
        <v>10</v>
      </c>
      <c r="B1583" t="str">
        <f>VLOOKUP($A1583,[1]LISTA!$B:$C,2,0)</f>
        <v>MARZO</v>
      </c>
      <c r="C1583" s="1">
        <v>2025</v>
      </c>
      <c r="D1583" s="1" t="str">
        <f>IF($A1583&lt;=[1]RESULTADOS!$D$6,"YTD","YTG")</f>
        <v>YTD</v>
      </c>
      <c r="E1583" t="s">
        <v>478</v>
      </c>
      <c r="F1583" t="s">
        <v>667</v>
      </c>
      <c r="G1583" t="s">
        <v>667</v>
      </c>
      <c r="H1583" t="s">
        <v>668</v>
      </c>
      <c r="I1583" t="s">
        <v>37</v>
      </c>
      <c r="J1583" t="str">
        <f>IFERROR(VLOOKUP(I1583,[1]AUTOS!$C:$G,2,0),"")</f>
        <v>BEAT</v>
      </c>
      <c r="K1583">
        <f>IFERROR(VLOOKUP(I1583,[1]AUTOS!$C:$G,3,0),"")</f>
        <v>2020</v>
      </c>
      <c r="L1583" t="str">
        <f>IFERROR(VLOOKUP(I1583,[1]AUTOS!$C:$G,4,0),"")</f>
        <v>GRIS</v>
      </c>
      <c r="M1583" t="s">
        <v>43</v>
      </c>
      <c r="N1583" s="3">
        <v>2751.13</v>
      </c>
      <c r="O1583" s="3">
        <v>2057.1428571428569</v>
      </c>
      <c r="P1583" s="3">
        <v>2557.1428571428569</v>
      </c>
      <c r="Q1583" s="3">
        <v>500</v>
      </c>
    </row>
    <row r="1584" spans="1:17" hidden="1" x14ac:dyDescent="0.3">
      <c r="A1584">
        <v>10</v>
      </c>
      <c r="B1584" t="str">
        <f>VLOOKUP($A1584,[1]LISTA!$B:$C,2,0)</f>
        <v>MARZO</v>
      </c>
      <c r="C1584" s="1">
        <v>2025</v>
      </c>
      <c r="D1584" s="1" t="str">
        <f>IF($A1584&lt;=[1]RESULTADOS!$D$6,"YTD","YTG")</f>
        <v>YTD</v>
      </c>
      <c r="E1584" t="s">
        <v>679</v>
      </c>
      <c r="F1584" t="s">
        <v>667</v>
      </c>
      <c r="G1584" t="s">
        <v>667</v>
      </c>
      <c r="H1584" t="s">
        <v>668</v>
      </c>
      <c r="I1584" t="s">
        <v>82</v>
      </c>
      <c r="J1584" t="str">
        <f>IFERROR(VLOOKUP(I1584,[1]AUTOS!$C:$G,2,0),"")</f>
        <v>AVEO</v>
      </c>
      <c r="K1584">
        <f>IFERROR(VLOOKUP(I1584,[1]AUTOS!$C:$G,3,0),"")</f>
        <v>2019</v>
      </c>
      <c r="L1584" t="str">
        <f>IFERROR(VLOOKUP(I1584,[1]AUTOS!$C:$G,4,0),"")</f>
        <v>PLATA</v>
      </c>
      <c r="M1584" t="s">
        <v>43</v>
      </c>
      <c r="N1584" s="3">
        <v>0</v>
      </c>
      <c r="O1584" s="3">
        <v>0</v>
      </c>
      <c r="P1584" s="3">
        <v>-500</v>
      </c>
      <c r="Q1584" s="3">
        <v>-500</v>
      </c>
    </row>
    <row r="1585" spans="1:17" hidden="1" x14ac:dyDescent="0.3">
      <c r="A1585">
        <v>10</v>
      </c>
      <c r="B1585" t="str">
        <f>VLOOKUP($A1585,[1]LISTA!$B:$C,2,0)</f>
        <v>MARZO</v>
      </c>
      <c r="C1585" s="1">
        <v>2025</v>
      </c>
      <c r="D1585" s="1" t="str">
        <f>IF($A1585&lt;=[1]RESULTADOS!$D$6,"YTD","YTG")</f>
        <v>YTD</v>
      </c>
      <c r="E1585" t="s">
        <v>682</v>
      </c>
      <c r="F1585" t="s">
        <v>667</v>
      </c>
      <c r="G1585" t="s">
        <v>667</v>
      </c>
      <c r="H1585" t="s">
        <v>668</v>
      </c>
      <c r="I1585" t="s">
        <v>59</v>
      </c>
      <c r="J1585" t="str">
        <f>IFERROR(VLOOKUP(I1585,[1]AUTOS!$C:$G,2,0),"")</f>
        <v>AVEO</v>
      </c>
      <c r="K1585">
        <f>IFERROR(VLOOKUP(I1585,[1]AUTOS!$C:$G,3,0),"")</f>
        <v>2019</v>
      </c>
      <c r="L1585" t="str">
        <f>IFERROR(VLOOKUP(I1585,[1]AUTOS!$C:$G,4,0),"")</f>
        <v>BLANCO</v>
      </c>
      <c r="M1585" t="s">
        <v>43</v>
      </c>
      <c r="N1585" s="3">
        <v>-25.930000000000007</v>
      </c>
      <c r="O1585" s="3">
        <v>0</v>
      </c>
      <c r="P1585" s="3">
        <v>-25.930000000000007</v>
      </c>
      <c r="Q1585" s="3">
        <v>0</v>
      </c>
    </row>
    <row r="1586" spans="1:17" hidden="1" x14ac:dyDescent="0.3">
      <c r="A1586">
        <v>10</v>
      </c>
      <c r="B1586" t="str">
        <f>VLOOKUP($A1586,[1]LISTA!$B:$C,2,0)</f>
        <v>MARZO</v>
      </c>
      <c r="C1586" s="1">
        <v>2025</v>
      </c>
      <c r="D1586" s="1" t="str">
        <f>IF($A1586&lt;=[1]RESULTADOS!$D$6,"YTD","YTG")</f>
        <v>YTD</v>
      </c>
      <c r="E1586" t="s">
        <v>680</v>
      </c>
      <c r="F1586" t="s">
        <v>667</v>
      </c>
      <c r="G1586" t="s">
        <v>667</v>
      </c>
      <c r="H1586" t="s">
        <v>668</v>
      </c>
      <c r="I1586" t="s">
        <v>116</v>
      </c>
      <c r="J1586" t="str">
        <f>IFERROR(VLOOKUP(I1586,[1]AUTOS!$C:$G,2,0),"")</f>
        <v>AVEO</v>
      </c>
      <c r="K1586">
        <f>IFERROR(VLOOKUP(I1586,[1]AUTOS!$C:$G,3,0),"")</f>
        <v>2022</v>
      </c>
      <c r="L1586" t="str">
        <f>IFERROR(VLOOKUP(I1586,[1]AUTOS!$C:$G,4,0),"")</f>
        <v>AZUL</v>
      </c>
      <c r="M1586" t="s">
        <v>43</v>
      </c>
      <c r="N1586" s="3">
        <v>2904.69</v>
      </c>
      <c r="O1586" s="3">
        <v>2500</v>
      </c>
      <c r="P1586" s="3">
        <v>2904.69</v>
      </c>
      <c r="Q1586" s="3">
        <v>0</v>
      </c>
    </row>
    <row r="1587" spans="1:17" hidden="1" x14ac:dyDescent="0.3">
      <c r="A1587">
        <v>10</v>
      </c>
      <c r="B1587" t="str">
        <f>VLOOKUP($A1587,[1]LISTA!$B:$C,2,0)</f>
        <v>MARZO</v>
      </c>
      <c r="C1587" s="1">
        <v>2025</v>
      </c>
      <c r="D1587" s="1" t="str">
        <f>IF($A1587&lt;=[1]RESULTADOS!$D$6,"YTD","YTG")</f>
        <v>YTD</v>
      </c>
      <c r="E1587" t="s">
        <v>456</v>
      </c>
      <c r="F1587" t="s">
        <v>667</v>
      </c>
      <c r="G1587" t="s">
        <v>667</v>
      </c>
      <c r="H1587" t="s">
        <v>668</v>
      </c>
      <c r="I1587" t="s">
        <v>73</v>
      </c>
      <c r="J1587" t="str">
        <f>IFERROR(VLOOKUP(I1587,[1]AUTOS!$C:$G,2,0),"")</f>
        <v>VERSA</v>
      </c>
      <c r="K1587">
        <f>IFERROR(VLOOKUP(I1587,[1]AUTOS!$C:$G,3,0),"")</f>
        <v>2023</v>
      </c>
      <c r="L1587" t="str">
        <f>IFERROR(VLOOKUP(I1587,[1]AUTOS!$C:$G,4,0),"")</f>
        <v>PLATA</v>
      </c>
      <c r="M1587" t="s">
        <v>43</v>
      </c>
      <c r="N1587" s="3">
        <v>4232.7000000000007</v>
      </c>
      <c r="O1587" s="3">
        <v>2500</v>
      </c>
      <c r="P1587" s="3">
        <v>3500</v>
      </c>
      <c r="Q1587" s="3">
        <v>0</v>
      </c>
    </row>
    <row r="1588" spans="1:17" hidden="1" x14ac:dyDescent="0.3">
      <c r="A1588">
        <v>10</v>
      </c>
      <c r="B1588" t="str">
        <f>VLOOKUP($A1588,[1]LISTA!$B:$C,2,0)</f>
        <v>MARZO</v>
      </c>
      <c r="C1588" s="1">
        <v>2025</v>
      </c>
      <c r="D1588" s="1" t="str">
        <f>IF($A1588&lt;=[1]RESULTADOS!$D$6,"YTD","YTG")</f>
        <v>YTD</v>
      </c>
      <c r="E1588" t="s">
        <v>411</v>
      </c>
      <c r="F1588" t="s">
        <v>667</v>
      </c>
      <c r="G1588" t="s">
        <v>667</v>
      </c>
      <c r="H1588" t="s">
        <v>668</v>
      </c>
      <c r="I1588" t="s">
        <v>34</v>
      </c>
      <c r="J1588" t="str">
        <f>IFERROR(VLOOKUP(I1588,[1]AUTOS!$C:$G,2,0),"")</f>
        <v>AVEO</v>
      </c>
      <c r="K1588">
        <f>IFERROR(VLOOKUP(I1588,[1]AUTOS!$C:$G,3,0),"")</f>
        <v>2018</v>
      </c>
      <c r="L1588" t="str">
        <f>IFERROR(VLOOKUP(I1588,[1]AUTOS!$C:$G,4,0),"")</f>
        <v>ROJO</v>
      </c>
      <c r="M1588" t="s">
        <v>43</v>
      </c>
      <c r="N1588" s="3">
        <v>1754.92</v>
      </c>
      <c r="O1588" s="3">
        <v>714.28571428571433</v>
      </c>
      <c r="P1588" s="3">
        <v>1214.2857142857142</v>
      </c>
      <c r="Q1588" s="3">
        <v>500</v>
      </c>
    </row>
    <row r="1589" spans="1:17" x14ac:dyDescent="0.3">
      <c r="A1589">
        <v>10</v>
      </c>
      <c r="B1589" t="str">
        <f>VLOOKUP($A1589,[1]LISTA!$B:$C,2,0)</f>
        <v>MARZO</v>
      </c>
      <c r="C1589" s="1">
        <v>2025</v>
      </c>
      <c r="D1589" s="1" t="str">
        <f>IF($A1589&lt;=[1]RESULTADOS!$D$6,"YTD","YTG")</f>
        <v>YTD</v>
      </c>
      <c r="E1589" t="s">
        <v>518</v>
      </c>
      <c r="F1589" t="s">
        <v>667</v>
      </c>
      <c r="G1589" t="s">
        <v>667</v>
      </c>
      <c r="H1589" t="s">
        <v>668</v>
      </c>
      <c r="I1589" t="s">
        <v>72</v>
      </c>
      <c r="J1589" t="str">
        <f>IFERROR(VLOOKUP(I1589,[1]AUTOS!$C:$G,2,0),"")</f>
        <v>VENTO</v>
      </c>
      <c r="K1589">
        <f>IFERROR(VLOOKUP(I1589,[1]AUTOS!$C:$G,3,0),"")</f>
        <v>2020</v>
      </c>
      <c r="L1589" t="str">
        <f>IFERROR(VLOOKUP(I1589,[1]AUTOS!$C:$G,4,0),"")</f>
        <v>GRIS</v>
      </c>
      <c r="M1589" t="s">
        <v>43</v>
      </c>
      <c r="N1589" s="3">
        <v>3463.12</v>
      </c>
      <c r="O1589" s="3">
        <v>3352.12</v>
      </c>
      <c r="P1589" s="3">
        <v>3463.12</v>
      </c>
      <c r="Q1589" s="3">
        <v>0</v>
      </c>
    </row>
    <row r="1590" spans="1:17" hidden="1" x14ac:dyDescent="0.3">
      <c r="A1590">
        <v>10</v>
      </c>
      <c r="B1590" t="str">
        <f>VLOOKUP($A1590,[1]LISTA!$B:$C,2,0)</f>
        <v>MARZO</v>
      </c>
      <c r="C1590" s="1">
        <v>2025</v>
      </c>
      <c r="D1590" s="1" t="str">
        <f>IF($A1590&lt;=[1]RESULTADOS!$D$6,"YTD","YTG")</f>
        <v>YTD</v>
      </c>
      <c r="E1590" t="s">
        <v>526</v>
      </c>
      <c r="F1590" t="s">
        <v>667</v>
      </c>
      <c r="G1590" t="s">
        <v>667</v>
      </c>
      <c r="H1590" t="s">
        <v>668</v>
      </c>
      <c r="I1590" t="s">
        <v>61</v>
      </c>
      <c r="J1590" t="str">
        <f>IFERROR(VLOOKUP(I1590,[1]AUTOS!$C:$G,2,0),"")</f>
        <v>KIA RIO</v>
      </c>
      <c r="K1590">
        <f>IFERROR(VLOOKUP(I1590,[1]AUTOS!$C:$G,3,0),"")</f>
        <v>2017</v>
      </c>
      <c r="L1590" t="str">
        <f>IFERROR(VLOOKUP(I1590,[1]AUTOS!$C:$G,4,0),"")</f>
        <v>ROJO</v>
      </c>
      <c r="M1590" t="s">
        <v>43</v>
      </c>
      <c r="N1590" s="3">
        <v>5574.9900000000007</v>
      </c>
      <c r="O1590" s="3">
        <v>2350</v>
      </c>
      <c r="P1590" s="3">
        <v>3350</v>
      </c>
      <c r="Q1590" s="3">
        <v>500</v>
      </c>
    </row>
    <row r="1591" spans="1:17" hidden="1" x14ac:dyDescent="0.3">
      <c r="A1591">
        <v>10</v>
      </c>
      <c r="B1591" t="str">
        <f>VLOOKUP($A1591,[1]LISTA!$B:$C,2,0)</f>
        <v>MARZO</v>
      </c>
      <c r="C1591" s="1">
        <v>2025</v>
      </c>
      <c r="D1591" s="1" t="str">
        <f>IF($A1591&lt;=[1]RESULTADOS!$D$6,"YTD","YTG")</f>
        <v>YTD</v>
      </c>
      <c r="E1591" t="s">
        <v>674</v>
      </c>
      <c r="F1591" t="s">
        <v>667</v>
      </c>
      <c r="G1591" t="s">
        <v>667</v>
      </c>
      <c r="H1591" t="s">
        <v>668</v>
      </c>
      <c r="I1591" t="s">
        <v>46</v>
      </c>
      <c r="J1591" t="str">
        <f>IFERROR(VLOOKUP(I1591,[1]AUTOS!$C:$G,2,0),"")</f>
        <v>MARCH</v>
      </c>
      <c r="K1591">
        <f>IFERROR(VLOOKUP(I1591,[1]AUTOS!$C:$G,3,0),"")</f>
        <v>2020</v>
      </c>
      <c r="L1591" t="str">
        <f>IFERROR(VLOOKUP(I1591,[1]AUTOS!$C:$G,4,0),"")</f>
        <v>TURQ</v>
      </c>
      <c r="M1591" t="s">
        <v>43</v>
      </c>
      <c r="N1591" s="3">
        <v>2763.01</v>
      </c>
      <c r="O1591" s="3">
        <v>2500</v>
      </c>
      <c r="P1591" s="3">
        <v>2000</v>
      </c>
      <c r="Q1591" s="3">
        <v>0</v>
      </c>
    </row>
    <row r="1592" spans="1:17" hidden="1" x14ac:dyDescent="0.3">
      <c r="A1592">
        <v>10</v>
      </c>
      <c r="B1592" t="str">
        <f>VLOOKUP($A1592,[1]LISTA!$B:$C,2,0)</f>
        <v>MARZO</v>
      </c>
      <c r="C1592" s="1">
        <v>2025</v>
      </c>
      <c r="D1592" s="1" t="str">
        <f>IF($A1592&lt;=[1]RESULTADOS!$D$6,"YTD","YTG")</f>
        <v>YTD</v>
      </c>
      <c r="E1592" t="s">
        <v>681</v>
      </c>
      <c r="F1592" t="s">
        <v>667</v>
      </c>
      <c r="G1592" t="s">
        <v>667</v>
      </c>
      <c r="H1592" t="s">
        <v>668</v>
      </c>
      <c r="I1592" t="s">
        <v>76</v>
      </c>
      <c r="J1592" t="str">
        <f>IFERROR(VLOOKUP(I1592,[1]AUTOS!$C:$G,2,0),"")</f>
        <v>AVEO</v>
      </c>
      <c r="K1592">
        <f>IFERROR(VLOOKUP(I1592,[1]AUTOS!$C:$G,3,0),"")</f>
        <v>2018</v>
      </c>
      <c r="L1592" t="str">
        <f>IFERROR(VLOOKUP(I1592,[1]AUTOS!$C:$G,4,0),"")</f>
        <v>GRIS</v>
      </c>
      <c r="M1592" t="s">
        <v>43</v>
      </c>
      <c r="N1592" s="3">
        <v>1429.6000000000004</v>
      </c>
      <c r="O1592" s="3">
        <v>2500</v>
      </c>
      <c r="P1592" s="3">
        <v>1429.6000000000004</v>
      </c>
      <c r="Q1592" s="3">
        <v>0</v>
      </c>
    </row>
    <row r="1593" spans="1:17" hidden="1" x14ac:dyDescent="0.3">
      <c r="A1593">
        <v>10</v>
      </c>
      <c r="B1593" t="str">
        <f>VLOOKUP($A1593,[1]LISTA!$B:$C,2,0)</f>
        <v>MARZO</v>
      </c>
      <c r="C1593" s="1">
        <v>2025</v>
      </c>
      <c r="D1593" s="1" t="str">
        <f>IF($A1593&lt;=[1]RESULTADOS!$D$6,"YTD","YTG")</f>
        <v>YTD</v>
      </c>
      <c r="E1593" t="s">
        <v>675</v>
      </c>
      <c r="F1593" t="s">
        <v>667</v>
      </c>
      <c r="G1593" t="s">
        <v>667</v>
      </c>
      <c r="H1593" t="s">
        <v>668</v>
      </c>
      <c r="I1593" t="s">
        <v>40</v>
      </c>
      <c r="J1593" t="str">
        <f>IFERROR(VLOOKUP(I1593,[1]AUTOS!$C:$G,2,0),"")</f>
        <v>VERSA</v>
      </c>
      <c r="K1593">
        <f>IFERROR(VLOOKUP(I1593,[1]AUTOS!$C:$G,3,0),"")</f>
        <v>2017</v>
      </c>
      <c r="L1593" t="str">
        <f>IFERROR(VLOOKUP(I1593,[1]AUTOS!$C:$G,4,0),"")</f>
        <v>ACERO</v>
      </c>
      <c r="M1593" t="s">
        <v>43</v>
      </c>
      <c r="N1593" s="3">
        <v>3294.7700000000004</v>
      </c>
      <c r="O1593" s="3">
        <v>2500</v>
      </c>
      <c r="P1593" s="3">
        <v>2500</v>
      </c>
      <c r="Q1593" s="3">
        <v>0</v>
      </c>
    </row>
    <row r="1594" spans="1:17" hidden="1" x14ac:dyDescent="0.3">
      <c r="A1594">
        <v>10</v>
      </c>
      <c r="B1594" t="str">
        <f>VLOOKUP($A1594,[1]LISTA!$B:$C,2,0)</f>
        <v>MARZO</v>
      </c>
      <c r="C1594" s="1">
        <v>2025</v>
      </c>
      <c r="D1594" s="1" t="str">
        <f>IF($A1594&lt;=[1]RESULTADOS!$D$6,"YTD","YTG")</f>
        <v>YTD</v>
      </c>
      <c r="E1594" t="s">
        <v>686</v>
      </c>
      <c r="F1594" t="s">
        <v>667</v>
      </c>
      <c r="G1594" t="s">
        <v>667</v>
      </c>
      <c r="H1594" t="s">
        <v>668</v>
      </c>
      <c r="I1594" t="s">
        <v>82</v>
      </c>
      <c r="J1594" t="str">
        <f>IFERROR(VLOOKUP(I1594,[1]AUTOS!$C:$G,2,0),"")</f>
        <v>AVEO</v>
      </c>
      <c r="K1594">
        <f>IFERROR(VLOOKUP(I1594,[1]AUTOS!$C:$G,3,0),"")</f>
        <v>2019</v>
      </c>
      <c r="L1594" t="str">
        <f>IFERROR(VLOOKUP(I1594,[1]AUTOS!$C:$G,4,0),"")</f>
        <v>PLATA</v>
      </c>
      <c r="M1594" t="s">
        <v>43</v>
      </c>
      <c r="N1594" s="3">
        <v>777.06999999999982</v>
      </c>
      <c r="O1594" s="3">
        <v>2500</v>
      </c>
      <c r="P1594" s="3">
        <v>777.06999999999982</v>
      </c>
      <c r="Q1594" s="3">
        <v>500</v>
      </c>
    </row>
    <row r="1595" spans="1:17" hidden="1" x14ac:dyDescent="0.3">
      <c r="A1595">
        <v>10</v>
      </c>
      <c r="B1595" t="str">
        <f>VLOOKUP($A1595,[1]LISTA!$B:$C,2,0)</f>
        <v>MARZO</v>
      </c>
      <c r="C1595" s="1">
        <v>2025</v>
      </c>
      <c r="D1595" s="1" t="str">
        <f>IF($A1595&lt;=[1]RESULTADOS!$D$6,"YTD","YTG")</f>
        <v>YTD</v>
      </c>
      <c r="E1595" t="s">
        <v>687</v>
      </c>
      <c r="F1595" t="s">
        <v>667</v>
      </c>
      <c r="G1595" t="s">
        <v>667</v>
      </c>
      <c r="H1595" t="s">
        <v>668</v>
      </c>
      <c r="I1595" t="s">
        <v>139</v>
      </c>
      <c r="J1595" t="str">
        <f>IFERROR(VLOOKUP(I1595,[1]AUTOS!$C:$G,2,0),"")</f>
        <v>SWIFT</v>
      </c>
      <c r="K1595">
        <f>IFERROR(VLOOKUP(I1595,[1]AUTOS!$C:$G,3,0),"")</f>
        <v>2017</v>
      </c>
      <c r="L1595" t="str">
        <f>IFERROR(VLOOKUP(I1595,[1]AUTOS!$C:$G,4,0),"")</f>
        <v>ROJO</v>
      </c>
      <c r="M1595" t="s">
        <v>43</v>
      </c>
      <c r="N1595" s="3">
        <v>3829.92</v>
      </c>
      <c r="O1595" s="3">
        <v>2500</v>
      </c>
      <c r="P1595" s="3">
        <v>3000</v>
      </c>
      <c r="Q1595" s="3">
        <v>500</v>
      </c>
    </row>
    <row r="1596" spans="1:17" hidden="1" x14ac:dyDescent="0.3">
      <c r="A1596">
        <v>10</v>
      </c>
      <c r="B1596" t="str">
        <f>VLOOKUP($A1596,[1]LISTA!$B:$C,2,0)</f>
        <v>MARZO</v>
      </c>
      <c r="C1596" s="1">
        <v>2025</v>
      </c>
      <c r="D1596" s="1" t="str">
        <f>IF($A1596&lt;=[1]RESULTADOS!$D$6,"YTD","YTG")</f>
        <v>YTD</v>
      </c>
      <c r="E1596" t="s">
        <v>403</v>
      </c>
      <c r="F1596" t="s">
        <v>667</v>
      </c>
      <c r="G1596" t="s">
        <v>667</v>
      </c>
      <c r="H1596" t="s">
        <v>668</v>
      </c>
      <c r="I1596" t="s">
        <v>51</v>
      </c>
      <c r="J1596" t="str">
        <f>IFERROR(VLOOKUP(I1596,[1]AUTOS!$C:$G,2,0),"")</f>
        <v>VENTO</v>
      </c>
      <c r="K1596">
        <f>IFERROR(VLOOKUP(I1596,[1]AUTOS!$C:$G,3,0),"")</f>
        <v>2017</v>
      </c>
      <c r="L1596" t="str">
        <f>IFERROR(VLOOKUP(I1596,[1]AUTOS!$C:$G,4,0),"")</f>
        <v>GRIS</v>
      </c>
      <c r="M1596" t="s">
        <v>43</v>
      </c>
      <c r="N1596" s="3">
        <v>2675.99</v>
      </c>
      <c r="O1596" s="3">
        <v>2300</v>
      </c>
      <c r="P1596" s="3">
        <v>2300</v>
      </c>
      <c r="Q1596" s="3">
        <v>0</v>
      </c>
    </row>
    <row r="1597" spans="1:17" hidden="1" x14ac:dyDescent="0.3">
      <c r="A1597">
        <v>10</v>
      </c>
      <c r="B1597" t="str">
        <f>VLOOKUP($A1597,[1]LISTA!$B:$C,2,0)</f>
        <v>MARZO</v>
      </c>
      <c r="C1597" s="1">
        <v>2025</v>
      </c>
      <c r="D1597" s="1" t="str">
        <f>IF($A1597&lt;=[1]RESULTADOS!$D$6,"YTD","YTG")</f>
        <v>YTD</v>
      </c>
      <c r="E1597" t="s">
        <v>676</v>
      </c>
      <c r="F1597" t="s">
        <v>667</v>
      </c>
      <c r="G1597" t="s">
        <v>667</v>
      </c>
      <c r="H1597" t="s">
        <v>668</v>
      </c>
      <c r="I1597" t="s">
        <v>67</v>
      </c>
      <c r="J1597" t="str">
        <f>IFERROR(VLOOKUP(I1597,[1]AUTOS!$C:$G,2,0),"")</f>
        <v>KIA RIO</v>
      </c>
      <c r="K1597">
        <f>IFERROR(VLOOKUP(I1597,[1]AUTOS!$C:$G,3,0),"")</f>
        <v>2020</v>
      </c>
      <c r="L1597" t="str">
        <f>IFERROR(VLOOKUP(I1597,[1]AUTOS!$C:$G,4,0),"")</f>
        <v>GRIS</v>
      </c>
      <c r="M1597" t="s">
        <v>669</v>
      </c>
      <c r="N1597" s="3">
        <v>2542.7300000000005</v>
      </c>
      <c r="O1597" s="3">
        <v>2500</v>
      </c>
      <c r="P1597" s="3">
        <v>2500</v>
      </c>
      <c r="Q1597" s="3">
        <v>0</v>
      </c>
    </row>
    <row r="1598" spans="1:17" hidden="1" x14ac:dyDescent="0.3">
      <c r="A1598">
        <v>11</v>
      </c>
      <c r="B1598" t="str">
        <f>VLOOKUP($A1598,[1]LISTA!$B:$C,2,0)</f>
        <v>MARZO</v>
      </c>
      <c r="C1598" s="1">
        <v>2025</v>
      </c>
      <c r="D1598" s="1" t="str">
        <f>IF($A1598&lt;=[1]RESULTADOS!$D$6,"YTD","YTG")</f>
        <v>YTD</v>
      </c>
      <c r="E1598" t="s">
        <v>492</v>
      </c>
      <c r="F1598" t="s">
        <v>667</v>
      </c>
      <c r="G1598" t="s">
        <v>667</v>
      </c>
      <c r="H1598" t="s">
        <v>668</v>
      </c>
      <c r="I1598" t="s">
        <v>79</v>
      </c>
      <c r="J1598" t="str">
        <f>IFERROR(VLOOKUP(I1598,[1]AUTOS!$C:$G,2,0),"")</f>
        <v>AVEO</v>
      </c>
      <c r="K1598">
        <f>IFERROR(VLOOKUP(I1598,[1]AUTOS!$C:$G,3,0),"")</f>
        <v>2021</v>
      </c>
      <c r="L1598" t="str">
        <f>IFERROR(VLOOKUP(I1598,[1]AUTOS!$C:$G,4,0),"")</f>
        <v>OCRE</v>
      </c>
      <c r="M1598" t="s">
        <v>669</v>
      </c>
      <c r="N1598" s="3">
        <v>1839.62</v>
      </c>
      <c r="O1598" s="3">
        <v>2500</v>
      </c>
      <c r="P1598" s="3">
        <v>2499.62</v>
      </c>
      <c r="Q1598" s="3">
        <v>0</v>
      </c>
    </row>
    <row r="1599" spans="1:17" hidden="1" x14ac:dyDescent="0.3">
      <c r="A1599">
        <v>11</v>
      </c>
      <c r="B1599" t="str">
        <f>VLOOKUP($A1599,[1]LISTA!$B:$C,2,0)</f>
        <v>MARZO</v>
      </c>
      <c r="C1599" s="1">
        <v>2025</v>
      </c>
      <c r="D1599" s="1" t="str">
        <f>IF($A1599&lt;=[1]RESULTADOS!$D$6,"YTD","YTG")</f>
        <v>YTD</v>
      </c>
      <c r="E1599" t="s">
        <v>671</v>
      </c>
      <c r="F1599" t="s">
        <v>667</v>
      </c>
      <c r="G1599" t="s">
        <v>667</v>
      </c>
      <c r="H1599" t="s">
        <v>668</v>
      </c>
      <c r="I1599" t="s">
        <v>162</v>
      </c>
      <c r="J1599" t="str">
        <f>IFERROR(VLOOKUP(I1599,[1]AUTOS!$C:$G,2,0),"")</f>
        <v>HYUNDAI</v>
      </c>
      <c r="K1599">
        <f>IFERROR(VLOOKUP(I1599,[1]AUTOS!$C:$G,3,0),"")</f>
        <v>2022</v>
      </c>
      <c r="L1599" t="str">
        <f>IFERROR(VLOOKUP(I1599,[1]AUTOS!$C:$G,4,0),"")</f>
        <v>PLATA</v>
      </c>
      <c r="M1599" t="s">
        <v>669</v>
      </c>
      <c r="N1599" s="3">
        <v>0</v>
      </c>
      <c r="O1599" s="3">
        <v>2500</v>
      </c>
      <c r="P1599" s="3">
        <v>2500</v>
      </c>
      <c r="Q1599" s="3">
        <v>0</v>
      </c>
    </row>
    <row r="1600" spans="1:17" hidden="1" x14ac:dyDescent="0.3">
      <c r="A1600">
        <v>11</v>
      </c>
      <c r="B1600" t="str">
        <f>VLOOKUP($A1600,[1]LISTA!$B:$C,2,0)</f>
        <v>MARZO</v>
      </c>
      <c r="C1600" s="1">
        <v>2025</v>
      </c>
      <c r="D1600" s="1" t="str">
        <f>IF($A1600&lt;=[1]RESULTADOS!$D$6,"YTD","YTG")</f>
        <v>YTD</v>
      </c>
      <c r="E1600" t="s">
        <v>478</v>
      </c>
      <c r="F1600" t="s">
        <v>667</v>
      </c>
      <c r="G1600" t="s">
        <v>667</v>
      </c>
      <c r="H1600" t="s">
        <v>668</v>
      </c>
      <c r="I1600" t="s">
        <v>37</v>
      </c>
      <c r="J1600" t="str">
        <f>IFERROR(VLOOKUP(I1600,[1]AUTOS!$C:$G,2,0),"")</f>
        <v>BEAT</v>
      </c>
      <c r="K1600">
        <f>IFERROR(VLOOKUP(I1600,[1]AUTOS!$C:$G,3,0),"")</f>
        <v>2020</v>
      </c>
      <c r="L1600" t="str">
        <f>IFERROR(VLOOKUP(I1600,[1]AUTOS!$C:$G,4,0),"")</f>
        <v>GRIS</v>
      </c>
      <c r="M1600" t="s">
        <v>43</v>
      </c>
      <c r="N1600" s="3">
        <v>2523.4300000000003</v>
      </c>
      <c r="O1600" s="3">
        <v>2400</v>
      </c>
      <c r="P1600" s="3">
        <v>2523.4300000000003</v>
      </c>
      <c r="Q1600" s="3">
        <v>500</v>
      </c>
    </row>
    <row r="1601" spans="1:17" hidden="1" x14ac:dyDescent="0.3">
      <c r="A1601">
        <v>11</v>
      </c>
      <c r="B1601" t="str">
        <f>VLOOKUP($A1601,[1]LISTA!$B:$C,2,0)</f>
        <v>MARZO</v>
      </c>
      <c r="C1601" s="1">
        <v>2025</v>
      </c>
      <c r="D1601" s="1" t="str">
        <f>IF($A1601&lt;=[1]RESULTADOS!$D$6,"YTD","YTG")</f>
        <v>YTD</v>
      </c>
      <c r="E1601" t="s">
        <v>679</v>
      </c>
      <c r="F1601" t="s">
        <v>667</v>
      </c>
      <c r="G1601" t="s">
        <v>667</v>
      </c>
      <c r="H1601" t="s">
        <v>668</v>
      </c>
      <c r="I1601" t="s">
        <v>82</v>
      </c>
      <c r="J1601" t="str">
        <f>IFERROR(VLOOKUP(I1601,[1]AUTOS!$C:$G,2,0),"")</f>
        <v>AVEO</v>
      </c>
      <c r="K1601">
        <f>IFERROR(VLOOKUP(I1601,[1]AUTOS!$C:$G,3,0),"")</f>
        <v>2019</v>
      </c>
      <c r="L1601" t="str">
        <f>IFERROR(VLOOKUP(I1601,[1]AUTOS!$C:$G,4,0),"")</f>
        <v>PLATA</v>
      </c>
      <c r="M1601" t="s">
        <v>43</v>
      </c>
      <c r="N1601" s="3">
        <v>0</v>
      </c>
      <c r="O1601" s="3">
        <v>0</v>
      </c>
      <c r="P1601" s="3">
        <v>-500</v>
      </c>
      <c r="Q1601" s="3">
        <v>-500</v>
      </c>
    </row>
    <row r="1602" spans="1:17" hidden="1" x14ac:dyDescent="0.3">
      <c r="A1602">
        <v>11</v>
      </c>
      <c r="B1602" t="str">
        <f>VLOOKUP($A1602,[1]LISTA!$B:$C,2,0)</f>
        <v>MARZO</v>
      </c>
      <c r="C1602" s="1">
        <v>2025</v>
      </c>
      <c r="D1602" s="1" t="str">
        <f>IF($A1602&lt;=[1]RESULTADOS!$D$6,"YTD","YTG")</f>
        <v>YTD</v>
      </c>
      <c r="E1602" t="s">
        <v>680</v>
      </c>
      <c r="F1602" t="s">
        <v>667</v>
      </c>
      <c r="G1602" t="s">
        <v>667</v>
      </c>
      <c r="H1602" t="s">
        <v>668</v>
      </c>
      <c r="I1602" t="s">
        <v>116</v>
      </c>
      <c r="J1602" t="str">
        <f>IFERROR(VLOOKUP(I1602,[1]AUTOS!$C:$G,2,0),"")</f>
        <v>AVEO</v>
      </c>
      <c r="K1602">
        <f>IFERROR(VLOOKUP(I1602,[1]AUTOS!$C:$G,3,0),"")</f>
        <v>2022</v>
      </c>
      <c r="L1602" t="str">
        <f>IFERROR(VLOOKUP(I1602,[1]AUTOS!$C:$G,4,0),"")</f>
        <v>AZUL</v>
      </c>
      <c r="M1602" t="s">
        <v>43</v>
      </c>
      <c r="N1602" s="3">
        <v>1292.0300000000002</v>
      </c>
      <c r="O1602" s="3">
        <v>2500</v>
      </c>
      <c r="P1602" s="3">
        <v>1292.0300000000002</v>
      </c>
      <c r="Q1602" s="3">
        <v>0</v>
      </c>
    </row>
    <row r="1603" spans="1:17" hidden="1" x14ac:dyDescent="0.3">
      <c r="A1603">
        <v>11</v>
      </c>
      <c r="B1603" t="str">
        <f>VLOOKUP($A1603,[1]LISTA!$B:$C,2,0)</f>
        <v>MARZO</v>
      </c>
      <c r="C1603" s="1">
        <v>2025</v>
      </c>
      <c r="D1603" s="1" t="str">
        <f>IF($A1603&lt;=[1]RESULTADOS!$D$6,"YTD","YTG")</f>
        <v>YTD</v>
      </c>
      <c r="E1603" t="s">
        <v>456</v>
      </c>
      <c r="F1603" t="s">
        <v>667</v>
      </c>
      <c r="G1603" t="s">
        <v>667</v>
      </c>
      <c r="H1603" t="s">
        <v>668</v>
      </c>
      <c r="I1603" t="s">
        <v>73</v>
      </c>
      <c r="J1603" t="str">
        <f>IFERROR(VLOOKUP(I1603,[1]AUTOS!$C:$G,2,0),"")</f>
        <v>VERSA</v>
      </c>
      <c r="K1603">
        <f>IFERROR(VLOOKUP(I1603,[1]AUTOS!$C:$G,3,0),"")</f>
        <v>2023</v>
      </c>
      <c r="L1603" t="str">
        <f>IFERROR(VLOOKUP(I1603,[1]AUTOS!$C:$G,4,0),"")</f>
        <v>PLATA</v>
      </c>
      <c r="M1603" t="s">
        <v>43</v>
      </c>
      <c r="N1603" s="3">
        <v>5698.29</v>
      </c>
      <c r="O1603" s="3">
        <v>2500</v>
      </c>
      <c r="P1603" s="3">
        <v>3000</v>
      </c>
      <c r="Q1603" s="3">
        <v>0</v>
      </c>
    </row>
    <row r="1604" spans="1:17" hidden="1" x14ac:dyDescent="0.3">
      <c r="A1604">
        <v>11</v>
      </c>
      <c r="B1604" t="str">
        <f>VLOOKUP($A1604,[1]LISTA!$B:$C,2,0)</f>
        <v>MARZO</v>
      </c>
      <c r="C1604" s="1">
        <v>2025</v>
      </c>
      <c r="D1604" s="1" t="str">
        <f>IF($A1604&lt;=[1]RESULTADOS!$D$6,"YTD","YTG")</f>
        <v>YTD</v>
      </c>
      <c r="E1604" t="s">
        <v>411</v>
      </c>
      <c r="F1604" t="s">
        <v>667</v>
      </c>
      <c r="G1604" t="s">
        <v>667</v>
      </c>
      <c r="H1604" t="s">
        <v>668</v>
      </c>
      <c r="I1604" t="s">
        <v>34</v>
      </c>
      <c r="J1604" t="str">
        <f>IFERROR(VLOOKUP(I1604,[1]AUTOS!$C:$G,2,0),"")</f>
        <v>AVEO</v>
      </c>
      <c r="K1604">
        <f>IFERROR(VLOOKUP(I1604,[1]AUTOS!$C:$G,3,0),"")</f>
        <v>2018</v>
      </c>
      <c r="L1604" t="str">
        <f>IFERROR(VLOOKUP(I1604,[1]AUTOS!$C:$G,4,0),"")</f>
        <v>ROJO</v>
      </c>
      <c r="M1604" t="s">
        <v>43</v>
      </c>
      <c r="N1604" s="3">
        <v>5348.77</v>
      </c>
      <c r="O1604" s="3">
        <v>2500</v>
      </c>
      <c r="P1604" s="3">
        <v>3000</v>
      </c>
      <c r="Q1604" s="3">
        <v>500</v>
      </c>
    </row>
    <row r="1605" spans="1:17" x14ac:dyDescent="0.3">
      <c r="A1605">
        <v>11</v>
      </c>
      <c r="B1605" t="str">
        <f>VLOOKUP($A1605,[1]LISTA!$B:$C,2,0)</f>
        <v>MARZO</v>
      </c>
      <c r="C1605" s="1">
        <v>2025</v>
      </c>
      <c r="D1605" s="1" t="str">
        <f>IF($A1605&lt;=[1]RESULTADOS!$D$6,"YTD","YTG")</f>
        <v>YTD</v>
      </c>
      <c r="E1605" t="s">
        <v>518</v>
      </c>
      <c r="F1605" t="s">
        <v>667</v>
      </c>
      <c r="G1605" t="s">
        <v>667</v>
      </c>
      <c r="H1605" t="s">
        <v>668</v>
      </c>
      <c r="I1605" t="s">
        <v>72</v>
      </c>
      <c r="J1605" t="str">
        <f>IFERROR(VLOOKUP(I1605,[1]AUTOS!$C:$G,2,0),"")</f>
        <v>VENTO</v>
      </c>
      <c r="K1605">
        <f>IFERROR(VLOOKUP(I1605,[1]AUTOS!$C:$G,3,0),"")</f>
        <v>2020</v>
      </c>
      <c r="L1605" t="str">
        <f>IFERROR(VLOOKUP(I1605,[1]AUTOS!$C:$G,4,0),"")</f>
        <v>GRIS</v>
      </c>
      <c r="M1605" t="s">
        <v>43</v>
      </c>
      <c r="N1605" s="3">
        <v>2812.91</v>
      </c>
      <c r="O1605" s="3">
        <v>2815</v>
      </c>
      <c r="P1605" s="3">
        <v>5621.91</v>
      </c>
      <c r="Q1605" s="3">
        <v>0</v>
      </c>
    </row>
    <row r="1606" spans="1:17" hidden="1" x14ac:dyDescent="0.3">
      <c r="A1606">
        <v>11</v>
      </c>
      <c r="B1606" t="str">
        <f>VLOOKUP($A1606,[1]LISTA!$B:$C,2,0)</f>
        <v>MARZO</v>
      </c>
      <c r="C1606" s="1">
        <v>2025</v>
      </c>
      <c r="D1606" s="1" t="str">
        <f>IF($A1606&lt;=[1]RESULTADOS!$D$6,"YTD","YTG")</f>
        <v>YTD</v>
      </c>
      <c r="E1606" t="s">
        <v>526</v>
      </c>
      <c r="F1606" t="s">
        <v>667</v>
      </c>
      <c r="G1606" t="s">
        <v>667</v>
      </c>
      <c r="H1606" t="s">
        <v>668</v>
      </c>
      <c r="I1606" t="s">
        <v>61</v>
      </c>
      <c r="J1606" t="str">
        <f>IFERROR(VLOOKUP(I1606,[1]AUTOS!$C:$G,2,0),"")</f>
        <v>KIA RIO</v>
      </c>
      <c r="K1606">
        <f>IFERROR(VLOOKUP(I1606,[1]AUTOS!$C:$G,3,0),"")</f>
        <v>2017</v>
      </c>
      <c r="L1606" t="str">
        <f>IFERROR(VLOOKUP(I1606,[1]AUTOS!$C:$G,4,0),"")</f>
        <v>ROJO</v>
      </c>
      <c r="M1606" t="s">
        <v>43</v>
      </c>
      <c r="N1606" s="3">
        <v>6537.11</v>
      </c>
      <c r="O1606" s="3">
        <v>2350</v>
      </c>
      <c r="P1606" s="3">
        <v>2850</v>
      </c>
      <c r="Q1606" s="3">
        <v>500</v>
      </c>
    </row>
    <row r="1607" spans="1:17" hidden="1" x14ac:dyDescent="0.3">
      <c r="A1607">
        <v>11</v>
      </c>
      <c r="B1607" t="str">
        <f>VLOOKUP($A1607,[1]LISTA!$B:$C,2,0)</f>
        <v>MARZO</v>
      </c>
      <c r="C1607" s="1">
        <v>2025</v>
      </c>
      <c r="D1607" s="1" t="str">
        <f>IF($A1607&lt;=[1]RESULTADOS!$D$6,"YTD","YTG")</f>
        <v>YTD</v>
      </c>
      <c r="E1607" t="s">
        <v>674</v>
      </c>
      <c r="F1607" t="s">
        <v>667</v>
      </c>
      <c r="G1607" t="s">
        <v>667</v>
      </c>
      <c r="H1607" t="s">
        <v>668</v>
      </c>
      <c r="I1607" t="s">
        <v>46</v>
      </c>
      <c r="J1607" t="str">
        <f>IFERROR(VLOOKUP(I1607,[1]AUTOS!$C:$G,2,0),"")</f>
        <v>MARCH</v>
      </c>
      <c r="K1607">
        <f>IFERROR(VLOOKUP(I1607,[1]AUTOS!$C:$G,3,0),"")</f>
        <v>2020</v>
      </c>
      <c r="L1607" t="str">
        <f>IFERROR(VLOOKUP(I1607,[1]AUTOS!$C:$G,4,0),"")</f>
        <v>TURQ</v>
      </c>
      <c r="M1607" t="s">
        <v>43</v>
      </c>
      <c r="N1607" s="3">
        <v>3747.88</v>
      </c>
      <c r="O1607" s="3">
        <v>2500</v>
      </c>
      <c r="P1607" s="3">
        <v>2500</v>
      </c>
      <c r="Q1607" s="3">
        <v>0</v>
      </c>
    </row>
    <row r="1608" spans="1:17" hidden="1" x14ac:dyDescent="0.3">
      <c r="A1608">
        <v>11</v>
      </c>
      <c r="B1608" t="str">
        <f>VLOOKUP($A1608,[1]LISTA!$B:$C,2,0)</f>
        <v>MARZO</v>
      </c>
      <c r="C1608" s="1">
        <v>2025</v>
      </c>
      <c r="D1608" s="1" t="str">
        <f>IF($A1608&lt;=[1]RESULTADOS!$D$6,"YTD","YTG")</f>
        <v>YTD</v>
      </c>
      <c r="E1608" t="s">
        <v>681</v>
      </c>
      <c r="F1608" t="s">
        <v>667</v>
      </c>
      <c r="G1608" t="s">
        <v>667</v>
      </c>
      <c r="H1608" t="s">
        <v>668</v>
      </c>
      <c r="I1608" t="s">
        <v>76</v>
      </c>
      <c r="J1608" t="str">
        <f>IFERROR(VLOOKUP(I1608,[1]AUTOS!$C:$G,2,0),"")</f>
        <v>AVEO</v>
      </c>
      <c r="K1608">
        <f>IFERROR(VLOOKUP(I1608,[1]AUTOS!$C:$G,3,0),"")</f>
        <v>2018</v>
      </c>
      <c r="L1608" t="str">
        <f>IFERROR(VLOOKUP(I1608,[1]AUTOS!$C:$G,4,0),"")</f>
        <v>GRIS</v>
      </c>
      <c r="M1608" t="s">
        <v>43</v>
      </c>
      <c r="N1608" s="3">
        <v>2795.7</v>
      </c>
      <c r="O1608" s="3">
        <v>2321</v>
      </c>
      <c r="P1608" s="3">
        <v>2321</v>
      </c>
      <c r="Q1608" s="3">
        <v>0</v>
      </c>
    </row>
    <row r="1609" spans="1:17" hidden="1" x14ac:dyDescent="0.3">
      <c r="A1609">
        <v>11</v>
      </c>
      <c r="B1609" t="str">
        <f>VLOOKUP($A1609,[1]LISTA!$B:$C,2,0)</f>
        <v>MARZO</v>
      </c>
      <c r="C1609" s="1">
        <v>2025</v>
      </c>
      <c r="D1609" s="1" t="str">
        <f>IF($A1609&lt;=[1]RESULTADOS!$D$6,"YTD","YTG")</f>
        <v>YTD</v>
      </c>
      <c r="E1609" t="s">
        <v>675</v>
      </c>
      <c r="F1609" t="s">
        <v>667</v>
      </c>
      <c r="G1609" t="s">
        <v>667</v>
      </c>
      <c r="H1609" t="s">
        <v>668</v>
      </c>
      <c r="I1609" t="s">
        <v>40</v>
      </c>
      <c r="J1609" t="str">
        <f>IFERROR(VLOOKUP(I1609,[1]AUTOS!$C:$G,2,0),"")</f>
        <v>VERSA</v>
      </c>
      <c r="K1609">
        <f>IFERROR(VLOOKUP(I1609,[1]AUTOS!$C:$G,3,0),"")</f>
        <v>2017</v>
      </c>
      <c r="L1609" t="str">
        <f>IFERROR(VLOOKUP(I1609,[1]AUTOS!$C:$G,4,0),"")</f>
        <v>ACERO</v>
      </c>
      <c r="M1609" t="s">
        <v>43</v>
      </c>
      <c r="N1609" s="3">
        <v>2722.36</v>
      </c>
      <c r="O1609" s="3">
        <v>2500</v>
      </c>
      <c r="P1609" s="3">
        <v>2500</v>
      </c>
      <c r="Q1609" s="3">
        <v>0</v>
      </c>
    </row>
    <row r="1610" spans="1:17" hidden="1" x14ac:dyDescent="0.3">
      <c r="A1610">
        <v>11</v>
      </c>
      <c r="B1610" t="str">
        <f>VLOOKUP($A1610,[1]LISTA!$B:$C,2,0)</f>
        <v>MARZO</v>
      </c>
      <c r="C1610" s="1">
        <v>2025</v>
      </c>
      <c r="D1610" s="1" t="str">
        <f>IF($A1610&lt;=[1]RESULTADOS!$D$6,"YTD","YTG")</f>
        <v>YTD</v>
      </c>
      <c r="E1610" t="s">
        <v>686</v>
      </c>
      <c r="F1610" t="s">
        <v>667</v>
      </c>
      <c r="G1610" t="s">
        <v>667</v>
      </c>
      <c r="H1610" t="s">
        <v>668</v>
      </c>
      <c r="I1610" t="s">
        <v>82</v>
      </c>
      <c r="J1610" t="str">
        <f>IFERROR(VLOOKUP(I1610,[1]AUTOS!$C:$G,2,0),"")</f>
        <v>AVEO</v>
      </c>
      <c r="K1610">
        <f>IFERROR(VLOOKUP(I1610,[1]AUTOS!$C:$G,3,0),"")</f>
        <v>2019</v>
      </c>
      <c r="L1610" t="str">
        <f>IFERROR(VLOOKUP(I1610,[1]AUTOS!$C:$G,4,0),"")</f>
        <v>PLATA</v>
      </c>
      <c r="M1610" t="s">
        <v>43</v>
      </c>
      <c r="N1610" s="3">
        <v>88.510000000000019</v>
      </c>
      <c r="O1610" s="3">
        <v>2500</v>
      </c>
      <c r="P1610" s="3">
        <v>88.510000000000019</v>
      </c>
      <c r="Q1610" s="3">
        <v>0</v>
      </c>
    </row>
    <row r="1611" spans="1:17" hidden="1" x14ac:dyDescent="0.3">
      <c r="A1611">
        <v>11</v>
      </c>
      <c r="B1611" t="str">
        <f>VLOOKUP($A1611,[1]LISTA!$B:$C,2,0)</f>
        <v>MARZO</v>
      </c>
      <c r="C1611" s="1">
        <v>2025</v>
      </c>
      <c r="D1611" s="1" t="str">
        <f>IF($A1611&lt;=[1]RESULTADOS!$D$6,"YTD","YTG")</f>
        <v>YTD</v>
      </c>
      <c r="E1611" t="s">
        <v>687</v>
      </c>
      <c r="F1611" t="s">
        <v>667</v>
      </c>
      <c r="G1611" t="s">
        <v>667</v>
      </c>
      <c r="H1611" t="s">
        <v>668</v>
      </c>
      <c r="I1611" t="s">
        <v>139</v>
      </c>
      <c r="J1611" t="str">
        <f>IFERROR(VLOOKUP(I1611,[1]AUTOS!$C:$G,2,0),"")</f>
        <v>SWIFT</v>
      </c>
      <c r="K1611">
        <f>IFERROR(VLOOKUP(I1611,[1]AUTOS!$C:$G,3,0),"")</f>
        <v>2017</v>
      </c>
      <c r="L1611" t="str">
        <f>IFERROR(VLOOKUP(I1611,[1]AUTOS!$C:$G,4,0),"")</f>
        <v>ROJO</v>
      </c>
      <c r="M1611" t="s">
        <v>43</v>
      </c>
      <c r="N1611" s="3">
        <v>978.08999999999992</v>
      </c>
      <c r="O1611" s="3">
        <v>2500</v>
      </c>
      <c r="P1611" s="3">
        <v>978.08999999999992</v>
      </c>
      <c r="Q1611" s="3">
        <v>0</v>
      </c>
    </row>
    <row r="1612" spans="1:17" hidden="1" x14ac:dyDescent="0.3">
      <c r="A1612">
        <v>11</v>
      </c>
      <c r="B1612" t="str">
        <f>VLOOKUP($A1612,[1]LISTA!$B:$C,2,0)</f>
        <v>MARZO</v>
      </c>
      <c r="C1612" s="1">
        <v>2025</v>
      </c>
      <c r="D1612" s="1" t="str">
        <f>IF($A1612&lt;=[1]RESULTADOS!$D$6,"YTD","YTG")</f>
        <v>YTD</v>
      </c>
      <c r="E1612" t="s">
        <v>403</v>
      </c>
      <c r="F1612" t="s">
        <v>667</v>
      </c>
      <c r="G1612" t="s">
        <v>667</v>
      </c>
      <c r="H1612" t="s">
        <v>668</v>
      </c>
      <c r="I1612" t="s">
        <v>51</v>
      </c>
      <c r="J1612" t="str">
        <f>IFERROR(VLOOKUP(I1612,[1]AUTOS!$C:$G,2,0),"")</f>
        <v>VENTO</v>
      </c>
      <c r="K1612">
        <f>IFERROR(VLOOKUP(I1612,[1]AUTOS!$C:$G,3,0),"")</f>
        <v>2017</v>
      </c>
      <c r="L1612" t="str">
        <f>IFERROR(VLOOKUP(I1612,[1]AUTOS!$C:$G,4,0),"")</f>
        <v>GRIS</v>
      </c>
      <c r="M1612" t="s">
        <v>43</v>
      </c>
      <c r="N1612" s="3">
        <v>2972.02</v>
      </c>
      <c r="O1612" s="3">
        <v>2300</v>
      </c>
      <c r="P1612" s="3">
        <v>2300</v>
      </c>
      <c r="Q1612" s="3">
        <v>0</v>
      </c>
    </row>
    <row r="1613" spans="1:17" hidden="1" x14ac:dyDescent="0.3">
      <c r="A1613">
        <v>11</v>
      </c>
      <c r="B1613" t="str">
        <f>VLOOKUP($A1613,[1]LISTA!$B:$C,2,0)</f>
        <v>MARZO</v>
      </c>
      <c r="C1613" s="1">
        <v>2025</v>
      </c>
      <c r="D1613" s="1" t="str">
        <f>IF($A1613&lt;=[1]RESULTADOS!$D$6,"YTD","YTG")</f>
        <v>YTD</v>
      </c>
      <c r="E1613" t="s">
        <v>470</v>
      </c>
      <c r="F1613" t="s">
        <v>667</v>
      </c>
      <c r="G1613" t="s">
        <v>667</v>
      </c>
      <c r="H1613" t="s">
        <v>668</v>
      </c>
      <c r="I1613" t="s">
        <v>59</v>
      </c>
      <c r="J1613" t="str">
        <f>IFERROR(VLOOKUP(I1613,[1]AUTOS!$C:$G,2,0),"")</f>
        <v>AVEO</v>
      </c>
      <c r="K1613">
        <f>IFERROR(VLOOKUP(I1613,[1]AUTOS!$C:$G,3,0),"")</f>
        <v>2019</v>
      </c>
      <c r="L1613" t="str">
        <f>IFERROR(VLOOKUP(I1613,[1]AUTOS!$C:$G,4,0),"")</f>
        <v>BLANCO</v>
      </c>
      <c r="M1613" t="s">
        <v>43</v>
      </c>
      <c r="N1613" s="3">
        <v>1980.4300000000003</v>
      </c>
      <c r="O1613" s="3">
        <v>1607</v>
      </c>
      <c r="P1613" s="3">
        <v>1607</v>
      </c>
      <c r="Q1613" s="3">
        <v>0</v>
      </c>
    </row>
    <row r="1614" spans="1:17" hidden="1" x14ac:dyDescent="0.3">
      <c r="A1614">
        <v>11</v>
      </c>
      <c r="B1614" t="str">
        <f>VLOOKUP($A1614,[1]LISTA!$B:$C,2,0)</f>
        <v>MARZO</v>
      </c>
      <c r="C1614" s="1">
        <v>2025</v>
      </c>
      <c r="D1614" s="1" t="str">
        <f>IF($A1614&lt;=[1]RESULTADOS!$D$6,"YTD","YTG")</f>
        <v>YTD</v>
      </c>
      <c r="E1614" t="s">
        <v>676</v>
      </c>
      <c r="F1614" t="s">
        <v>667</v>
      </c>
      <c r="G1614" t="s">
        <v>667</v>
      </c>
      <c r="H1614" t="s">
        <v>668</v>
      </c>
      <c r="I1614" t="s">
        <v>67</v>
      </c>
      <c r="J1614" t="str">
        <f>IFERROR(VLOOKUP(I1614,[1]AUTOS!$C:$G,2,0),"")</f>
        <v>KIA RIO</v>
      </c>
      <c r="K1614">
        <f>IFERROR(VLOOKUP(I1614,[1]AUTOS!$C:$G,3,0),"")</f>
        <v>2020</v>
      </c>
      <c r="L1614" t="str">
        <f>IFERROR(VLOOKUP(I1614,[1]AUTOS!$C:$G,4,0),"")</f>
        <v>GRIS</v>
      </c>
      <c r="M1614" t="s">
        <v>669</v>
      </c>
      <c r="N1614" s="3">
        <v>3906.1600000000003</v>
      </c>
      <c r="O1614" s="3">
        <v>2500</v>
      </c>
      <c r="P1614" s="3">
        <v>2500</v>
      </c>
      <c r="Q1614" s="3">
        <v>0</v>
      </c>
    </row>
    <row r="1615" spans="1:17" hidden="1" x14ac:dyDescent="0.3">
      <c r="A1615">
        <v>12</v>
      </c>
      <c r="B1615" t="str">
        <f>VLOOKUP($A1615,[1]LISTA!$B:$C,2,0)</f>
        <v>MARZO</v>
      </c>
      <c r="C1615" s="1">
        <v>2025</v>
      </c>
      <c r="D1615" s="1" t="str">
        <f>IF($A1615&lt;=[1]RESULTADOS!$D$6,"YTD","YTG")</f>
        <v>YTD</v>
      </c>
      <c r="E1615" t="s">
        <v>492</v>
      </c>
      <c r="F1615" t="s">
        <v>667</v>
      </c>
      <c r="G1615" t="s">
        <v>667</v>
      </c>
      <c r="H1615" t="s">
        <v>668</v>
      </c>
      <c r="I1615" t="s">
        <v>79</v>
      </c>
      <c r="J1615" t="str">
        <f>IFERROR(VLOOKUP(I1615,[1]AUTOS!$C:$G,2,0),"")</f>
        <v>AVEO</v>
      </c>
      <c r="K1615">
        <f>IFERROR(VLOOKUP(I1615,[1]AUTOS!$C:$G,3,0),"")</f>
        <v>2021</v>
      </c>
      <c r="L1615" t="str">
        <f>IFERROR(VLOOKUP(I1615,[1]AUTOS!$C:$G,4,0),"")</f>
        <v>OCRE</v>
      </c>
      <c r="M1615" t="s">
        <v>43</v>
      </c>
      <c r="N1615" s="3">
        <v>817.88694510081996</v>
      </c>
      <c r="O1615" s="3">
        <v>2500</v>
      </c>
      <c r="P1615" s="3">
        <v>2499.88694510082</v>
      </c>
      <c r="Q1615" s="3">
        <v>0</v>
      </c>
    </row>
    <row r="1616" spans="1:17" hidden="1" x14ac:dyDescent="0.3">
      <c r="A1616">
        <v>12</v>
      </c>
      <c r="B1616" t="str">
        <f>VLOOKUP($A1616,[1]LISTA!$B:$C,2,0)</f>
        <v>MARZO</v>
      </c>
      <c r="C1616" s="1">
        <v>2025</v>
      </c>
      <c r="D1616" s="1" t="str">
        <f>IF($A1616&lt;=[1]RESULTADOS!$D$6,"YTD","YTG")</f>
        <v>YTD</v>
      </c>
      <c r="E1616" t="s">
        <v>671</v>
      </c>
      <c r="F1616" t="s">
        <v>667</v>
      </c>
      <c r="G1616" t="s">
        <v>667</v>
      </c>
      <c r="H1616" t="s">
        <v>668</v>
      </c>
      <c r="I1616" t="s">
        <v>162</v>
      </c>
      <c r="J1616" t="str">
        <f>IFERROR(VLOOKUP(I1616,[1]AUTOS!$C:$G,2,0),"")</f>
        <v>HYUNDAI</v>
      </c>
      <c r="K1616">
        <f>IFERROR(VLOOKUP(I1616,[1]AUTOS!$C:$G,3,0),"")</f>
        <v>2022</v>
      </c>
      <c r="L1616" t="str">
        <f>IFERROR(VLOOKUP(I1616,[1]AUTOS!$C:$G,4,0),"")</f>
        <v>PLATA</v>
      </c>
      <c r="M1616" t="s">
        <v>43</v>
      </c>
      <c r="N1616" s="3">
        <v>328.22559451141279</v>
      </c>
      <c r="O1616" s="3">
        <v>2500</v>
      </c>
      <c r="P1616" s="3">
        <v>2428.225594511413</v>
      </c>
      <c r="Q1616" s="3">
        <v>0</v>
      </c>
    </row>
    <row r="1617" spans="1:17" hidden="1" x14ac:dyDescent="0.3">
      <c r="A1617">
        <v>12</v>
      </c>
      <c r="B1617" t="str">
        <f>VLOOKUP($A1617,[1]LISTA!$B:$C,2,0)</f>
        <v>MARZO</v>
      </c>
      <c r="C1617" s="1">
        <v>2025</v>
      </c>
      <c r="D1617" s="1" t="str">
        <f>IF($A1617&lt;=[1]RESULTADOS!$D$6,"YTD","YTG")</f>
        <v>YTD</v>
      </c>
      <c r="E1617" t="s">
        <v>478</v>
      </c>
      <c r="F1617" t="s">
        <v>667</v>
      </c>
      <c r="G1617" t="s">
        <v>667</v>
      </c>
      <c r="H1617" t="s">
        <v>668</v>
      </c>
      <c r="I1617" t="s">
        <v>37</v>
      </c>
      <c r="J1617" t="str">
        <f>IFERROR(VLOOKUP(I1617,[1]AUTOS!$C:$G,2,0),"")</f>
        <v>BEAT</v>
      </c>
      <c r="K1617">
        <f>IFERROR(VLOOKUP(I1617,[1]AUTOS!$C:$G,3,0),"")</f>
        <v>2020</v>
      </c>
      <c r="L1617" t="str">
        <f>IFERROR(VLOOKUP(I1617,[1]AUTOS!$C:$G,4,0),"")</f>
        <v>GRIS</v>
      </c>
      <c r="M1617" t="s">
        <v>43</v>
      </c>
      <c r="N1617" s="3">
        <v>2678.1400000000003</v>
      </c>
      <c r="O1617" s="3">
        <v>2400</v>
      </c>
      <c r="P1617" s="3">
        <v>2678.1400000000003</v>
      </c>
      <c r="Q1617" s="3">
        <v>500</v>
      </c>
    </row>
    <row r="1618" spans="1:17" hidden="1" x14ac:dyDescent="0.3">
      <c r="A1618">
        <v>12</v>
      </c>
      <c r="B1618" t="str">
        <f>VLOOKUP($A1618,[1]LISTA!$B:$C,2,0)</f>
        <v>MARZO</v>
      </c>
      <c r="C1618" s="1">
        <v>2025</v>
      </c>
      <c r="D1618" s="1" t="str">
        <f>IF($A1618&lt;=[1]RESULTADOS!$D$6,"YTD","YTG")</f>
        <v>YTD</v>
      </c>
      <c r="E1618" t="s">
        <v>679</v>
      </c>
      <c r="F1618" t="s">
        <v>667</v>
      </c>
      <c r="G1618" t="s">
        <v>667</v>
      </c>
      <c r="H1618" t="s">
        <v>668</v>
      </c>
      <c r="I1618" t="s">
        <v>82</v>
      </c>
      <c r="J1618" t="str">
        <f>IFERROR(VLOOKUP(I1618,[1]AUTOS!$C:$G,2,0),"")</f>
        <v>AVEO</v>
      </c>
      <c r="K1618">
        <f>IFERROR(VLOOKUP(I1618,[1]AUTOS!$C:$G,3,0),"")</f>
        <v>2019</v>
      </c>
      <c r="L1618" t="str">
        <f>IFERROR(VLOOKUP(I1618,[1]AUTOS!$C:$G,4,0),"")</f>
        <v>PLATA</v>
      </c>
      <c r="M1618" t="s">
        <v>43</v>
      </c>
      <c r="N1618" s="3">
        <v>0</v>
      </c>
      <c r="O1618" s="3">
        <v>0</v>
      </c>
      <c r="P1618" s="3">
        <v>-500</v>
      </c>
      <c r="Q1618" s="3">
        <v>-500</v>
      </c>
    </row>
    <row r="1619" spans="1:17" x14ac:dyDescent="0.3">
      <c r="A1619">
        <v>12</v>
      </c>
      <c r="B1619" t="str">
        <f>VLOOKUP($A1619,[1]LISTA!$B:$C,2,0)</f>
        <v>MARZO</v>
      </c>
      <c r="C1619" s="1">
        <v>2025</v>
      </c>
      <c r="D1619" s="1" t="str">
        <f>IF($A1619&lt;=[1]RESULTADOS!$D$6,"YTD","YTG")</f>
        <v>YTD</v>
      </c>
      <c r="E1619" t="s">
        <v>682</v>
      </c>
      <c r="F1619" t="s">
        <v>667</v>
      </c>
      <c r="G1619" t="s">
        <v>667</v>
      </c>
      <c r="H1619" t="s">
        <v>668</v>
      </c>
      <c r="I1619" t="s">
        <v>72</v>
      </c>
      <c r="J1619" t="str">
        <f>IFERROR(VLOOKUP(I1619,[1]AUTOS!$C:$G,2,0),"")</f>
        <v>VENTO</v>
      </c>
      <c r="K1619">
        <f>IFERROR(VLOOKUP(I1619,[1]AUTOS!$C:$G,3,0),"")</f>
        <v>2020</v>
      </c>
      <c r="L1619" t="str">
        <f>IFERROR(VLOOKUP(I1619,[1]AUTOS!$C:$G,4,0),"")</f>
        <v>GRIS</v>
      </c>
      <c r="M1619" t="s">
        <v>43</v>
      </c>
      <c r="N1619" s="3">
        <v>0</v>
      </c>
      <c r="O1619" s="3">
        <v>892.85714285714289</v>
      </c>
      <c r="P1619" s="3">
        <v>1000</v>
      </c>
      <c r="Q1619" s="3">
        <v>107</v>
      </c>
    </row>
    <row r="1620" spans="1:17" hidden="1" x14ac:dyDescent="0.3">
      <c r="A1620">
        <v>12</v>
      </c>
      <c r="B1620" t="str">
        <f>VLOOKUP($A1620,[1]LISTA!$B:$C,2,0)</f>
        <v>MARZO</v>
      </c>
      <c r="C1620" s="1">
        <v>2025</v>
      </c>
      <c r="D1620" s="1" t="str">
        <f>IF($A1620&lt;=[1]RESULTADOS!$D$6,"YTD","YTG")</f>
        <v>YTD</v>
      </c>
      <c r="E1620" t="s">
        <v>680</v>
      </c>
      <c r="F1620" t="s">
        <v>667</v>
      </c>
      <c r="G1620" t="s">
        <v>667</v>
      </c>
      <c r="H1620" t="s">
        <v>668</v>
      </c>
      <c r="I1620" t="s">
        <v>144</v>
      </c>
      <c r="J1620" t="str">
        <f>IFERROR(VLOOKUP(I1620,[1]AUTOS!$C:$G,2,0),"")</f>
        <v>VERSA</v>
      </c>
      <c r="K1620">
        <f>IFERROR(VLOOKUP(I1620,[1]AUTOS!$C:$G,3,0),"")</f>
        <v>2020</v>
      </c>
      <c r="L1620" t="str">
        <f>IFERROR(VLOOKUP(I1620,[1]AUTOS!$C:$G,4,0),"")</f>
        <v>ROJO</v>
      </c>
      <c r="M1620" t="s">
        <v>43</v>
      </c>
      <c r="N1620" s="3">
        <v>3312.07</v>
      </c>
      <c r="O1620" s="3">
        <v>2500</v>
      </c>
      <c r="P1620" s="3">
        <v>3000</v>
      </c>
      <c r="Q1620" s="3">
        <v>0</v>
      </c>
    </row>
    <row r="1621" spans="1:17" hidden="1" x14ac:dyDescent="0.3">
      <c r="A1621">
        <v>12</v>
      </c>
      <c r="B1621" t="str">
        <f>VLOOKUP($A1621,[1]LISTA!$B:$C,2,0)</f>
        <v>MARZO</v>
      </c>
      <c r="C1621" s="1">
        <v>2025</v>
      </c>
      <c r="D1621" s="1" t="str">
        <f>IF($A1621&lt;=[1]RESULTADOS!$D$6,"YTD","YTG")</f>
        <v>YTD</v>
      </c>
      <c r="E1621" t="s">
        <v>456</v>
      </c>
      <c r="F1621" t="s">
        <v>667</v>
      </c>
      <c r="G1621" t="s">
        <v>667</v>
      </c>
      <c r="H1621" t="s">
        <v>668</v>
      </c>
      <c r="I1621" t="s">
        <v>73</v>
      </c>
      <c r="J1621" t="str">
        <f>IFERROR(VLOOKUP(I1621,[1]AUTOS!$C:$G,2,0),"")</f>
        <v>VERSA</v>
      </c>
      <c r="K1621">
        <f>IFERROR(VLOOKUP(I1621,[1]AUTOS!$C:$G,3,0),"")</f>
        <v>2023</v>
      </c>
      <c r="L1621" t="str">
        <f>IFERROR(VLOOKUP(I1621,[1]AUTOS!$C:$G,4,0),"")</f>
        <v>PLATA</v>
      </c>
      <c r="M1621" t="s">
        <v>43</v>
      </c>
      <c r="N1621" s="3">
        <v>6125.3200000000006</v>
      </c>
      <c r="O1621" s="3">
        <v>2500</v>
      </c>
      <c r="P1621" s="3">
        <v>3800</v>
      </c>
      <c r="Q1621" s="3">
        <v>0</v>
      </c>
    </row>
    <row r="1622" spans="1:17" hidden="1" x14ac:dyDescent="0.3">
      <c r="A1622">
        <v>12</v>
      </c>
      <c r="B1622" t="str">
        <f>VLOOKUP($A1622,[1]LISTA!$B:$C,2,0)</f>
        <v>MARZO</v>
      </c>
      <c r="C1622" s="1">
        <v>2025</v>
      </c>
      <c r="D1622" s="1" t="str">
        <f>IF($A1622&lt;=[1]RESULTADOS!$D$6,"YTD","YTG")</f>
        <v>YTD</v>
      </c>
      <c r="E1622" t="s">
        <v>411</v>
      </c>
      <c r="F1622" t="s">
        <v>667</v>
      </c>
      <c r="G1622" t="s">
        <v>667</v>
      </c>
      <c r="H1622" t="s">
        <v>668</v>
      </c>
      <c r="I1622" t="s">
        <v>178</v>
      </c>
      <c r="J1622" t="str">
        <f>IFERROR(VLOOKUP(I1622,[1]AUTOS!$C:$G,2,0),"")</f>
        <v>VERSA</v>
      </c>
      <c r="K1622">
        <f>IFERROR(VLOOKUP(I1622,[1]AUTOS!$C:$G,3,0),"")</f>
        <v>2020</v>
      </c>
      <c r="L1622" t="str">
        <f>IFERROR(VLOOKUP(I1622,[1]AUTOS!$C:$G,4,0),"")</f>
        <v>BLANCO</v>
      </c>
      <c r="M1622" t="s">
        <v>43</v>
      </c>
      <c r="N1622" s="3">
        <v>7219</v>
      </c>
      <c r="O1622" s="3">
        <v>2500</v>
      </c>
      <c r="P1622" s="3">
        <v>2526</v>
      </c>
      <c r="Q1622" s="3">
        <v>500</v>
      </c>
    </row>
    <row r="1623" spans="1:17" hidden="1" x14ac:dyDescent="0.3">
      <c r="A1623">
        <v>12</v>
      </c>
      <c r="B1623" t="str">
        <f>VLOOKUP($A1623,[1]LISTA!$B:$C,2,0)</f>
        <v>MARZO</v>
      </c>
      <c r="C1623" s="1">
        <v>2025</v>
      </c>
      <c r="D1623" s="1" t="str">
        <f>IF($A1623&lt;=[1]RESULTADOS!$D$6,"YTD","YTG")</f>
        <v>YTD</v>
      </c>
      <c r="E1623" t="s">
        <v>518</v>
      </c>
      <c r="F1623" t="s">
        <v>667</v>
      </c>
      <c r="G1623" t="s">
        <v>667</v>
      </c>
      <c r="H1623" t="s">
        <v>668</v>
      </c>
      <c r="I1623" t="s">
        <v>116</v>
      </c>
      <c r="J1623" t="str">
        <f>IFERROR(VLOOKUP(I1623,[1]AUTOS!$C:$G,2,0),"")</f>
        <v>AVEO</v>
      </c>
      <c r="K1623">
        <f>IFERROR(VLOOKUP(I1623,[1]AUTOS!$C:$G,3,0),"")</f>
        <v>2022</v>
      </c>
      <c r="L1623" t="str">
        <f>IFERROR(VLOOKUP(I1623,[1]AUTOS!$C:$G,4,0),"")</f>
        <v>AZUL</v>
      </c>
      <c r="M1623" t="s">
        <v>43</v>
      </c>
      <c r="N1623" s="3">
        <v>3351.7599999999998</v>
      </c>
      <c r="O1623" s="3">
        <v>2476.4299999999998</v>
      </c>
      <c r="P1623" s="3">
        <v>-323.57000000000016</v>
      </c>
      <c r="Q1623" s="3">
        <v>0</v>
      </c>
    </row>
    <row r="1624" spans="1:17" hidden="1" x14ac:dyDescent="0.3">
      <c r="A1624">
        <v>12</v>
      </c>
      <c r="B1624" t="str">
        <f>VLOOKUP($A1624,[1]LISTA!$B:$C,2,0)</f>
        <v>MARZO</v>
      </c>
      <c r="C1624" s="1">
        <v>2025</v>
      </c>
      <c r="D1624" s="1" t="str">
        <f>IF($A1624&lt;=[1]RESULTADOS!$D$6,"YTD","YTG")</f>
        <v>YTD</v>
      </c>
      <c r="E1624" t="s">
        <v>526</v>
      </c>
      <c r="F1624" t="s">
        <v>667</v>
      </c>
      <c r="G1624" t="s">
        <v>667</v>
      </c>
      <c r="H1624" t="s">
        <v>668</v>
      </c>
      <c r="I1624" t="s">
        <v>61</v>
      </c>
      <c r="J1624" t="str">
        <f>IFERROR(VLOOKUP(I1624,[1]AUTOS!$C:$G,2,0),"")</f>
        <v>KIA RIO</v>
      </c>
      <c r="K1624">
        <f>IFERROR(VLOOKUP(I1624,[1]AUTOS!$C:$G,3,0),"")</f>
        <v>2017</v>
      </c>
      <c r="L1624" t="str">
        <f>IFERROR(VLOOKUP(I1624,[1]AUTOS!$C:$G,4,0),"")</f>
        <v>ROJO</v>
      </c>
      <c r="M1624" t="s">
        <v>43</v>
      </c>
      <c r="N1624" s="3">
        <v>5572.0437528158654</v>
      </c>
      <c r="O1624" s="3">
        <v>2350</v>
      </c>
      <c r="P1624" s="3">
        <v>2850</v>
      </c>
      <c r="Q1624" s="3">
        <v>500</v>
      </c>
    </row>
    <row r="1625" spans="1:17" hidden="1" x14ac:dyDescent="0.3">
      <c r="A1625">
        <v>12</v>
      </c>
      <c r="B1625" t="str">
        <f>VLOOKUP($A1625,[1]LISTA!$B:$C,2,0)</f>
        <v>MARZO</v>
      </c>
      <c r="C1625" s="1">
        <v>2025</v>
      </c>
      <c r="D1625" s="1" t="str">
        <f>IF($A1625&lt;=[1]RESULTADOS!$D$6,"YTD","YTG")</f>
        <v>YTD</v>
      </c>
      <c r="E1625" t="s">
        <v>674</v>
      </c>
      <c r="F1625" t="s">
        <v>667</v>
      </c>
      <c r="G1625" t="s">
        <v>667</v>
      </c>
      <c r="H1625" t="s">
        <v>668</v>
      </c>
      <c r="I1625" t="s">
        <v>46</v>
      </c>
      <c r="J1625" t="str">
        <f>IFERROR(VLOOKUP(I1625,[1]AUTOS!$C:$G,2,0),"")</f>
        <v>MARCH</v>
      </c>
      <c r="K1625">
        <f>IFERROR(VLOOKUP(I1625,[1]AUTOS!$C:$G,3,0),"")</f>
        <v>2020</v>
      </c>
      <c r="L1625" t="str">
        <f>IFERROR(VLOOKUP(I1625,[1]AUTOS!$C:$G,4,0),"")</f>
        <v>TURQ</v>
      </c>
      <c r="M1625" t="s">
        <v>43</v>
      </c>
      <c r="N1625" s="3">
        <v>2551.8999999999996</v>
      </c>
      <c r="O1625" s="3">
        <v>2500</v>
      </c>
      <c r="P1625" s="3">
        <v>2500</v>
      </c>
      <c r="Q1625" s="3">
        <v>0</v>
      </c>
    </row>
    <row r="1626" spans="1:17" hidden="1" x14ac:dyDescent="0.3">
      <c r="A1626">
        <v>12</v>
      </c>
      <c r="B1626" t="str">
        <f>VLOOKUP($A1626,[1]LISTA!$B:$C,2,0)</f>
        <v>MARZO</v>
      </c>
      <c r="C1626" s="1">
        <v>2025</v>
      </c>
      <c r="D1626" s="1" t="str">
        <f>IF($A1626&lt;=[1]RESULTADOS!$D$6,"YTD","YTG")</f>
        <v>YTD</v>
      </c>
      <c r="E1626" t="s">
        <v>681</v>
      </c>
      <c r="F1626" t="s">
        <v>667</v>
      </c>
      <c r="G1626" t="s">
        <v>667</v>
      </c>
      <c r="H1626" t="s">
        <v>668</v>
      </c>
      <c r="I1626" t="s">
        <v>76</v>
      </c>
      <c r="J1626" t="str">
        <f>IFERROR(VLOOKUP(I1626,[1]AUTOS!$C:$G,2,0),"")</f>
        <v>AVEO</v>
      </c>
      <c r="K1626">
        <f>IFERROR(VLOOKUP(I1626,[1]AUTOS!$C:$G,3,0),"")</f>
        <v>2018</v>
      </c>
      <c r="L1626" t="str">
        <f>IFERROR(VLOOKUP(I1626,[1]AUTOS!$C:$G,4,0),"")</f>
        <v>GRIS</v>
      </c>
      <c r="M1626" t="s">
        <v>43</v>
      </c>
      <c r="N1626" s="3">
        <v>2650.1400000000003</v>
      </c>
      <c r="O1626" s="3">
        <v>2500</v>
      </c>
      <c r="P1626" s="3">
        <v>2500</v>
      </c>
      <c r="Q1626" s="3">
        <v>0</v>
      </c>
    </row>
    <row r="1627" spans="1:17" hidden="1" x14ac:dyDescent="0.3">
      <c r="A1627">
        <v>12</v>
      </c>
      <c r="B1627" t="str">
        <f>VLOOKUP($A1627,[1]LISTA!$B:$C,2,0)</f>
        <v>MARZO</v>
      </c>
      <c r="C1627" s="1">
        <v>2025</v>
      </c>
      <c r="D1627" s="1" t="str">
        <f>IF($A1627&lt;=[1]RESULTADOS!$D$6,"YTD","YTG")</f>
        <v>YTD</v>
      </c>
      <c r="E1627" t="s">
        <v>675</v>
      </c>
      <c r="F1627" t="s">
        <v>667</v>
      </c>
      <c r="G1627" t="s">
        <v>667</v>
      </c>
      <c r="H1627" t="s">
        <v>668</v>
      </c>
      <c r="I1627" t="s">
        <v>40</v>
      </c>
      <c r="J1627" t="str">
        <f>IFERROR(VLOOKUP(I1627,[1]AUTOS!$C:$G,2,0),"")</f>
        <v>VERSA</v>
      </c>
      <c r="K1627">
        <f>IFERROR(VLOOKUP(I1627,[1]AUTOS!$C:$G,3,0),"")</f>
        <v>2017</v>
      </c>
      <c r="L1627" t="str">
        <f>IFERROR(VLOOKUP(I1627,[1]AUTOS!$C:$G,4,0),"")</f>
        <v>ACERO</v>
      </c>
      <c r="M1627" t="s">
        <v>43</v>
      </c>
      <c r="N1627" s="3">
        <v>3358.79</v>
      </c>
      <c r="O1627" s="3">
        <v>2500</v>
      </c>
      <c r="P1627" s="3">
        <v>2500</v>
      </c>
      <c r="Q1627" s="3">
        <v>0</v>
      </c>
    </row>
    <row r="1628" spans="1:17" hidden="1" x14ac:dyDescent="0.3">
      <c r="A1628">
        <v>12</v>
      </c>
      <c r="B1628" t="str">
        <f>VLOOKUP($A1628,[1]LISTA!$B:$C,2,0)</f>
        <v>MARZO</v>
      </c>
      <c r="C1628" s="1">
        <v>2025</v>
      </c>
      <c r="D1628" s="1" t="str">
        <f>IF($A1628&lt;=[1]RESULTADOS!$D$6,"YTD","YTG")</f>
        <v>YTD</v>
      </c>
      <c r="E1628" t="s">
        <v>688</v>
      </c>
      <c r="F1628" t="s">
        <v>667</v>
      </c>
      <c r="G1628" t="s">
        <v>667</v>
      </c>
      <c r="H1628" t="s">
        <v>668</v>
      </c>
      <c r="I1628" t="s">
        <v>139</v>
      </c>
      <c r="J1628" t="str">
        <f>IFERROR(VLOOKUP(I1628,[1]AUTOS!$C:$G,2,0),"")</f>
        <v>SWIFT</v>
      </c>
      <c r="K1628">
        <f>IFERROR(VLOOKUP(I1628,[1]AUTOS!$C:$G,3,0),"")</f>
        <v>2017</v>
      </c>
      <c r="L1628" t="str">
        <f>IFERROR(VLOOKUP(I1628,[1]AUTOS!$C:$G,4,0),"")</f>
        <v>ROJO</v>
      </c>
      <c r="M1628" t="s">
        <v>43</v>
      </c>
      <c r="N1628" s="3">
        <v>2478.2127709837901</v>
      </c>
      <c r="O1628" s="3">
        <v>1785.7142857142858</v>
      </c>
      <c r="P1628" s="3">
        <v>2142.8571428571431</v>
      </c>
      <c r="Q1628" s="3">
        <v>357.14285714285717</v>
      </c>
    </row>
    <row r="1629" spans="1:17" hidden="1" x14ac:dyDescent="0.3">
      <c r="A1629">
        <v>12</v>
      </c>
      <c r="B1629" t="str">
        <f>VLOOKUP($A1629,[1]LISTA!$B:$C,2,0)</f>
        <v>MARZO</v>
      </c>
      <c r="C1629" s="1">
        <v>2025</v>
      </c>
      <c r="D1629" s="1" t="str">
        <f>IF($A1629&lt;=[1]RESULTADOS!$D$6,"YTD","YTG")</f>
        <v>YTD</v>
      </c>
      <c r="E1629" t="s">
        <v>403</v>
      </c>
      <c r="F1629" t="s">
        <v>667</v>
      </c>
      <c r="G1629" t="s">
        <v>667</v>
      </c>
      <c r="H1629" t="s">
        <v>668</v>
      </c>
      <c r="I1629" t="s">
        <v>51</v>
      </c>
      <c r="J1629" t="str">
        <f>IFERROR(VLOOKUP(I1629,[1]AUTOS!$C:$G,2,0),"")</f>
        <v>VENTO</v>
      </c>
      <c r="K1629">
        <f>IFERROR(VLOOKUP(I1629,[1]AUTOS!$C:$G,3,0),"")</f>
        <v>2017</v>
      </c>
      <c r="L1629" t="str">
        <f>IFERROR(VLOOKUP(I1629,[1]AUTOS!$C:$G,4,0),"")</f>
        <v>GRIS</v>
      </c>
      <c r="M1629" t="s">
        <v>43</v>
      </c>
      <c r="N1629" s="3">
        <v>1438.5299999999997</v>
      </c>
      <c r="O1629" s="3">
        <v>2300</v>
      </c>
      <c r="P1629" s="3">
        <v>1438.5299999999997</v>
      </c>
      <c r="Q1629" s="3">
        <v>0</v>
      </c>
    </row>
    <row r="1630" spans="1:17" hidden="1" x14ac:dyDescent="0.3">
      <c r="A1630">
        <v>12</v>
      </c>
      <c r="B1630" t="str">
        <f>VLOOKUP($A1630,[1]LISTA!$B:$C,2,0)</f>
        <v>MARZO</v>
      </c>
      <c r="C1630" s="1">
        <v>2025</v>
      </c>
      <c r="D1630" s="1" t="str">
        <f>IF($A1630&lt;=[1]RESULTADOS!$D$6,"YTD","YTG")</f>
        <v>YTD</v>
      </c>
      <c r="E1630" t="s">
        <v>470</v>
      </c>
      <c r="F1630" t="s">
        <v>667</v>
      </c>
      <c r="G1630" t="s">
        <v>667</v>
      </c>
      <c r="H1630" t="s">
        <v>668</v>
      </c>
      <c r="I1630" t="s">
        <v>59</v>
      </c>
      <c r="J1630" t="str">
        <f>IFERROR(VLOOKUP(I1630,[1]AUTOS!$C:$G,2,0),"")</f>
        <v>AVEO</v>
      </c>
      <c r="K1630">
        <f>IFERROR(VLOOKUP(I1630,[1]AUTOS!$C:$G,3,0),"")</f>
        <v>2019</v>
      </c>
      <c r="L1630" t="str">
        <f>IFERROR(VLOOKUP(I1630,[1]AUTOS!$C:$G,4,0),"")</f>
        <v>BLANCO</v>
      </c>
      <c r="M1630" t="s">
        <v>43</v>
      </c>
      <c r="N1630" s="3">
        <v>3139.1900000000005</v>
      </c>
      <c r="O1630" s="3">
        <v>2500</v>
      </c>
      <c r="P1630" s="3">
        <v>2500</v>
      </c>
      <c r="Q1630" s="3">
        <v>0</v>
      </c>
    </row>
    <row r="1631" spans="1:17" hidden="1" x14ac:dyDescent="0.3">
      <c r="A1631">
        <v>12</v>
      </c>
      <c r="B1631" t="str">
        <f>VLOOKUP($A1631,[1]LISTA!$B:$C,2,0)</f>
        <v>MARZO</v>
      </c>
      <c r="C1631" s="1">
        <v>2025</v>
      </c>
      <c r="D1631" s="1" t="str">
        <f>IF($A1631&lt;=[1]RESULTADOS!$D$6,"YTD","YTG")</f>
        <v>YTD</v>
      </c>
      <c r="E1631" t="s">
        <v>676</v>
      </c>
      <c r="F1631" t="s">
        <v>667</v>
      </c>
      <c r="G1631" t="s">
        <v>667</v>
      </c>
      <c r="H1631" t="s">
        <v>668</v>
      </c>
      <c r="I1631" t="s">
        <v>67</v>
      </c>
      <c r="J1631" t="str">
        <f>IFERROR(VLOOKUP(I1631,[1]AUTOS!$C:$G,2,0),"")</f>
        <v>KIA RIO</v>
      </c>
      <c r="K1631">
        <f>IFERROR(VLOOKUP(I1631,[1]AUTOS!$C:$G,3,0),"")</f>
        <v>2020</v>
      </c>
      <c r="L1631" t="str">
        <f>IFERROR(VLOOKUP(I1631,[1]AUTOS!$C:$G,4,0),"")</f>
        <v>GRIS</v>
      </c>
      <c r="M1631" t="s">
        <v>43</v>
      </c>
      <c r="N1631" s="3">
        <v>4169.84</v>
      </c>
      <c r="O1631" s="3">
        <v>2500</v>
      </c>
      <c r="P1631" s="3">
        <v>1500</v>
      </c>
      <c r="Q1631" s="3">
        <v>-1000</v>
      </c>
    </row>
    <row r="1632" spans="1:17" hidden="1" x14ac:dyDescent="0.3">
      <c r="A1632">
        <v>12</v>
      </c>
      <c r="B1632" t="str">
        <f>VLOOKUP($A1632,[1]LISTA!$B:$C,2,0)</f>
        <v>MARZO</v>
      </c>
      <c r="C1632" s="1">
        <v>2025</v>
      </c>
      <c r="D1632" s="1" t="str">
        <f>IF($A1632&lt;=[1]RESULTADOS!$D$6,"YTD","YTG")</f>
        <v>YTD</v>
      </c>
      <c r="E1632" t="s">
        <v>689</v>
      </c>
      <c r="F1632" t="s">
        <v>667</v>
      </c>
      <c r="G1632" t="s">
        <v>667</v>
      </c>
      <c r="H1632" t="s">
        <v>668</v>
      </c>
      <c r="I1632" t="s">
        <v>34</v>
      </c>
      <c r="J1632" t="str">
        <f>IFERROR(VLOOKUP(I1632,[1]AUTOS!$C:$G,2,0),"")</f>
        <v>AVEO</v>
      </c>
      <c r="K1632">
        <f>IFERROR(VLOOKUP(I1632,[1]AUTOS!$C:$G,3,0),"")</f>
        <v>2018</v>
      </c>
      <c r="L1632" t="str">
        <f>IFERROR(VLOOKUP(I1632,[1]AUTOS!$C:$G,4,0),"")</f>
        <v>ROJO</v>
      </c>
      <c r="M1632" t="s">
        <v>43</v>
      </c>
      <c r="N1632" s="3">
        <v>415.11999999999989</v>
      </c>
      <c r="O1632" s="3">
        <v>1071.4285714285716</v>
      </c>
      <c r="P1632" s="3">
        <v>1071.1199999999999</v>
      </c>
      <c r="Q1632" s="3">
        <v>0</v>
      </c>
    </row>
    <row r="1633" spans="1:17" hidden="1" x14ac:dyDescent="0.3">
      <c r="A1633">
        <v>13</v>
      </c>
      <c r="B1633" t="str">
        <f>VLOOKUP($A1633,[1]LISTA!$B:$C,2,0)</f>
        <v>MARZO</v>
      </c>
      <c r="C1633" s="1">
        <v>2025</v>
      </c>
      <c r="D1633" s="1" t="str">
        <f>IF($A1633&lt;=[1]RESULTADOS!$D$6,"YTD","YTG")</f>
        <v>YTD</v>
      </c>
      <c r="E1633" t="s">
        <v>492</v>
      </c>
      <c r="F1633" t="s">
        <v>667</v>
      </c>
      <c r="G1633" t="s">
        <v>667</v>
      </c>
      <c r="H1633" t="s">
        <v>668</v>
      </c>
      <c r="I1633" t="s">
        <v>79</v>
      </c>
      <c r="J1633" t="str">
        <f>IFERROR(VLOOKUP(I1633,[1]AUTOS!$C:$G,2,0),"")</f>
        <v>AVEO</v>
      </c>
      <c r="K1633">
        <f>IFERROR(VLOOKUP(I1633,[1]AUTOS!$C:$G,3,0),"")</f>
        <v>2021</v>
      </c>
      <c r="L1633" t="str">
        <f>IFERROR(VLOOKUP(I1633,[1]AUTOS!$C:$G,4,0),"")</f>
        <v>OCRE</v>
      </c>
      <c r="M1633" t="s">
        <v>43</v>
      </c>
      <c r="N1633" s="3">
        <v>259.89999999999998</v>
      </c>
      <c r="O1633" s="3">
        <v>2500</v>
      </c>
      <c r="P1633" s="3">
        <v>2224.9</v>
      </c>
      <c r="Q1633" s="3">
        <v>0</v>
      </c>
    </row>
    <row r="1634" spans="1:17" hidden="1" x14ac:dyDescent="0.3">
      <c r="A1634">
        <v>13</v>
      </c>
      <c r="B1634" t="str">
        <f>VLOOKUP($A1634,[1]LISTA!$B:$C,2,0)</f>
        <v>MARZO</v>
      </c>
      <c r="C1634" s="1">
        <v>2025</v>
      </c>
      <c r="D1634" s="1" t="str">
        <f>IF($A1634&lt;=[1]RESULTADOS!$D$6,"YTD","YTG")</f>
        <v>YTD</v>
      </c>
      <c r="E1634" t="s">
        <v>671</v>
      </c>
      <c r="F1634" t="s">
        <v>667</v>
      </c>
      <c r="G1634" t="s">
        <v>667</v>
      </c>
      <c r="H1634" t="s">
        <v>668</v>
      </c>
      <c r="I1634" t="s">
        <v>162</v>
      </c>
      <c r="J1634" t="str">
        <f>IFERROR(VLOOKUP(I1634,[1]AUTOS!$C:$G,2,0),"")</f>
        <v>HYUNDAI</v>
      </c>
      <c r="K1634">
        <f>IFERROR(VLOOKUP(I1634,[1]AUTOS!$C:$G,3,0),"")</f>
        <v>2022</v>
      </c>
      <c r="L1634" t="str">
        <f>IFERROR(VLOOKUP(I1634,[1]AUTOS!$C:$G,4,0),"")</f>
        <v>PLATA</v>
      </c>
      <c r="M1634" t="s">
        <v>43</v>
      </c>
      <c r="N1634" s="3">
        <v>309.64</v>
      </c>
      <c r="O1634" s="3">
        <v>2500</v>
      </c>
      <c r="P1634" s="3">
        <v>2309.64</v>
      </c>
      <c r="Q1634" s="3">
        <v>0</v>
      </c>
    </row>
    <row r="1635" spans="1:17" hidden="1" x14ac:dyDescent="0.3">
      <c r="A1635">
        <v>13</v>
      </c>
      <c r="B1635" t="str">
        <f>VLOOKUP($A1635,[1]LISTA!$B:$C,2,0)</f>
        <v>MARZO</v>
      </c>
      <c r="C1635" s="1">
        <v>2025</v>
      </c>
      <c r="D1635" s="1" t="str">
        <f>IF($A1635&lt;=[1]RESULTADOS!$D$6,"YTD","YTG")</f>
        <v>YTD</v>
      </c>
      <c r="E1635" t="s">
        <v>478</v>
      </c>
      <c r="F1635" t="s">
        <v>667</v>
      </c>
      <c r="G1635" t="s">
        <v>667</v>
      </c>
      <c r="H1635" t="s">
        <v>668</v>
      </c>
      <c r="I1635" t="s">
        <v>37</v>
      </c>
      <c r="J1635" t="str">
        <f>IFERROR(VLOOKUP(I1635,[1]AUTOS!$C:$G,2,0),"")</f>
        <v>BEAT</v>
      </c>
      <c r="K1635">
        <f>IFERROR(VLOOKUP(I1635,[1]AUTOS!$C:$G,3,0),"")</f>
        <v>2020</v>
      </c>
      <c r="L1635" t="str">
        <f>IFERROR(VLOOKUP(I1635,[1]AUTOS!$C:$G,4,0),"")</f>
        <v>GRIS</v>
      </c>
      <c r="M1635" t="s">
        <v>43</v>
      </c>
      <c r="N1635" s="3">
        <v>3397.5600000000027</v>
      </c>
      <c r="O1635" s="3">
        <v>2400</v>
      </c>
      <c r="P1635" s="3">
        <v>3121.86</v>
      </c>
      <c r="Q1635" s="3">
        <v>500</v>
      </c>
    </row>
    <row r="1636" spans="1:17" hidden="1" x14ac:dyDescent="0.3">
      <c r="A1636">
        <v>13</v>
      </c>
      <c r="B1636" t="str">
        <f>VLOOKUP($A1636,[1]LISTA!$B:$C,2,0)</f>
        <v>MARZO</v>
      </c>
      <c r="C1636" s="1">
        <v>2025</v>
      </c>
      <c r="D1636" s="1" t="str">
        <f>IF($A1636&lt;=[1]RESULTADOS!$D$6,"YTD","YTG")</f>
        <v>YTD</v>
      </c>
      <c r="E1636" t="s">
        <v>679</v>
      </c>
      <c r="F1636" t="s">
        <v>667</v>
      </c>
      <c r="G1636" t="s">
        <v>667</v>
      </c>
      <c r="H1636" t="s">
        <v>668</v>
      </c>
      <c r="I1636" t="s">
        <v>82</v>
      </c>
      <c r="J1636" t="str">
        <f>IFERROR(VLOOKUP(I1636,[1]AUTOS!$C:$G,2,0),"")</f>
        <v>AVEO</v>
      </c>
      <c r="K1636">
        <f>IFERROR(VLOOKUP(I1636,[1]AUTOS!$C:$G,3,0),"")</f>
        <v>2019</v>
      </c>
      <c r="L1636" t="str">
        <f>IFERROR(VLOOKUP(I1636,[1]AUTOS!$C:$G,4,0),"")</f>
        <v>PLATA</v>
      </c>
      <c r="M1636" t="s">
        <v>43</v>
      </c>
      <c r="N1636" s="3">
        <v>0</v>
      </c>
      <c r="O1636" s="3">
        <v>0</v>
      </c>
      <c r="P1636" s="3">
        <v>-500</v>
      </c>
      <c r="Q1636" s="3">
        <v>-500</v>
      </c>
    </row>
    <row r="1637" spans="1:17" x14ac:dyDescent="0.3">
      <c r="A1637">
        <v>13</v>
      </c>
      <c r="B1637" t="str">
        <f>VLOOKUP($A1637,[1]LISTA!$B:$C,2,0)</f>
        <v>MARZO</v>
      </c>
      <c r="C1637" s="1">
        <v>2025</v>
      </c>
      <c r="D1637" s="1" t="str">
        <f>IF($A1637&lt;=[1]RESULTADOS!$D$6,"YTD","YTG")</f>
        <v>YTD</v>
      </c>
      <c r="E1637" t="s">
        <v>682</v>
      </c>
      <c r="F1637" t="s">
        <v>667</v>
      </c>
      <c r="G1637" t="s">
        <v>667</v>
      </c>
      <c r="H1637" t="s">
        <v>668</v>
      </c>
      <c r="I1637" t="s">
        <v>72</v>
      </c>
      <c r="J1637" t="str">
        <f>IFERROR(VLOOKUP(I1637,[1]AUTOS!$C:$G,2,0),"")</f>
        <v>VENTO</v>
      </c>
      <c r="K1637">
        <f>IFERROR(VLOOKUP(I1637,[1]AUTOS!$C:$G,3,0),"")</f>
        <v>2020</v>
      </c>
      <c r="L1637" t="str">
        <f>IFERROR(VLOOKUP(I1637,[1]AUTOS!$C:$G,4,0),"")</f>
        <v>GRIS</v>
      </c>
      <c r="M1637" t="s">
        <v>43</v>
      </c>
      <c r="N1637" s="3">
        <v>2072.0400000000004</v>
      </c>
      <c r="O1637" s="3">
        <v>2500</v>
      </c>
      <c r="P1637" s="3">
        <v>3071.0400000000004</v>
      </c>
      <c r="Q1637" s="3">
        <v>500</v>
      </c>
    </row>
    <row r="1638" spans="1:17" hidden="1" x14ac:dyDescent="0.3">
      <c r="A1638">
        <v>13</v>
      </c>
      <c r="B1638" t="str">
        <f>VLOOKUP($A1638,[1]LISTA!$B:$C,2,0)</f>
        <v>MARZO</v>
      </c>
      <c r="C1638" s="1">
        <v>2025</v>
      </c>
      <c r="D1638" s="1" t="str">
        <f>IF($A1638&lt;=[1]RESULTADOS!$D$6,"YTD","YTG")</f>
        <v>YTD</v>
      </c>
      <c r="E1638" t="s">
        <v>680</v>
      </c>
      <c r="F1638" t="s">
        <v>667</v>
      </c>
      <c r="G1638" t="s">
        <v>667</v>
      </c>
      <c r="H1638" t="s">
        <v>668</v>
      </c>
      <c r="I1638" t="s">
        <v>144</v>
      </c>
      <c r="J1638" t="str">
        <f>IFERROR(VLOOKUP(I1638,[1]AUTOS!$C:$G,2,0),"")</f>
        <v>VERSA</v>
      </c>
      <c r="K1638">
        <f>IFERROR(VLOOKUP(I1638,[1]AUTOS!$C:$G,3,0),"")</f>
        <v>2020</v>
      </c>
      <c r="L1638" t="str">
        <f>IFERROR(VLOOKUP(I1638,[1]AUTOS!$C:$G,4,0),"")</f>
        <v>ROJO</v>
      </c>
      <c r="M1638" t="s">
        <v>43</v>
      </c>
      <c r="N1638" s="3">
        <v>3056.4</v>
      </c>
      <c r="O1638" s="3">
        <v>2500</v>
      </c>
      <c r="P1638" s="3">
        <v>2800</v>
      </c>
      <c r="Q1638" s="3">
        <v>0</v>
      </c>
    </row>
    <row r="1639" spans="1:17" hidden="1" x14ac:dyDescent="0.3">
      <c r="A1639">
        <v>13</v>
      </c>
      <c r="B1639" t="str">
        <f>VLOOKUP($A1639,[1]LISTA!$B:$C,2,0)</f>
        <v>MARZO</v>
      </c>
      <c r="C1639" s="1">
        <v>2025</v>
      </c>
      <c r="D1639" s="1" t="str">
        <f>IF($A1639&lt;=[1]RESULTADOS!$D$6,"YTD","YTG")</f>
        <v>YTD</v>
      </c>
      <c r="E1639" t="s">
        <v>456</v>
      </c>
      <c r="F1639" t="s">
        <v>667</v>
      </c>
      <c r="G1639" t="s">
        <v>667</v>
      </c>
      <c r="H1639" t="s">
        <v>668</v>
      </c>
      <c r="I1639" t="s">
        <v>73</v>
      </c>
      <c r="J1639" t="str">
        <f>IFERROR(VLOOKUP(I1639,[1]AUTOS!$C:$G,2,0),"")</f>
        <v>VERSA</v>
      </c>
      <c r="K1639">
        <f>IFERROR(VLOOKUP(I1639,[1]AUTOS!$C:$G,3,0),"")</f>
        <v>2023</v>
      </c>
      <c r="L1639" t="str">
        <f>IFERROR(VLOOKUP(I1639,[1]AUTOS!$C:$G,4,0),"")</f>
        <v>PLATA</v>
      </c>
      <c r="M1639" t="s">
        <v>43</v>
      </c>
      <c r="N1639" s="3">
        <v>5672.1300000000047</v>
      </c>
      <c r="O1639" s="3">
        <v>2500</v>
      </c>
      <c r="P1639" s="3">
        <v>3000</v>
      </c>
      <c r="Q1639" s="3">
        <v>0</v>
      </c>
    </row>
    <row r="1640" spans="1:17" hidden="1" x14ac:dyDescent="0.3">
      <c r="A1640">
        <v>13</v>
      </c>
      <c r="B1640" t="str">
        <f>VLOOKUP($A1640,[1]LISTA!$B:$C,2,0)</f>
        <v>MARZO</v>
      </c>
      <c r="C1640" s="1">
        <v>2025</v>
      </c>
      <c r="D1640" s="1" t="str">
        <f>IF($A1640&lt;=[1]RESULTADOS!$D$6,"YTD","YTG")</f>
        <v>YTD</v>
      </c>
      <c r="E1640" t="s">
        <v>411</v>
      </c>
      <c r="F1640" t="s">
        <v>667</v>
      </c>
      <c r="G1640" t="s">
        <v>667</v>
      </c>
      <c r="H1640" t="s">
        <v>668</v>
      </c>
      <c r="I1640" t="s">
        <v>178</v>
      </c>
      <c r="J1640" t="str">
        <f>IFERROR(VLOOKUP(I1640,[1]AUTOS!$C:$G,2,0),"")</f>
        <v>VERSA</v>
      </c>
      <c r="K1640">
        <f>IFERROR(VLOOKUP(I1640,[1]AUTOS!$C:$G,3,0),"")</f>
        <v>2020</v>
      </c>
      <c r="L1640" t="str">
        <f>IFERROR(VLOOKUP(I1640,[1]AUTOS!$C:$G,4,0),"")</f>
        <v>BLANCO</v>
      </c>
      <c r="M1640" t="s">
        <v>43</v>
      </c>
      <c r="N1640" s="3">
        <v>5154.17</v>
      </c>
      <c r="O1640" s="3">
        <v>2500</v>
      </c>
      <c r="P1640" s="3">
        <v>2741</v>
      </c>
      <c r="Q1640" s="3">
        <v>500</v>
      </c>
    </row>
    <row r="1641" spans="1:17" hidden="1" x14ac:dyDescent="0.3">
      <c r="A1641">
        <v>13</v>
      </c>
      <c r="B1641" t="str">
        <f>VLOOKUP($A1641,[1]LISTA!$B:$C,2,0)</f>
        <v>MARZO</v>
      </c>
      <c r="C1641" s="1">
        <v>2025</v>
      </c>
      <c r="D1641" s="1" t="str">
        <f>IF($A1641&lt;=[1]RESULTADOS!$D$6,"YTD","YTG")</f>
        <v>YTD</v>
      </c>
      <c r="E1641" t="s">
        <v>518</v>
      </c>
      <c r="F1641" t="s">
        <v>667</v>
      </c>
      <c r="G1641" t="s">
        <v>667</v>
      </c>
      <c r="H1641" t="s">
        <v>668</v>
      </c>
      <c r="I1641" t="s">
        <v>116</v>
      </c>
      <c r="J1641" t="str">
        <f>IFERROR(VLOOKUP(I1641,[1]AUTOS!$C:$G,2,0),"")</f>
        <v>AVEO</v>
      </c>
      <c r="K1641">
        <f>IFERROR(VLOOKUP(I1641,[1]AUTOS!$C:$G,3,0),"")</f>
        <v>2022</v>
      </c>
      <c r="L1641" t="str">
        <f>IFERROR(VLOOKUP(I1641,[1]AUTOS!$C:$G,4,0),"")</f>
        <v>AZUL</v>
      </c>
      <c r="M1641" t="s">
        <v>43</v>
      </c>
      <c r="N1641" s="3">
        <v>1823.8000000000011</v>
      </c>
      <c r="O1641" s="3">
        <v>4764.6100000000006</v>
      </c>
      <c r="P1641" s="3">
        <v>4748.8000000000011</v>
      </c>
      <c r="Q1641" s="3">
        <v>0</v>
      </c>
    </row>
    <row r="1642" spans="1:17" hidden="1" x14ac:dyDescent="0.3">
      <c r="A1642">
        <v>13</v>
      </c>
      <c r="B1642" t="str">
        <f>VLOOKUP($A1642,[1]LISTA!$B:$C,2,0)</f>
        <v>MARZO</v>
      </c>
      <c r="C1642" s="1">
        <v>2025</v>
      </c>
      <c r="D1642" s="1" t="str">
        <f>IF($A1642&lt;=[1]RESULTADOS!$D$6,"YTD","YTG")</f>
        <v>YTD</v>
      </c>
      <c r="E1642" t="s">
        <v>526</v>
      </c>
      <c r="F1642" t="s">
        <v>667</v>
      </c>
      <c r="G1642" t="s">
        <v>667</v>
      </c>
      <c r="H1642" t="s">
        <v>668</v>
      </c>
      <c r="I1642" t="s">
        <v>61</v>
      </c>
      <c r="J1642" t="str">
        <f>IFERROR(VLOOKUP(I1642,[1]AUTOS!$C:$G,2,0),"")</f>
        <v>KIA RIO</v>
      </c>
      <c r="K1642">
        <f>IFERROR(VLOOKUP(I1642,[1]AUTOS!$C:$G,3,0),"")</f>
        <v>2017</v>
      </c>
      <c r="L1642" t="str">
        <f>IFERROR(VLOOKUP(I1642,[1]AUTOS!$C:$G,4,0),"")</f>
        <v>ROJO</v>
      </c>
      <c r="M1642" t="s">
        <v>43</v>
      </c>
      <c r="N1642" s="3">
        <v>4462.279999999997</v>
      </c>
      <c r="O1642" s="3">
        <v>2350</v>
      </c>
      <c r="P1642" s="3">
        <v>2850</v>
      </c>
      <c r="Q1642" s="3">
        <v>500</v>
      </c>
    </row>
    <row r="1643" spans="1:17" hidden="1" x14ac:dyDescent="0.3">
      <c r="A1643">
        <v>13</v>
      </c>
      <c r="B1643" t="str">
        <f>VLOOKUP($A1643,[1]LISTA!$B:$C,2,0)</f>
        <v>MARZO</v>
      </c>
      <c r="C1643" s="1">
        <v>2025</v>
      </c>
      <c r="D1643" s="1" t="str">
        <f>IF($A1643&lt;=[1]RESULTADOS!$D$6,"YTD","YTG")</f>
        <v>YTD</v>
      </c>
      <c r="E1643" t="s">
        <v>674</v>
      </c>
      <c r="F1643" t="s">
        <v>667</v>
      </c>
      <c r="G1643" t="s">
        <v>667</v>
      </c>
      <c r="H1643" t="s">
        <v>668</v>
      </c>
      <c r="I1643" t="s">
        <v>46</v>
      </c>
      <c r="J1643" t="str">
        <f>IFERROR(VLOOKUP(I1643,[1]AUTOS!$C:$G,2,0),"")</f>
        <v>MARCH</v>
      </c>
      <c r="K1643">
        <f>IFERROR(VLOOKUP(I1643,[1]AUTOS!$C:$G,3,0),"")</f>
        <v>2020</v>
      </c>
      <c r="L1643" t="str">
        <f>IFERROR(VLOOKUP(I1643,[1]AUTOS!$C:$G,4,0),"")</f>
        <v>TURQ</v>
      </c>
      <c r="M1643" t="s">
        <v>43</v>
      </c>
      <c r="N1643" s="3">
        <v>3161.6900000000023</v>
      </c>
      <c r="O1643" s="3">
        <v>2500</v>
      </c>
      <c r="P1643" s="3">
        <v>2500</v>
      </c>
      <c r="Q1643" s="3">
        <v>0</v>
      </c>
    </row>
    <row r="1644" spans="1:17" hidden="1" x14ac:dyDescent="0.3">
      <c r="A1644">
        <v>13</v>
      </c>
      <c r="B1644" t="str">
        <f>VLOOKUP($A1644,[1]LISTA!$B:$C,2,0)</f>
        <v>MARZO</v>
      </c>
      <c r="C1644" s="1">
        <v>2025</v>
      </c>
      <c r="D1644" s="1" t="str">
        <f>IF($A1644&lt;=[1]RESULTADOS!$D$6,"YTD","YTG")</f>
        <v>YTD</v>
      </c>
      <c r="E1644" t="s">
        <v>681</v>
      </c>
      <c r="F1644" t="s">
        <v>667</v>
      </c>
      <c r="G1644" t="s">
        <v>667</v>
      </c>
      <c r="H1644" t="s">
        <v>668</v>
      </c>
      <c r="I1644" t="s">
        <v>76</v>
      </c>
      <c r="J1644" t="str">
        <f>IFERROR(VLOOKUP(I1644,[1]AUTOS!$C:$G,2,0),"")</f>
        <v>AVEO</v>
      </c>
      <c r="K1644">
        <f>IFERROR(VLOOKUP(I1644,[1]AUTOS!$C:$G,3,0),"")</f>
        <v>2018</v>
      </c>
      <c r="L1644" t="str">
        <f>IFERROR(VLOOKUP(I1644,[1]AUTOS!$C:$G,4,0),"")</f>
        <v>GRIS</v>
      </c>
      <c r="M1644" t="s">
        <v>43</v>
      </c>
      <c r="N1644" s="3">
        <v>1999.1100000000024</v>
      </c>
      <c r="O1644" s="3">
        <v>2500</v>
      </c>
      <c r="P1644" s="3">
        <v>1999.1100000000024</v>
      </c>
      <c r="Q1644" s="3">
        <v>0</v>
      </c>
    </row>
    <row r="1645" spans="1:17" hidden="1" x14ac:dyDescent="0.3">
      <c r="A1645">
        <v>13</v>
      </c>
      <c r="B1645" t="str">
        <f>VLOOKUP($A1645,[1]LISTA!$B:$C,2,0)</f>
        <v>MARZO</v>
      </c>
      <c r="C1645" s="1">
        <v>2025</v>
      </c>
      <c r="D1645" s="1" t="str">
        <f>IF($A1645&lt;=[1]RESULTADOS!$D$6,"YTD","YTG")</f>
        <v>YTD</v>
      </c>
      <c r="E1645" t="s">
        <v>675</v>
      </c>
      <c r="F1645" t="s">
        <v>667</v>
      </c>
      <c r="G1645" t="s">
        <v>667</v>
      </c>
      <c r="H1645" t="s">
        <v>668</v>
      </c>
      <c r="I1645" t="s">
        <v>40</v>
      </c>
      <c r="J1645" t="str">
        <f>IFERROR(VLOOKUP(I1645,[1]AUTOS!$C:$G,2,0),"")</f>
        <v>VERSA</v>
      </c>
      <c r="K1645">
        <f>IFERROR(VLOOKUP(I1645,[1]AUTOS!$C:$G,3,0),"")</f>
        <v>2017</v>
      </c>
      <c r="L1645" t="str">
        <f>IFERROR(VLOOKUP(I1645,[1]AUTOS!$C:$G,4,0),"")</f>
        <v>ACERO</v>
      </c>
      <c r="M1645" t="s">
        <v>43</v>
      </c>
      <c r="N1645" s="3">
        <v>2578.8099999999995</v>
      </c>
      <c r="O1645" s="3">
        <v>2500</v>
      </c>
      <c r="P1645" s="3">
        <v>2500</v>
      </c>
      <c r="Q1645" s="3">
        <v>0</v>
      </c>
    </row>
    <row r="1646" spans="1:17" hidden="1" x14ac:dyDescent="0.3">
      <c r="A1646">
        <v>13</v>
      </c>
      <c r="B1646" t="str">
        <f>VLOOKUP($A1646,[1]LISTA!$B:$C,2,0)</f>
        <v>MARZO</v>
      </c>
      <c r="C1646" s="1">
        <v>2025</v>
      </c>
      <c r="D1646" s="1" t="str">
        <f>IF($A1646&lt;=[1]RESULTADOS!$D$6,"YTD","YTG")</f>
        <v>YTD</v>
      </c>
      <c r="E1646" t="s">
        <v>688</v>
      </c>
      <c r="F1646" t="s">
        <v>667</v>
      </c>
      <c r="G1646" t="s">
        <v>667</v>
      </c>
      <c r="H1646" t="s">
        <v>668</v>
      </c>
      <c r="I1646" t="s">
        <v>139</v>
      </c>
      <c r="J1646" t="str">
        <f>IFERROR(VLOOKUP(I1646,[1]AUTOS!$C:$G,2,0),"")</f>
        <v>SWIFT</v>
      </c>
      <c r="K1646">
        <f>IFERROR(VLOOKUP(I1646,[1]AUTOS!$C:$G,3,0),"")</f>
        <v>2017</v>
      </c>
      <c r="L1646" t="str">
        <f>IFERROR(VLOOKUP(I1646,[1]AUTOS!$C:$G,4,0),"")</f>
        <v>ROJO</v>
      </c>
      <c r="M1646" t="s">
        <v>43</v>
      </c>
      <c r="N1646" s="3">
        <v>3643.9099999999976</v>
      </c>
      <c r="O1646" s="3">
        <v>2500</v>
      </c>
      <c r="P1646" s="3">
        <v>3000</v>
      </c>
      <c r="Q1646" s="3">
        <v>500</v>
      </c>
    </row>
    <row r="1647" spans="1:17" hidden="1" x14ac:dyDescent="0.3">
      <c r="A1647">
        <v>13</v>
      </c>
      <c r="B1647" t="str">
        <f>VLOOKUP($A1647,[1]LISTA!$B:$C,2,0)</f>
        <v>MARZO</v>
      </c>
      <c r="C1647" s="1">
        <v>2025</v>
      </c>
      <c r="D1647" s="1" t="str">
        <f>IF($A1647&lt;=[1]RESULTADOS!$D$6,"YTD","YTG")</f>
        <v>YTD</v>
      </c>
      <c r="E1647" t="s">
        <v>403</v>
      </c>
      <c r="F1647" t="s">
        <v>667</v>
      </c>
      <c r="G1647" t="s">
        <v>667</v>
      </c>
      <c r="H1647" t="s">
        <v>668</v>
      </c>
      <c r="I1647" t="s">
        <v>51</v>
      </c>
      <c r="J1647" t="str">
        <f>IFERROR(VLOOKUP(I1647,[1]AUTOS!$C:$G,2,0),"")</f>
        <v>VENTO</v>
      </c>
      <c r="K1647">
        <f>IFERROR(VLOOKUP(I1647,[1]AUTOS!$C:$G,3,0),"")</f>
        <v>2017</v>
      </c>
      <c r="L1647" t="str">
        <f>IFERROR(VLOOKUP(I1647,[1]AUTOS!$C:$G,4,0),"")</f>
        <v>GRIS</v>
      </c>
      <c r="M1647" t="s">
        <v>43</v>
      </c>
      <c r="N1647" s="3">
        <v>2967.7200000000007</v>
      </c>
      <c r="O1647" s="3">
        <v>2300</v>
      </c>
      <c r="P1647" s="3">
        <v>2300</v>
      </c>
      <c r="Q1647" s="3">
        <v>0</v>
      </c>
    </row>
    <row r="1648" spans="1:17" hidden="1" x14ac:dyDescent="0.3">
      <c r="A1648">
        <v>13</v>
      </c>
      <c r="B1648" t="str">
        <f>VLOOKUP($A1648,[1]LISTA!$B:$C,2,0)</f>
        <v>MARZO</v>
      </c>
      <c r="C1648" s="1">
        <v>2025</v>
      </c>
      <c r="D1648" s="1" t="str">
        <f>IF($A1648&lt;=[1]RESULTADOS!$D$6,"YTD","YTG")</f>
        <v>YTD</v>
      </c>
      <c r="E1648" t="s">
        <v>470</v>
      </c>
      <c r="F1648" t="s">
        <v>667</v>
      </c>
      <c r="G1648" t="s">
        <v>667</v>
      </c>
      <c r="H1648" t="s">
        <v>668</v>
      </c>
      <c r="I1648" t="s">
        <v>59</v>
      </c>
      <c r="J1648" t="str">
        <f>IFERROR(VLOOKUP(I1648,[1]AUTOS!$C:$G,2,0),"")</f>
        <v>AVEO</v>
      </c>
      <c r="K1648">
        <f>IFERROR(VLOOKUP(I1648,[1]AUTOS!$C:$G,3,0),"")</f>
        <v>2019</v>
      </c>
      <c r="L1648" t="str">
        <f>IFERROR(VLOOKUP(I1648,[1]AUTOS!$C:$G,4,0),"")</f>
        <v>BLANCO</v>
      </c>
      <c r="M1648" t="s">
        <v>43</v>
      </c>
      <c r="N1648" s="3">
        <v>3203.0199999999982</v>
      </c>
      <c r="O1648" s="3">
        <v>2500</v>
      </c>
      <c r="P1648" s="3">
        <v>3000</v>
      </c>
      <c r="Q1648" s="3">
        <v>500</v>
      </c>
    </row>
    <row r="1649" spans="1:17" hidden="1" x14ac:dyDescent="0.3">
      <c r="A1649">
        <v>13</v>
      </c>
      <c r="B1649" t="str">
        <f>VLOOKUP($A1649,[1]LISTA!$B:$C,2,0)</f>
        <v>MARZO</v>
      </c>
      <c r="C1649" s="1">
        <v>2025</v>
      </c>
      <c r="D1649" s="1" t="str">
        <f>IF($A1649&lt;=[1]RESULTADOS!$D$6,"YTD","YTG")</f>
        <v>YTD</v>
      </c>
      <c r="E1649" t="s">
        <v>676</v>
      </c>
      <c r="F1649" t="s">
        <v>667</v>
      </c>
      <c r="G1649" t="s">
        <v>667</v>
      </c>
      <c r="H1649" t="s">
        <v>668</v>
      </c>
      <c r="I1649" t="s">
        <v>67</v>
      </c>
      <c r="J1649" t="str">
        <f>IFERROR(VLOOKUP(I1649,[1]AUTOS!$C:$G,2,0),"")</f>
        <v>KIA RIO</v>
      </c>
      <c r="K1649">
        <f>IFERROR(VLOOKUP(I1649,[1]AUTOS!$C:$G,3,0),"")</f>
        <v>2020</v>
      </c>
      <c r="L1649" t="str">
        <f>IFERROR(VLOOKUP(I1649,[1]AUTOS!$C:$G,4,0),"")</f>
        <v>GRIS</v>
      </c>
      <c r="M1649" t="s">
        <v>43</v>
      </c>
      <c r="N1649" s="3">
        <v>340.69999999999993</v>
      </c>
      <c r="O1649" s="3">
        <v>2500</v>
      </c>
      <c r="P1649" s="3">
        <v>340.69999999999993</v>
      </c>
      <c r="Q1649" s="3">
        <v>-2159</v>
      </c>
    </row>
    <row r="1650" spans="1:17" hidden="1" x14ac:dyDescent="0.3">
      <c r="A1650">
        <v>13</v>
      </c>
      <c r="B1650" t="str">
        <f>VLOOKUP($A1650,[1]LISTA!$B:$C,2,0)</f>
        <v>MARZO</v>
      </c>
      <c r="C1650" s="1">
        <v>2025</v>
      </c>
      <c r="D1650" s="1" t="str">
        <f>IF($A1650&lt;=[1]RESULTADOS!$D$6,"YTD","YTG")</f>
        <v>YTD</v>
      </c>
      <c r="E1650" t="s">
        <v>689</v>
      </c>
      <c r="F1650" t="s">
        <v>667</v>
      </c>
      <c r="G1650" t="s">
        <v>667</v>
      </c>
      <c r="H1650" t="s">
        <v>668</v>
      </c>
      <c r="I1650" t="s">
        <v>34</v>
      </c>
      <c r="J1650" t="str">
        <f>IFERROR(VLOOKUP(I1650,[1]AUTOS!$C:$G,2,0),"")</f>
        <v>AVEO</v>
      </c>
      <c r="K1650">
        <f>IFERROR(VLOOKUP(I1650,[1]AUTOS!$C:$G,3,0),"")</f>
        <v>2018</v>
      </c>
      <c r="L1650" t="str">
        <f>IFERROR(VLOOKUP(I1650,[1]AUTOS!$C:$G,4,0),"")</f>
        <v>ROJO</v>
      </c>
      <c r="M1650" t="s">
        <v>43</v>
      </c>
      <c r="N1650" s="3">
        <v>2400.4799999999996</v>
      </c>
      <c r="O1650" s="3">
        <v>2500</v>
      </c>
      <c r="P1650" s="3">
        <v>3000.4799999999996</v>
      </c>
      <c r="Q1650" s="3">
        <v>500</v>
      </c>
    </row>
    <row r="1651" spans="1:17" hidden="1" x14ac:dyDescent="0.3">
      <c r="A1651">
        <v>14</v>
      </c>
      <c r="B1651" t="str">
        <f>VLOOKUP($A1651,[1]LISTA!$B:$C,2,0)</f>
        <v>ABRIL</v>
      </c>
      <c r="C1651" s="1">
        <v>2025</v>
      </c>
      <c r="D1651" s="1" t="str">
        <f>IF($A1651&lt;=[1]RESULTADOS!$D$6,"YTD","YTG")</f>
        <v>YTD</v>
      </c>
      <c r="E1651" t="s">
        <v>492</v>
      </c>
      <c r="F1651" t="s">
        <v>667</v>
      </c>
      <c r="G1651" t="s">
        <v>667</v>
      </c>
      <c r="H1651" t="s">
        <v>668</v>
      </c>
      <c r="I1651" t="s">
        <v>79</v>
      </c>
      <c r="J1651" t="str">
        <f>IFERROR(VLOOKUP(I1651,[1]AUTOS!$C:$G,2,0),"")</f>
        <v>AVEO</v>
      </c>
      <c r="K1651">
        <f>IFERROR(VLOOKUP(I1651,[1]AUTOS!$C:$G,3,0),"")</f>
        <v>2021</v>
      </c>
      <c r="L1651" t="str">
        <f>IFERROR(VLOOKUP(I1651,[1]AUTOS!$C:$G,4,0),"")</f>
        <v>OCRE</v>
      </c>
      <c r="M1651" t="s">
        <v>43</v>
      </c>
      <c r="N1651" s="3">
        <v>846.86000000000024</v>
      </c>
      <c r="O1651" s="3">
        <v>2500</v>
      </c>
      <c r="P1651" s="3">
        <v>2499.86</v>
      </c>
      <c r="Q1651" s="3">
        <v>0</v>
      </c>
    </row>
    <row r="1652" spans="1:17" hidden="1" x14ac:dyDescent="0.3">
      <c r="A1652">
        <v>14</v>
      </c>
      <c r="B1652" t="str">
        <f>VLOOKUP($A1652,[1]LISTA!$B:$C,2,0)</f>
        <v>ABRIL</v>
      </c>
      <c r="C1652" s="1">
        <v>2025</v>
      </c>
      <c r="D1652" s="1" t="str">
        <f>IF($A1652&lt;=[1]RESULTADOS!$D$6,"YTD","YTG")</f>
        <v>YTD</v>
      </c>
      <c r="E1652" t="s">
        <v>671</v>
      </c>
      <c r="F1652" t="s">
        <v>667</v>
      </c>
      <c r="G1652" t="s">
        <v>667</v>
      </c>
      <c r="H1652" t="s">
        <v>668</v>
      </c>
      <c r="I1652" t="s">
        <v>162</v>
      </c>
      <c r="J1652" t="str">
        <f>IFERROR(VLOOKUP(I1652,[1]AUTOS!$C:$G,2,0),"")</f>
        <v>HYUNDAI</v>
      </c>
      <c r="K1652">
        <f>IFERROR(VLOOKUP(I1652,[1]AUTOS!$C:$G,3,0),"")</f>
        <v>2022</v>
      </c>
      <c r="L1652" t="str">
        <f>IFERROR(VLOOKUP(I1652,[1]AUTOS!$C:$G,4,0),"")</f>
        <v>PLATA</v>
      </c>
      <c r="M1652" t="s">
        <v>43</v>
      </c>
      <c r="N1652" s="3">
        <v>1986.5164000000004</v>
      </c>
      <c r="O1652" s="3">
        <v>2500</v>
      </c>
      <c r="P1652" s="3">
        <v>2761.5164000000004</v>
      </c>
      <c r="Q1652" s="3">
        <v>0</v>
      </c>
    </row>
    <row r="1653" spans="1:17" hidden="1" x14ac:dyDescent="0.3">
      <c r="A1653">
        <v>14</v>
      </c>
      <c r="B1653" t="str">
        <f>VLOOKUP($A1653,[1]LISTA!$B:$C,2,0)</f>
        <v>ABRIL</v>
      </c>
      <c r="C1653" s="1">
        <v>2025</v>
      </c>
      <c r="D1653" s="1" t="str">
        <f>IF($A1653&lt;=[1]RESULTADOS!$D$6,"YTD","YTG")</f>
        <v>YTD</v>
      </c>
      <c r="E1653" t="s">
        <v>478</v>
      </c>
      <c r="F1653" t="s">
        <v>667</v>
      </c>
      <c r="G1653" t="s">
        <v>667</v>
      </c>
      <c r="H1653" t="s">
        <v>668</v>
      </c>
      <c r="I1653" t="s">
        <v>37</v>
      </c>
      <c r="J1653" t="str">
        <f>IFERROR(VLOOKUP(I1653,[1]AUTOS!$C:$G,2,0),"")</f>
        <v>BEAT</v>
      </c>
      <c r="K1653">
        <f>IFERROR(VLOOKUP(I1653,[1]AUTOS!$C:$G,3,0),"")</f>
        <v>2020</v>
      </c>
      <c r="L1653" t="str">
        <f>IFERROR(VLOOKUP(I1653,[1]AUTOS!$C:$G,4,0),"")</f>
        <v>GRIS</v>
      </c>
      <c r="M1653" t="s">
        <v>43</v>
      </c>
      <c r="N1653" s="3">
        <v>2297.1400000000012</v>
      </c>
      <c r="O1653" s="3">
        <v>2400</v>
      </c>
      <c r="P1653" s="3">
        <v>2900.1400000000012</v>
      </c>
      <c r="Q1653" s="3">
        <v>0</v>
      </c>
    </row>
    <row r="1654" spans="1:17" hidden="1" x14ac:dyDescent="0.3">
      <c r="A1654">
        <v>14</v>
      </c>
      <c r="B1654" t="str">
        <f>VLOOKUP($A1654,[1]LISTA!$B:$C,2,0)</f>
        <v>ABRIL</v>
      </c>
      <c r="C1654" s="1">
        <v>2025</v>
      </c>
      <c r="D1654" s="1" t="str">
        <f>IF($A1654&lt;=[1]RESULTADOS!$D$6,"YTD","YTG")</f>
        <v>YTD</v>
      </c>
      <c r="E1654" t="s">
        <v>679</v>
      </c>
      <c r="F1654" t="s">
        <v>667</v>
      </c>
      <c r="G1654" t="s">
        <v>667</v>
      </c>
      <c r="H1654" t="s">
        <v>668</v>
      </c>
      <c r="I1654" t="s">
        <v>82</v>
      </c>
      <c r="J1654" t="str">
        <f>IFERROR(VLOOKUP(I1654,[1]AUTOS!$C:$G,2,0),"")</f>
        <v>AVEO</v>
      </c>
      <c r="K1654">
        <f>IFERROR(VLOOKUP(I1654,[1]AUTOS!$C:$G,3,0),"")</f>
        <v>2019</v>
      </c>
      <c r="L1654" t="str">
        <f>IFERROR(VLOOKUP(I1654,[1]AUTOS!$C:$G,4,0),"")</f>
        <v>PLATA</v>
      </c>
      <c r="M1654" t="s">
        <v>43</v>
      </c>
      <c r="N1654" s="3">
        <v>0</v>
      </c>
      <c r="O1654" s="3">
        <v>0</v>
      </c>
      <c r="P1654" s="3">
        <v>0</v>
      </c>
      <c r="Q1654" s="3">
        <v>0</v>
      </c>
    </row>
    <row r="1655" spans="1:17" x14ac:dyDescent="0.3">
      <c r="A1655">
        <v>14</v>
      </c>
      <c r="B1655" t="str">
        <f>VLOOKUP($A1655,[1]LISTA!$B:$C,2,0)</f>
        <v>ABRIL</v>
      </c>
      <c r="C1655" s="1">
        <v>2025</v>
      </c>
      <c r="D1655" s="1" t="str">
        <f>IF($A1655&lt;=[1]RESULTADOS!$D$6,"YTD","YTG")</f>
        <v>YTD</v>
      </c>
      <c r="E1655" t="s">
        <v>682</v>
      </c>
      <c r="F1655" t="s">
        <v>667</v>
      </c>
      <c r="G1655" t="s">
        <v>667</v>
      </c>
      <c r="H1655" t="s">
        <v>668</v>
      </c>
      <c r="I1655" t="s">
        <v>72</v>
      </c>
      <c r="J1655" t="str">
        <f>IFERROR(VLOOKUP(I1655,[1]AUTOS!$C:$G,2,0),"")</f>
        <v>VENTO</v>
      </c>
      <c r="K1655">
        <f>IFERROR(VLOOKUP(I1655,[1]AUTOS!$C:$G,3,0),"")</f>
        <v>2020</v>
      </c>
      <c r="L1655" t="str">
        <f>IFERROR(VLOOKUP(I1655,[1]AUTOS!$C:$G,4,0),"")</f>
        <v>GRIS</v>
      </c>
      <c r="M1655" t="s">
        <v>43</v>
      </c>
      <c r="N1655" s="3">
        <v>708.79</v>
      </c>
      <c r="O1655" s="3">
        <v>2500</v>
      </c>
      <c r="P1655" s="3">
        <v>2708.79</v>
      </c>
      <c r="Q1655" s="3">
        <v>0</v>
      </c>
    </row>
    <row r="1656" spans="1:17" hidden="1" x14ac:dyDescent="0.3">
      <c r="A1656">
        <v>14</v>
      </c>
      <c r="B1656" t="str">
        <f>VLOOKUP($A1656,[1]LISTA!$B:$C,2,0)</f>
        <v>ABRIL</v>
      </c>
      <c r="C1656" s="1">
        <v>2025</v>
      </c>
      <c r="D1656" s="1" t="str">
        <f>IF($A1656&lt;=[1]RESULTADOS!$D$6,"YTD","YTG")</f>
        <v>YTD</v>
      </c>
      <c r="E1656" t="s">
        <v>680</v>
      </c>
      <c r="F1656" t="s">
        <v>667</v>
      </c>
      <c r="G1656" t="s">
        <v>667</v>
      </c>
      <c r="H1656" t="s">
        <v>668</v>
      </c>
      <c r="I1656" t="s">
        <v>144</v>
      </c>
      <c r="J1656" t="str">
        <f>IFERROR(VLOOKUP(I1656,[1]AUTOS!$C:$G,2,0),"")</f>
        <v>VERSA</v>
      </c>
      <c r="K1656">
        <f>IFERROR(VLOOKUP(I1656,[1]AUTOS!$C:$G,3,0),"")</f>
        <v>2020</v>
      </c>
      <c r="L1656" t="str">
        <f>IFERROR(VLOOKUP(I1656,[1]AUTOS!$C:$G,4,0),"")</f>
        <v>ROJO</v>
      </c>
      <c r="M1656" t="s">
        <v>43</v>
      </c>
      <c r="N1656" s="3">
        <v>4436.3399999999983</v>
      </c>
      <c r="O1656" s="3">
        <v>2500</v>
      </c>
      <c r="P1656" s="3">
        <v>2500</v>
      </c>
      <c r="Q1656" s="3">
        <v>0</v>
      </c>
    </row>
    <row r="1657" spans="1:17" hidden="1" x14ac:dyDescent="0.3">
      <c r="A1657">
        <v>14</v>
      </c>
      <c r="B1657" t="str">
        <f>VLOOKUP($A1657,[1]LISTA!$B:$C,2,0)</f>
        <v>ABRIL</v>
      </c>
      <c r="C1657" s="1">
        <v>2025</v>
      </c>
      <c r="D1657" s="1" t="str">
        <f>IF($A1657&lt;=[1]RESULTADOS!$D$6,"YTD","YTG")</f>
        <v>YTD</v>
      </c>
      <c r="E1657" t="s">
        <v>456</v>
      </c>
      <c r="F1657" t="s">
        <v>667</v>
      </c>
      <c r="G1657" t="s">
        <v>667</v>
      </c>
      <c r="H1657" t="s">
        <v>668</v>
      </c>
      <c r="I1657" t="s">
        <v>73</v>
      </c>
      <c r="J1657" t="str">
        <f>IFERROR(VLOOKUP(I1657,[1]AUTOS!$C:$G,2,0),"")</f>
        <v>VERSA</v>
      </c>
      <c r="K1657">
        <f>IFERROR(VLOOKUP(I1657,[1]AUTOS!$C:$G,3,0),"")</f>
        <v>2023</v>
      </c>
      <c r="L1657" t="str">
        <f>IFERROR(VLOOKUP(I1657,[1]AUTOS!$C:$G,4,0),"")</f>
        <v>PLATA</v>
      </c>
      <c r="M1657" t="s">
        <v>43</v>
      </c>
      <c r="N1657" s="3">
        <v>5355.2900000000018</v>
      </c>
      <c r="O1657" s="3">
        <v>2500</v>
      </c>
      <c r="P1657" s="3">
        <v>3100</v>
      </c>
      <c r="Q1657" s="3">
        <v>0</v>
      </c>
    </row>
    <row r="1658" spans="1:17" hidden="1" x14ac:dyDescent="0.3">
      <c r="A1658">
        <v>14</v>
      </c>
      <c r="B1658" t="str">
        <f>VLOOKUP($A1658,[1]LISTA!$B:$C,2,0)</f>
        <v>ABRIL</v>
      </c>
      <c r="C1658" s="1">
        <v>2025</v>
      </c>
      <c r="D1658" s="1" t="str">
        <f>IF($A1658&lt;=[1]RESULTADOS!$D$6,"YTD","YTG")</f>
        <v>YTD</v>
      </c>
      <c r="E1658" t="s">
        <v>411</v>
      </c>
      <c r="F1658" t="s">
        <v>667</v>
      </c>
      <c r="G1658" t="s">
        <v>667</v>
      </c>
      <c r="H1658" t="s">
        <v>668</v>
      </c>
      <c r="I1658" t="s">
        <v>178</v>
      </c>
      <c r="J1658" t="str">
        <f>IFERROR(VLOOKUP(I1658,[1]AUTOS!$C:$G,2,0),"")</f>
        <v>VERSA</v>
      </c>
      <c r="K1658">
        <f>IFERROR(VLOOKUP(I1658,[1]AUTOS!$C:$G,3,0),"")</f>
        <v>2020</v>
      </c>
      <c r="L1658" t="str">
        <f>IFERROR(VLOOKUP(I1658,[1]AUTOS!$C:$G,4,0),"")</f>
        <v>BLANCO</v>
      </c>
      <c r="M1658" t="s">
        <v>43</v>
      </c>
      <c r="N1658" s="3">
        <v>5752.5400000000009</v>
      </c>
      <c r="O1658" s="3">
        <v>2500</v>
      </c>
      <c r="P1658" s="3">
        <v>2500</v>
      </c>
      <c r="Q1658" s="3">
        <v>0</v>
      </c>
    </row>
    <row r="1659" spans="1:17" hidden="1" x14ac:dyDescent="0.3">
      <c r="A1659">
        <v>14</v>
      </c>
      <c r="B1659" t="str">
        <f>VLOOKUP($A1659,[1]LISTA!$B:$C,2,0)</f>
        <v>ABRIL</v>
      </c>
      <c r="C1659" s="1">
        <v>2025</v>
      </c>
      <c r="D1659" s="1" t="str">
        <f>IF($A1659&lt;=[1]RESULTADOS!$D$6,"YTD","YTG")</f>
        <v>YTD</v>
      </c>
      <c r="E1659" t="s">
        <v>518</v>
      </c>
      <c r="F1659" t="s">
        <v>667</v>
      </c>
      <c r="G1659" t="s">
        <v>667</v>
      </c>
      <c r="H1659" t="s">
        <v>668</v>
      </c>
      <c r="I1659" t="s">
        <v>116</v>
      </c>
      <c r="J1659" t="str">
        <f>IFERROR(VLOOKUP(I1659,[1]AUTOS!$C:$G,2,0),"")</f>
        <v>AVEO</v>
      </c>
      <c r="K1659">
        <f>IFERROR(VLOOKUP(I1659,[1]AUTOS!$C:$G,3,0),"")</f>
        <v>2022</v>
      </c>
      <c r="L1659" t="str">
        <f>IFERROR(VLOOKUP(I1659,[1]AUTOS!$C:$G,4,0),"")</f>
        <v>AZUL</v>
      </c>
      <c r="M1659" t="s">
        <v>43</v>
      </c>
      <c r="N1659" s="3">
        <v>1340.8799999999999</v>
      </c>
      <c r="O1659" s="3">
        <v>1529.2399999999998</v>
      </c>
      <c r="P1659" s="3">
        <v>1542.8799999999999</v>
      </c>
      <c r="Q1659" s="3">
        <v>0</v>
      </c>
    </row>
    <row r="1660" spans="1:17" hidden="1" x14ac:dyDescent="0.3">
      <c r="A1660">
        <v>14</v>
      </c>
      <c r="B1660" t="str">
        <f>VLOOKUP($A1660,[1]LISTA!$B:$C,2,0)</f>
        <v>ABRIL</v>
      </c>
      <c r="C1660" s="1">
        <v>2025</v>
      </c>
      <c r="D1660" s="1" t="str">
        <f>IF($A1660&lt;=[1]RESULTADOS!$D$6,"YTD","YTG")</f>
        <v>YTD</v>
      </c>
      <c r="E1660" t="s">
        <v>526</v>
      </c>
      <c r="F1660" t="s">
        <v>667</v>
      </c>
      <c r="G1660" t="s">
        <v>667</v>
      </c>
      <c r="H1660" t="s">
        <v>668</v>
      </c>
      <c r="I1660" t="s">
        <v>61</v>
      </c>
      <c r="J1660" t="str">
        <f>IFERROR(VLOOKUP(I1660,[1]AUTOS!$C:$G,2,0),"")</f>
        <v>KIA RIO</v>
      </c>
      <c r="K1660">
        <f>IFERROR(VLOOKUP(I1660,[1]AUTOS!$C:$G,3,0),"")</f>
        <v>2017</v>
      </c>
      <c r="L1660" t="str">
        <f>IFERROR(VLOOKUP(I1660,[1]AUTOS!$C:$G,4,0),"")</f>
        <v>ROJO</v>
      </c>
      <c r="M1660" t="s">
        <v>43</v>
      </c>
      <c r="N1660" s="3">
        <v>6299.25</v>
      </c>
      <c r="O1660" s="3">
        <v>2350</v>
      </c>
      <c r="P1660" s="3">
        <v>2350</v>
      </c>
      <c r="Q1660" s="3">
        <v>0</v>
      </c>
    </row>
    <row r="1661" spans="1:17" hidden="1" x14ac:dyDescent="0.3">
      <c r="A1661">
        <v>14</v>
      </c>
      <c r="B1661" t="str">
        <f>VLOOKUP($A1661,[1]LISTA!$B:$C,2,0)</f>
        <v>ABRIL</v>
      </c>
      <c r="C1661" s="1">
        <v>2025</v>
      </c>
      <c r="D1661" s="1" t="str">
        <f>IF($A1661&lt;=[1]RESULTADOS!$D$6,"YTD","YTG")</f>
        <v>YTD</v>
      </c>
      <c r="E1661" t="s">
        <v>674</v>
      </c>
      <c r="F1661" t="s">
        <v>667</v>
      </c>
      <c r="G1661" t="s">
        <v>667</v>
      </c>
      <c r="H1661" t="s">
        <v>668</v>
      </c>
      <c r="I1661" t="s">
        <v>46</v>
      </c>
      <c r="J1661" t="str">
        <f>IFERROR(VLOOKUP(I1661,[1]AUTOS!$C:$G,2,0),"")</f>
        <v>MARCH</v>
      </c>
      <c r="K1661">
        <f>IFERROR(VLOOKUP(I1661,[1]AUTOS!$C:$G,3,0),"")</f>
        <v>2020</v>
      </c>
      <c r="L1661" t="str">
        <f>IFERROR(VLOOKUP(I1661,[1]AUTOS!$C:$G,4,0),"")</f>
        <v>TURQ</v>
      </c>
      <c r="M1661" t="s">
        <v>43</v>
      </c>
      <c r="N1661" s="3">
        <v>2937.6200000000003</v>
      </c>
      <c r="O1661" s="3">
        <v>2500</v>
      </c>
      <c r="P1661" s="3">
        <v>2500</v>
      </c>
      <c r="Q1661" s="3">
        <v>0</v>
      </c>
    </row>
    <row r="1662" spans="1:17" hidden="1" x14ac:dyDescent="0.3">
      <c r="A1662">
        <v>14</v>
      </c>
      <c r="B1662" t="str">
        <f>VLOOKUP($A1662,[1]LISTA!$B:$C,2,0)</f>
        <v>ABRIL</v>
      </c>
      <c r="C1662" s="1">
        <v>2025</v>
      </c>
      <c r="D1662" s="1" t="str">
        <f>IF($A1662&lt;=[1]RESULTADOS!$D$6,"YTD","YTG")</f>
        <v>YTD</v>
      </c>
      <c r="E1662" t="s">
        <v>681</v>
      </c>
      <c r="F1662" t="s">
        <v>667</v>
      </c>
      <c r="G1662" t="s">
        <v>667</v>
      </c>
      <c r="H1662" t="s">
        <v>668</v>
      </c>
      <c r="I1662" t="s">
        <v>76</v>
      </c>
      <c r="J1662" t="str">
        <f>IFERROR(VLOOKUP(I1662,[1]AUTOS!$C:$G,2,0),"")</f>
        <v>AVEO</v>
      </c>
      <c r="K1662">
        <f>IFERROR(VLOOKUP(I1662,[1]AUTOS!$C:$G,3,0),"")</f>
        <v>2018</v>
      </c>
      <c r="L1662" t="str">
        <f>IFERROR(VLOOKUP(I1662,[1]AUTOS!$C:$G,4,0),"")</f>
        <v>GRIS</v>
      </c>
      <c r="M1662" t="s">
        <v>43</v>
      </c>
      <c r="N1662" s="3">
        <v>3009.6900000000014</v>
      </c>
      <c r="O1662" s="3">
        <v>2500</v>
      </c>
      <c r="P1662" s="3">
        <v>2700.89</v>
      </c>
      <c r="Q1662" s="3">
        <v>0</v>
      </c>
    </row>
    <row r="1663" spans="1:17" hidden="1" x14ac:dyDescent="0.3">
      <c r="A1663">
        <v>14</v>
      </c>
      <c r="B1663" t="str">
        <f>VLOOKUP($A1663,[1]LISTA!$B:$C,2,0)</f>
        <v>ABRIL</v>
      </c>
      <c r="C1663" s="1">
        <v>2025</v>
      </c>
      <c r="D1663" s="1" t="str">
        <f>IF($A1663&lt;=[1]RESULTADOS!$D$6,"YTD","YTG")</f>
        <v>YTD</v>
      </c>
      <c r="E1663" t="s">
        <v>675</v>
      </c>
      <c r="F1663" t="s">
        <v>667</v>
      </c>
      <c r="G1663" t="s">
        <v>667</v>
      </c>
      <c r="H1663" t="s">
        <v>668</v>
      </c>
      <c r="I1663" t="s">
        <v>40</v>
      </c>
      <c r="J1663" t="str">
        <f>IFERROR(VLOOKUP(I1663,[1]AUTOS!$C:$G,2,0),"")</f>
        <v>VERSA</v>
      </c>
      <c r="K1663">
        <f>IFERROR(VLOOKUP(I1663,[1]AUTOS!$C:$G,3,0),"")</f>
        <v>2017</v>
      </c>
      <c r="L1663" t="str">
        <f>IFERROR(VLOOKUP(I1663,[1]AUTOS!$C:$G,4,0),"")</f>
        <v>ACERO</v>
      </c>
      <c r="M1663" t="s">
        <v>43</v>
      </c>
      <c r="N1663" s="3">
        <v>2628.190000000001</v>
      </c>
      <c r="O1663" s="3">
        <v>2500</v>
      </c>
      <c r="P1663" s="3">
        <v>2421</v>
      </c>
      <c r="Q1663" s="3">
        <v>0</v>
      </c>
    </row>
    <row r="1664" spans="1:17" hidden="1" x14ac:dyDescent="0.3">
      <c r="A1664">
        <v>14</v>
      </c>
      <c r="B1664" t="str">
        <f>VLOOKUP($A1664,[1]LISTA!$B:$C,2,0)</f>
        <v>ABRIL</v>
      </c>
      <c r="C1664" s="1">
        <v>2025</v>
      </c>
      <c r="D1664" s="1" t="str">
        <f>IF($A1664&lt;=[1]RESULTADOS!$D$6,"YTD","YTG")</f>
        <v>YTD</v>
      </c>
      <c r="E1664" t="s">
        <v>688</v>
      </c>
      <c r="F1664" t="s">
        <v>667</v>
      </c>
      <c r="G1664" t="s">
        <v>667</v>
      </c>
      <c r="H1664" t="s">
        <v>668</v>
      </c>
      <c r="I1664" t="s">
        <v>139</v>
      </c>
      <c r="J1664" t="str">
        <f>IFERROR(VLOOKUP(I1664,[1]AUTOS!$C:$G,2,0),"")</f>
        <v>SWIFT</v>
      </c>
      <c r="K1664">
        <f>IFERROR(VLOOKUP(I1664,[1]AUTOS!$C:$G,3,0),"")</f>
        <v>2017</v>
      </c>
      <c r="L1664" t="str">
        <f>IFERROR(VLOOKUP(I1664,[1]AUTOS!$C:$G,4,0),"")</f>
        <v>ROJO</v>
      </c>
      <c r="M1664" t="s">
        <v>43</v>
      </c>
      <c r="N1664" s="3">
        <v>2874.59</v>
      </c>
      <c r="O1664" s="3">
        <v>2500</v>
      </c>
      <c r="P1664" s="3">
        <v>2625</v>
      </c>
      <c r="Q1664" s="3">
        <v>0</v>
      </c>
    </row>
    <row r="1665" spans="1:17" hidden="1" x14ac:dyDescent="0.3">
      <c r="A1665">
        <v>14</v>
      </c>
      <c r="B1665" t="str">
        <f>VLOOKUP($A1665,[1]LISTA!$B:$C,2,0)</f>
        <v>ABRIL</v>
      </c>
      <c r="C1665" s="1">
        <v>2025</v>
      </c>
      <c r="D1665" s="1" t="str">
        <f>IF($A1665&lt;=[1]RESULTADOS!$D$6,"YTD","YTG")</f>
        <v>YTD</v>
      </c>
      <c r="E1665" t="s">
        <v>403</v>
      </c>
      <c r="F1665" t="s">
        <v>667</v>
      </c>
      <c r="G1665" t="s">
        <v>667</v>
      </c>
      <c r="H1665" t="s">
        <v>668</v>
      </c>
      <c r="I1665" t="s">
        <v>51</v>
      </c>
      <c r="J1665" t="str">
        <f>IFERROR(VLOOKUP(I1665,[1]AUTOS!$C:$G,2,0),"")</f>
        <v>VENTO</v>
      </c>
      <c r="K1665">
        <f>IFERROR(VLOOKUP(I1665,[1]AUTOS!$C:$G,3,0),"")</f>
        <v>2017</v>
      </c>
      <c r="L1665" t="str">
        <f>IFERROR(VLOOKUP(I1665,[1]AUTOS!$C:$G,4,0),"")</f>
        <v>GRIS</v>
      </c>
      <c r="M1665" t="s">
        <v>43</v>
      </c>
      <c r="N1665" s="3">
        <v>2364.0699999999979</v>
      </c>
      <c r="O1665" s="3">
        <v>2300</v>
      </c>
      <c r="P1665" s="3">
        <v>2300</v>
      </c>
      <c r="Q1665" s="3">
        <v>0</v>
      </c>
    </row>
    <row r="1666" spans="1:17" hidden="1" x14ac:dyDescent="0.3">
      <c r="A1666">
        <v>14</v>
      </c>
      <c r="B1666" t="str">
        <f>VLOOKUP($A1666,[1]LISTA!$B:$C,2,0)</f>
        <v>ABRIL</v>
      </c>
      <c r="C1666" s="1">
        <v>2025</v>
      </c>
      <c r="D1666" s="1" t="str">
        <f>IF($A1666&lt;=[1]RESULTADOS!$D$6,"YTD","YTG")</f>
        <v>YTD</v>
      </c>
      <c r="E1666" t="s">
        <v>470</v>
      </c>
      <c r="F1666" t="s">
        <v>667</v>
      </c>
      <c r="G1666" t="s">
        <v>667</v>
      </c>
      <c r="H1666" t="s">
        <v>668</v>
      </c>
      <c r="I1666" t="s">
        <v>59</v>
      </c>
      <c r="J1666" t="str">
        <f>IFERROR(VLOOKUP(I1666,[1]AUTOS!$C:$G,2,0),"")</f>
        <v>AVEO</v>
      </c>
      <c r="K1666">
        <f>IFERROR(VLOOKUP(I1666,[1]AUTOS!$C:$G,3,0),"")</f>
        <v>2019</v>
      </c>
      <c r="L1666" t="str">
        <f>IFERROR(VLOOKUP(I1666,[1]AUTOS!$C:$G,4,0),"")</f>
        <v>BLANCO</v>
      </c>
      <c r="M1666" t="s">
        <v>43</v>
      </c>
      <c r="N1666" s="3">
        <v>3506.1900000000023</v>
      </c>
      <c r="O1666" s="3">
        <v>2500</v>
      </c>
      <c r="P1666" s="3">
        <v>2500</v>
      </c>
      <c r="Q1666" s="3">
        <v>0</v>
      </c>
    </row>
    <row r="1667" spans="1:17" hidden="1" x14ac:dyDescent="0.3">
      <c r="A1667">
        <v>14</v>
      </c>
      <c r="B1667" t="str">
        <f>VLOOKUP($A1667,[1]LISTA!$B:$C,2,0)</f>
        <v>ABRIL</v>
      </c>
      <c r="C1667" s="1">
        <v>2025</v>
      </c>
      <c r="D1667" s="1" t="str">
        <f>IF($A1667&lt;=[1]RESULTADOS!$D$6,"YTD","YTG")</f>
        <v>YTD</v>
      </c>
      <c r="E1667" t="s">
        <v>689</v>
      </c>
      <c r="F1667" t="s">
        <v>667</v>
      </c>
      <c r="G1667" t="s">
        <v>667</v>
      </c>
      <c r="H1667" t="s">
        <v>668</v>
      </c>
      <c r="I1667" t="s">
        <v>34</v>
      </c>
      <c r="J1667" t="str">
        <f>IFERROR(VLOOKUP(I1667,[1]AUTOS!$C:$G,2,0),"")</f>
        <v>AVEO</v>
      </c>
      <c r="K1667">
        <f>IFERROR(VLOOKUP(I1667,[1]AUTOS!$C:$G,3,0),"")</f>
        <v>2018</v>
      </c>
      <c r="L1667" t="str">
        <f>IFERROR(VLOOKUP(I1667,[1]AUTOS!$C:$G,4,0),"")</f>
        <v>ROJO</v>
      </c>
      <c r="M1667" t="s">
        <v>43</v>
      </c>
      <c r="N1667" s="3">
        <v>5153.5499999999993</v>
      </c>
      <c r="O1667" s="3">
        <v>2500</v>
      </c>
      <c r="P1667" s="3">
        <v>2800</v>
      </c>
      <c r="Q1667" s="3">
        <v>0</v>
      </c>
    </row>
    <row r="1668" spans="1:17" hidden="1" x14ac:dyDescent="0.3">
      <c r="A1668">
        <v>15</v>
      </c>
      <c r="B1668" t="str">
        <f>VLOOKUP($A1668,[1]LISTA!$B:$C,2,0)</f>
        <v>ABRIL</v>
      </c>
      <c r="C1668" s="1">
        <v>2025</v>
      </c>
      <c r="D1668" s="1" t="str">
        <f>IF($A1668&lt;=[1]RESULTADOS!$D$6,"YTD","YTG")</f>
        <v>YTD</v>
      </c>
      <c r="E1668" t="s">
        <v>492</v>
      </c>
      <c r="F1668" t="s">
        <v>667</v>
      </c>
      <c r="G1668" t="s">
        <v>667</v>
      </c>
      <c r="H1668" t="s">
        <v>668</v>
      </c>
      <c r="I1668" t="s">
        <v>79</v>
      </c>
      <c r="J1668" t="str">
        <f>IFERROR(VLOOKUP(I1668,[1]AUTOS!$C:$G,2,0),"")</f>
        <v>AVEO</v>
      </c>
      <c r="K1668">
        <f>IFERROR(VLOOKUP(I1668,[1]AUTOS!$C:$G,3,0),"")</f>
        <v>2021</v>
      </c>
      <c r="L1668" t="str">
        <f>IFERROR(VLOOKUP(I1668,[1]AUTOS!$C:$G,4,0),"")</f>
        <v>OCRE</v>
      </c>
      <c r="M1668" t="s">
        <v>43</v>
      </c>
      <c r="N1668" s="3">
        <v>791</v>
      </c>
      <c r="O1668" s="3">
        <v>2500</v>
      </c>
      <c r="P1668" s="3">
        <v>2500</v>
      </c>
      <c r="Q1668" s="3">
        <v>0</v>
      </c>
    </row>
    <row r="1669" spans="1:17" hidden="1" x14ac:dyDescent="0.3">
      <c r="A1669">
        <v>15</v>
      </c>
      <c r="B1669" t="str">
        <f>VLOOKUP($A1669,[1]LISTA!$B:$C,2,0)</f>
        <v>ABRIL</v>
      </c>
      <c r="C1669" s="1">
        <v>2025</v>
      </c>
      <c r="D1669" s="1" t="str">
        <f>IF($A1669&lt;=[1]RESULTADOS!$D$6,"YTD","YTG")</f>
        <v>YTD</v>
      </c>
      <c r="E1669" t="s">
        <v>671</v>
      </c>
      <c r="F1669" t="s">
        <v>667</v>
      </c>
      <c r="G1669" t="s">
        <v>667</v>
      </c>
      <c r="H1669" t="s">
        <v>668</v>
      </c>
      <c r="I1669" t="s">
        <v>162</v>
      </c>
      <c r="J1669" t="str">
        <f>IFERROR(VLOOKUP(I1669,[1]AUTOS!$C:$G,2,0),"")</f>
        <v>HYUNDAI</v>
      </c>
      <c r="K1669">
        <f>IFERROR(VLOOKUP(I1669,[1]AUTOS!$C:$G,3,0),"")</f>
        <v>2022</v>
      </c>
      <c r="L1669" t="str">
        <f>IFERROR(VLOOKUP(I1669,[1]AUTOS!$C:$G,4,0),"")</f>
        <v>PLATA</v>
      </c>
      <c r="M1669" t="s">
        <v>43</v>
      </c>
      <c r="N1669" s="3">
        <v>2296</v>
      </c>
      <c r="O1669" s="3">
        <v>2500</v>
      </c>
      <c r="P1669" s="3">
        <v>2572</v>
      </c>
      <c r="Q1669" s="3">
        <v>0</v>
      </c>
    </row>
    <row r="1670" spans="1:17" hidden="1" x14ac:dyDescent="0.3">
      <c r="A1670">
        <v>15</v>
      </c>
      <c r="B1670" t="str">
        <f>VLOOKUP($A1670,[1]LISTA!$B:$C,2,0)</f>
        <v>ABRIL</v>
      </c>
      <c r="C1670" s="1">
        <v>2025</v>
      </c>
      <c r="D1670" s="1" t="str">
        <f>IF($A1670&lt;=[1]RESULTADOS!$D$6,"YTD","YTG")</f>
        <v>YTD</v>
      </c>
      <c r="E1670" t="s">
        <v>478</v>
      </c>
      <c r="F1670" t="s">
        <v>667</v>
      </c>
      <c r="G1670" t="s">
        <v>667</v>
      </c>
      <c r="H1670" t="s">
        <v>668</v>
      </c>
      <c r="I1670" t="s">
        <v>37</v>
      </c>
      <c r="J1670" t="str">
        <f>IFERROR(VLOOKUP(I1670,[1]AUTOS!$C:$G,2,0),"")</f>
        <v>BEAT</v>
      </c>
      <c r="K1670">
        <f>IFERROR(VLOOKUP(I1670,[1]AUTOS!$C:$G,3,0),"")</f>
        <v>2020</v>
      </c>
      <c r="L1670" t="str">
        <f>IFERROR(VLOOKUP(I1670,[1]AUTOS!$C:$G,4,0),"")</f>
        <v>GRIS</v>
      </c>
      <c r="M1670" t="s">
        <v>43</v>
      </c>
      <c r="N1670" s="3">
        <v>1295</v>
      </c>
      <c r="O1670" s="3">
        <v>2500</v>
      </c>
      <c r="P1670" s="3">
        <v>2995</v>
      </c>
      <c r="Q1670" s="3">
        <v>500</v>
      </c>
    </row>
    <row r="1671" spans="1:17" hidden="1" x14ac:dyDescent="0.3">
      <c r="A1671">
        <v>15</v>
      </c>
      <c r="B1671" t="str">
        <f>VLOOKUP($A1671,[1]LISTA!$B:$C,2,0)</f>
        <v>ABRIL</v>
      </c>
      <c r="C1671" s="1">
        <v>2025</v>
      </c>
      <c r="D1671" s="1" t="str">
        <f>IF($A1671&lt;=[1]RESULTADOS!$D$6,"YTD","YTG")</f>
        <v>YTD</v>
      </c>
      <c r="E1671" t="s">
        <v>690</v>
      </c>
      <c r="F1671" t="s">
        <v>667</v>
      </c>
      <c r="G1671" t="s">
        <v>667</v>
      </c>
      <c r="H1671" t="s">
        <v>668</v>
      </c>
      <c r="I1671" t="s">
        <v>82</v>
      </c>
      <c r="J1671" t="str">
        <f>IFERROR(VLOOKUP(I1671,[1]AUTOS!$C:$G,2,0),"")</f>
        <v>AVEO</v>
      </c>
      <c r="K1671">
        <f>IFERROR(VLOOKUP(I1671,[1]AUTOS!$C:$G,3,0),"")</f>
        <v>2019</v>
      </c>
      <c r="L1671" t="str">
        <f>IFERROR(VLOOKUP(I1671,[1]AUTOS!$C:$G,4,0),"")</f>
        <v>PLATA</v>
      </c>
      <c r="M1671" t="s">
        <v>43</v>
      </c>
      <c r="N1671" s="3">
        <v>1360</v>
      </c>
      <c r="O1671" s="3">
        <v>1249</v>
      </c>
      <c r="P1671" s="3">
        <v>1249</v>
      </c>
      <c r="Q1671" s="3">
        <v>0</v>
      </c>
    </row>
    <row r="1672" spans="1:17" hidden="1" x14ac:dyDescent="0.3">
      <c r="A1672">
        <v>15</v>
      </c>
      <c r="B1672" t="str">
        <f>VLOOKUP($A1672,[1]LISTA!$B:$C,2,0)</f>
        <v>ABRIL</v>
      </c>
      <c r="C1672" s="1">
        <v>2025</v>
      </c>
      <c r="D1672" s="1" t="str">
        <f>IF($A1672&lt;=[1]RESULTADOS!$D$6,"YTD","YTG")</f>
        <v>YTD</v>
      </c>
      <c r="E1672" t="s">
        <v>679</v>
      </c>
      <c r="F1672" t="s">
        <v>667</v>
      </c>
      <c r="G1672" t="s">
        <v>667</v>
      </c>
      <c r="H1672" t="s">
        <v>668</v>
      </c>
      <c r="I1672" t="s">
        <v>82</v>
      </c>
      <c r="J1672" t="str">
        <f>IFERROR(VLOOKUP(I1672,[1]AUTOS!$C:$G,2,0),"")</f>
        <v>AVEO</v>
      </c>
      <c r="K1672">
        <f>IFERROR(VLOOKUP(I1672,[1]AUTOS!$C:$G,3,0),"")</f>
        <v>2019</v>
      </c>
      <c r="L1672" t="str">
        <f>IFERROR(VLOOKUP(I1672,[1]AUTOS!$C:$G,4,0),"")</f>
        <v>PLATA</v>
      </c>
      <c r="M1672" t="s">
        <v>43</v>
      </c>
      <c r="N1672" s="3">
        <v>0</v>
      </c>
      <c r="O1672" s="3">
        <v>0</v>
      </c>
      <c r="P1672" s="3">
        <v>0</v>
      </c>
      <c r="Q1672" s="3">
        <v>0</v>
      </c>
    </row>
    <row r="1673" spans="1:17" x14ac:dyDescent="0.3">
      <c r="A1673">
        <v>15</v>
      </c>
      <c r="B1673" t="str">
        <f>VLOOKUP($A1673,[1]LISTA!$B:$C,2,0)</f>
        <v>ABRIL</v>
      </c>
      <c r="C1673" s="1">
        <v>2025</v>
      </c>
      <c r="D1673" s="1" t="str">
        <f>IF($A1673&lt;=[1]RESULTADOS!$D$6,"YTD","YTG")</f>
        <v>YTD</v>
      </c>
      <c r="E1673" t="s">
        <v>682</v>
      </c>
      <c r="F1673" t="s">
        <v>667</v>
      </c>
      <c r="G1673" t="s">
        <v>667</v>
      </c>
      <c r="H1673" t="s">
        <v>668</v>
      </c>
      <c r="I1673" t="s">
        <v>72</v>
      </c>
      <c r="J1673" t="str">
        <f>IFERROR(VLOOKUP(I1673,[1]AUTOS!$C:$G,2,0),"")</f>
        <v>VENTO</v>
      </c>
      <c r="K1673">
        <f>IFERROR(VLOOKUP(I1673,[1]AUTOS!$C:$G,3,0),"")</f>
        <v>2020</v>
      </c>
      <c r="L1673" t="str">
        <f>IFERROR(VLOOKUP(I1673,[1]AUTOS!$C:$G,4,0),"")</f>
        <v>GRIS</v>
      </c>
      <c r="M1673" t="s">
        <v>43</v>
      </c>
      <c r="N1673" s="3">
        <v>2176</v>
      </c>
      <c r="O1673" s="3">
        <v>2500</v>
      </c>
      <c r="P1673" s="3">
        <v>3776</v>
      </c>
      <c r="Q1673" s="3">
        <v>500</v>
      </c>
    </row>
    <row r="1674" spans="1:17" hidden="1" x14ac:dyDescent="0.3">
      <c r="A1674">
        <v>15</v>
      </c>
      <c r="B1674" t="str">
        <f>VLOOKUP($A1674,[1]LISTA!$B:$C,2,0)</f>
        <v>ABRIL</v>
      </c>
      <c r="C1674" s="1">
        <v>2025</v>
      </c>
      <c r="D1674" s="1" t="str">
        <f>IF($A1674&lt;=[1]RESULTADOS!$D$6,"YTD","YTG")</f>
        <v>YTD</v>
      </c>
      <c r="E1674" t="s">
        <v>680</v>
      </c>
      <c r="F1674" t="s">
        <v>667</v>
      </c>
      <c r="G1674" t="s">
        <v>667</v>
      </c>
      <c r="H1674" t="s">
        <v>668</v>
      </c>
      <c r="I1674" t="s">
        <v>144</v>
      </c>
      <c r="J1674" t="str">
        <f>IFERROR(VLOOKUP(I1674,[1]AUTOS!$C:$G,2,0),"")</f>
        <v>VERSA</v>
      </c>
      <c r="K1674">
        <f>IFERROR(VLOOKUP(I1674,[1]AUTOS!$C:$G,3,0),"")</f>
        <v>2020</v>
      </c>
      <c r="L1674" t="str">
        <f>IFERROR(VLOOKUP(I1674,[1]AUTOS!$C:$G,4,0),"")</f>
        <v>ROJO</v>
      </c>
      <c r="M1674" t="s">
        <v>43</v>
      </c>
      <c r="N1674" s="3">
        <v>3164</v>
      </c>
      <c r="O1674" s="3">
        <v>2500</v>
      </c>
      <c r="P1674" s="3">
        <v>2500</v>
      </c>
      <c r="Q1674" s="3">
        <v>0</v>
      </c>
    </row>
    <row r="1675" spans="1:17" hidden="1" x14ac:dyDescent="0.3">
      <c r="A1675">
        <v>15</v>
      </c>
      <c r="B1675" t="str">
        <f>VLOOKUP($A1675,[1]LISTA!$B:$C,2,0)</f>
        <v>ABRIL</v>
      </c>
      <c r="C1675" s="1">
        <v>2025</v>
      </c>
      <c r="D1675" s="1" t="str">
        <f>IF($A1675&lt;=[1]RESULTADOS!$D$6,"YTD","YTG")</f>
        <v>YTD</v>
      </c>
      <c r="E1675" t="s">
        <v>456</v>
      </c>
      <c r="F1675" t="s">
        <v>667</v>
      </c>
      <c r="G1675" t="s">
        <v>667</v>
      </c>
      <c r="H1675" t="s">
        <v>668</v>
      </c>
      <c r="I1675" t="s">
        <v>73</v>
      </c>
      <c r="J1675" t="str">
        <f>IFERROR(VLOOKUP(I1675,[1]AUTOS!$C:$G,2,0),"")</f>
        <v>VERSA</v>
      </c>
      <c r="K1675">
        <f>IFERROR(VLOOKUP(I1675,[1]AUTOS!$C:$G,3,0),"")</f>
        <v>2023</v>
      </c>
      <c r="L1675" t="str">
        <f>IFERROR(VLOOKUP(I1675,[1]AUTOS!$C:$G,4,0),"")</f>
        <v>PLATA</v>
      </c>
      <c r="M1675" t="s">
        <v>43</v>
      </c>
      <c r="N1675" s="3">
        <v>4647</v>
      </c>
      <c r="O1675" s="3">
        <v>2500</v>
      </c>
      <c r="P1675" s="3">
        <v>4647</v>
      </c>
      <c r="Q1675" s="3">
        <v>0</v>
      </c>
    </row>
    <row r="1676" spans="1:17" hidden="1" x14ac:dyDescent="0.3">
      <c r="A1676">
        <v>15</v>
      </c>
      <c r="B1676" t="str">
        <f>VLOOKUP($A1676,[1]LISTA!$B:$C,2,0)</f>
        <v>ABRIL</v>
      </c>
      <c r="C1676" s="1">
        <v>2025</v>
      </c>
      <c r="D1676" s="1" t="str">
        <f>IF($A1676&lt;=[1]RESULTADOS!$D$6,"YTD","YTG")</f>
        <v>YTD</v>
      </c>
      <c r="E1676" t="s">
        <v>411</v>
      </c>
      <c r="F1676" t="s">
        <v>667</v>
      </c>
      <c r="G1676" t="s">
        <v>667</v>
      </c>
      <c r="H1676" t="s">
        <v>668</v>
      </c>
      <c r="I1676" t="s">
        <v>178</v>
      </c>
      <c r="J1676" t="str">
        <f>IFERROR(VLOOKUP(I1676,[1]AUTOS!$C:$G,2,0),"")</f>
        <v>VERSA</v>
      </c>
      <c r="K1676">
        <f>IFERROR(VLOOKUP(I1676,[1]AUTOS!$C:$G,3,0),"")</f>
        <v>2020</v>
      </c>
      <c r="L1676" t="str">
        <f>IFERROR(VLOOKUP(I1676,[1]AUTOS!$C:$G,4,0),"")</f>
        <v>BLANCO</v>
      </c>
      <c r="M1676" t="s">
        <v>43</v>
      </c>
      <c r="N1676" s="3">
        <v>6276</v>
      </c>
      <c r="O1676" s="3">
        <v>2500</v>
      </c>
      <c r="P1676" s="3">
        <v>3000</v>
      </c>
      <c r="Q1676" s="3">
        <v>500</v>
      </c>
    </row>
    <row r="1677" spans="1:17" hidden="1" x14ac:dyDescent="0.3">
      <c r="A1677">
        <v>15</v>
      </c>
      <c r="B1677" t="str">
        <f>VLOOKUP($A1677,[1]LISTA!$B:$C,2,0)</f>
        <v>ABRIL</v>
      </c>
      <c r="C1677" s="1">
        <v>2025</v>
      </c>
      <c r="D1677" s="1" t="str">
        <f>IF($A1677&lt;=[1]RESULTADOS!$D$6,"YTD","YTG")</f>
        <v>YTD</v>
      </c>
      <c r="E1677" t="s">
        <v>518</v>
      </c>
      <c r="F1677" t="s">
        <v>667</v>
      </c>
      <c r="G1677" t="s">
        <v>667</v>
      </c>
      <c r="H1677" t="s">
        <v>668</v>
      </c>
      <c r="I1677" t="s">
        <v>116</v>
      </c>
      <c r="J1677" t="str">
        <f>IFERROR(VLOOKUP(I1677,[1]AUTOS!$C:$G,2,0),"")</f>
        <v>AVEO</v>
      </c>
      <c r="K1677">
        <f>IFERROR(VLOOKUP(I1677,[1]AUTOS!$C:$G,3,0),"")</f>
        <v>2022</v>
      </c>
      <c r="L1677" t="str">
        <f>IFERROR(VLOOKUP(I1677,[1]AUTOS!$C:$G,4,0),"")</f>
        <v>AZUL</v>
      </c>
      <c r="M1677" t="s">
        <v>43</v>
      </c>
      <c r="N1677" s="3">
        <v>0</v>
      </c>
      <c r="O1677" s="3">
        <v>450</v>
      </c>
      <c r="P1677" s="3">
        <v>450</v>
      </c>
      <c r="Q1677" s="3">
        <v>0</v>
      </c>
    </row>
    <row r="1678" spans="1:17" hidden="1" x14ac:dyDescent="0.3">
      <c r="A1678">
        <v>15</v>
      </c>
      <c r="B1678" t="str">
        <f>VLOOKUP($A1678,[1]LISTA!$B:$C,2,0)</f>
        <v>ABRIL</v>
      </c>
      <c r="C1678" s="1">
        <v>2025</v>
      </c>
      <c r="D1678" s="1" t="str">
        <f>IF($A1678&lt;=[1]RESULTADOS!$D$6,"YTD","YTG")</f>
        <v>YTD</v>
      </c>
      <c r="E1678" t="s">
        <v>518</v>
      </c>
      <c r="F1678" t="s">
        <v>667</v>
      </c>
      <c r="G1678" t="s">
        <v>667</v>
      </c>
      <c r="H1678" t="s">
        <v>668</v>
      </c>
      <c r="I1678" t="s">
        <v>116</v>
      </c>
      <c r="J1678" t="str">
        <f>IFERROR(VLOOKUP(I1678,[1]AUTOS!$C:$G,2,0),"")</f>
        <v>AVEO</v>
      </c>
      <c r="K1678">
        <f>IFERROR(VLOOKUP(I1678,[1]AUTOS!$C:$G,3,0),"")</f>
        <v>2022</v>
      </c>
      <c r="L1678" t="str">
        <f>IFERROR(VLOOKUP(I1678,[1]AUTOS!$C:$G,4,0),"")</f>
        <v>AZUL</v>
      </c>
      <c r="M1678" t="s">
        <v>43</v>
      </c>
      <c r="N1678" s="3">
        <v>328</v>
      </c>
      <c r="O1678" s="3">
        <v>0</v>
      </c>
      <c r="P1678" s="3">
        <v>2</v>
      </c>
      <c r="Q1678" s="3">
        <v>0</v>
      </c>
    </row>
    <row r="1679" spans="1:17" hidden="1" x14ac:dyDescent="0.3">
      <c r="A1679">
        <v>15</v>
      </c>
      <c r="B1679" t="str">
        <f>VLOOKUP($A1679,[1]LISTA!$B:$C,2,0)</f>
        <v>ABRIL</v>
      </c>
      <c r="C1679" s="1">
        <v>2025</v>
      </c>
      <c r="D1679" s="1" t="str">
        <f>IF($A1679&lt;=[1]RESULTADOS!$D$6,"YTD","YTG")</f>
        <v>YTD</v>
      </c>
      <c r="E1679" t="s">
        <v>526</v>
      </c>
      <c r="F1679" t="s">
        <v>667</v>
      </c>
      <c r="G1679" t="s">
        <v>667</v>
      </c>
      <c r="H1679" t="s">
        <v>668</v>
      </c>
      <c r="I1679" t="s">
        <v>61</v>
      </c>
      <c r="J1679" t="str">
        <f>IFERROR(VLOOKUP(I1679,[1]AUTOS!$C:$G,2,0),"")</f>
        <v>KIA RIO</v>
      </c>
      <c r="K1679">
        <f>IFERROR(VLOOKUP(I1679,[1]AUTOS!$C:$G,3,0),"")</f>
        <v>2017</v>
      </c>
      <c r="L1679" t="str">
        <f>IFERROR(VLOOKUP(I1679,[1]AUTOS!$C:$G,4,0),"")</f>
        <v>ROJO</v>
      </c>
      <c r="M1679" t="s">
        <v>43</v>
      </c>
      <c r="N1679" s="3">
        <v>2952.52</v>
      </c>
      <c r="O1679" s="3">
        <v>2350</v>
      </c>
      <c r="P1679" s="3">
        <v>2350</v>
      </c>
      <c r="Q1679" s="3">
        <v>0</v>
      </c>
    </row>
    <row r="1680" spans="1:17" hidden="1" x14ac:dyDescent="0.3">
      <c r="A1680">
        <v>15</v>
      </c>
      <c r="B1680" t="str">
        <f>VLOOKUP($A1680,[1]LISTA!$B:$C,2,0)</f>
        <v>ABRIL</v>
      </c>
      <c r="C1680" s="1">
        <v>2025</v>
      </c>
      <c r="D1680" s="1" t="str">
        <f>IF($A1680&lt;=[1]RESULTADOS!$D$6,"YTD","YTG")</f>
        <v>YTD</v>
      </c>
      <c r="E1680" t="s">
        <v>674</v>
      </c>
      <c r="F1680" t="s">
        <v>667</v>
      </c>
      <c r="G1680" t="s">
        <v>667</v>
      </c>
      <c r="H1680" t="s">
        <v>668</v>
      </c>
      <c r="I1680" t="s">
        <v>46</v>
      </c>
      <c r="J1680" t="str">
        <f>IFERROR(VLOOKUP(I1680,[1]AUTOS!$C:$G,2,0),"")</f>
        <v>MARCH</v>
      </c>
      <c r="K1680">
        <f>IFERROR(VLOOKUP(I1680,[1]AUTOS!$C:$G,3,0),"")</f>
        <v>2020</v>
      </c>
      <c r="L1680" t="str">
        <f>IFERROR(VLOOKUP(I1680,[1]AUTOS!$C:$G,4,0),"")</f>
        <v>TURQ</v>
      </c>
      <c r="M1680" t="s">
        <v>43</v>
      </c>
      <c r="N1680" s="3">
        <v>1093</v>
      </c>
      <c r="O1680" s="3">
        <v>2500</v>
      </c>
      <c r="P1680" s="3">
        <v>1093</v>
      </c>
      <c r="Q1680" s="3">
        <v>0</v>
      </c>
    </row>
    <row r="1681" spans="1:17" hidden="1" x14ac:dyDescent="0.3">
      <c r="A1681">
        <v>15</v>
      </c>
      <c r="B1681" t="str">
        <f>VLOOKUP($A1681,[1]LISTA!$B:$C,2,0)</f>
        <v>ABRIL</v>
      </c>
      <c r="C1681" s="1">
        <v>2025</v>
      </c>
      <c r="D1681" s="1" t="str">
        <f>IF($A1681&lt;=[1]RESULTADOS!$D$6,"YTD","YTG")</f>
        <v>YTD</v>
      </c>
      <c r="E1681" t="s">
        <v>681</v>
      </c>
      <c r="F1681" t="s">
        <v>667</v>
      </c>
      <c r="G1681" t="s">
        <v>667</v>
      </c>
      <c r="H1681" t="s">
        <v>668</v>
      </c>
      <c r="I1681" t="s">
        <v>76</v>
      </c>
      <c r="J1681" t="str">
        <f>IFERROR(VLOOKUP(I1681,[1]AUTOS!$C:$G,2,0),"")</f>
        <v>AVEO</v>
      </c>
      <c r="K1681">
        <f>IFERROR(VLOOKUP(I1681,[1]AUTOS!$C:$G,3,0),"")</f>
        <v>2018</v>
      </c>
      <c r="L1681" t="str">
        <f>IFERROR(VLOOKUP(I1681,[1]AUTOS!$C:$G,4,0),"")</f>
        <v>GRIS</v>
      </c>
      <c r="M1681" t="s">
        <v>43</v>
      </c>
      <c r="N1681" s="3">
        <v>2309</v>
      </c>
      <c r="O1681" s="3">
        <v>2500</v>
      </c>
      <c r="P1681" s="3">
        <v>2309</v>
      </c>
      <c r="Q1681" s="3">
        <v>0</v>
      </c>
    </row>
    <row r="1682" spans="1:17" hidden="1" x14ac:dyDescent="0.3">
      <c r="A1682">
        <v>15</v>
      </c>
      <c r="B1682" t="str">
        <f>VLOOKUP($A1682,[1]LISTA!$B:$C,2,0)</f>
        <v>ABRIL</v>
      </c>
      <c r="C1682" s="1">
        <v>2025</v>
      </c>
      <c r="D1682" s="1" t="str">
        <f>IF($A1682&lt;=[1]RESULTADOS!$D$6,"YTD","YTG")</f>
        <v>YTD</v>
      </c>
      <c r="E1682" t="s">
        <v>675</v>
      </c>
      <c r="F1682" t="s">
        <v>667</v>
      </c>
      <c r="G1682" t="s">
        <v>667</v>
      </c>
      <c r="H1682" t="s">
        <v>668</v>
      </c>
      <c r="I1682" t="s">
        <v>40</v>
      </c>
      <c r="J1682" t="str">
        <f>IFERROR(VLOOKUP(I1682,[1]AUTOS!$C:$G,2,0),"")</f>
        <v>VERSA</v>
      </c>
      <c r="K1682">
        <f>IFERROR(VLOOKUP(I1682,[1]AUTOS!$C:$G,3,0),"")</f>
        <v>2017</v>
      </c>
      <c r="L1682" t="str">
        <f>IFERROR(VLOOKUP(I1682,[1]AUTOS!$C:$G,4,0),"")</f>
        <v>ACERO</v>
      </c>
      <c r="M1682" t="s">
        <v>43</v>
      </c>
      <c r="N1682" s="3">
        <v>2016</v>
      </c>
      <c r="O1682" s="3">
        <v>2500</v>
      </c>
      <c r="P1682" s="3">
        <v>2500</v>
      </c>
      <c r="Q1682" s="3">
        <v>0</v>
      </c>
    </row>
    <row r="1683" spans="1:17" hidden="1" x14ac:dyDescent="0.3">
      <c r="A1683">
        <v>15</v>
      </c>
      <c r="B1683" t="str">
        <f>VLOOKUP($A1683,[1]LISTA!$B:$C,2,0)</f>
        <v>ABRIL</v>
      </c>
      <c r="C1683" s="1">
        <v>2025</v>
      </c>
      <c r="D1683" s="1" t="str">
        <f>IF($A1683&lt;=[1]RESULTADOS!$D$6,"YTD","YTG")</f>
        <v>YTD</v>
      </c>
      <c r="E1683" t="s">
        <v>688</v>
      </c>
      <c r="F1683" t="s">
        <v>667</v>
      </c>
      <c r="G1683" t="s">
        <v>667</v>
      </c>
      <c r="H1683" t="s">
        <v>668</v>
      </c>
      <c r="I1683" t="s">
        <v>139</v>
      </c>
      <c r="J1683" t="str">
        <f>IFERROR(VLOOKUP(I1683,[1]AUTOS!$C:$G,2,0),"")</f>
        <v>SWIFT</v>
      </c>
      <c r="K1683">
        <f>IFERROR(VLOOKUP(I1683,[1]AUTOS!$C:$G,3,0),"")</f>
        <v>2017</v>
      </c>
      <c r="L1683" t="str">
        <f>IFERROR(VLOOKUP(I1683,[1]AUTOS!$C:$G,4,0),"")</f>
        <v>ROJO</v>
      </c>
      <c r="M1683" t="s">
        <v>43</v>
      </c>
      <c r="N1683" s="3">
        <v>2583</v>
      </c>
      <c r="O1683" s="3">
        <v>2500</v>
      </c>
      <c r="P1683" s="3">
        <v>3000</v>
      </c>
      <c r="Q1683" s="3">
        <v>500</v>
      </c>
    </row>
    <row r="1684" spans="1:17" hidden="1" x14ac:dyDescent="0.3">
      <c r="A1684">
        <v>15</v>
      </c>
      <c r="B1684" t="str">
        <f>VLOOKUP($A1684,[1]LISTA!$B:$C,2,0)</f>
        <v>ABRIL</v>
      </c>
      <c r="C1684" s="1">
        <v>2025</v>
      </c>
      <c r="D1684" s="1" t="str">
        <f>IF($A1684&lt;=[1]RESULTADOS!$D$6,"YTD","YTG")</f>
        <v>YTD</v>
      </c>
      <c r="E1684" t="s">
        <v>403</v>
      </c>
      <c r="F1684" t="s">
        <v>667</v>
      </c>
      <c r="G1684" t="s">
        <v>667</v>
      </c>
      <c r="H1684" t="s">
        <v>668</v>
      </c>
      <c r="I1684" t="s">
        <v>51</v>
      </c>
      <c r="J1684" t="str">
        <f>IFERROR(VLOOKUP(I1684,[1]AUTOS!$C:$G,2,0),"")</f>
        <v>VENTO</v>
      </c>
      <c r="K1684">
        <f>IFERROR(VLOOKUP(I1684,[1]AUTOS!$C:$G,3,0),"")</f>
        <v>2017</v>
      </c>
      <c r="L1684" t="str">
        <f>IFERROR(VLOOKUP(I1684,[1]AUTOS!$C:$G,4,0),"")</f>
        <v>GRIS</v>
      </c>
      <c r="M1684" t="s">
        <v>43</v>
      </c>
      <c r="N1684" s="3">
        <v>1309</v>
      </c>
      <c r="O1684" s="3">
        <v>2300</v>
      </c>
      <c r="P1684" s="3">
        <v>2300</v>
      </c>
      <c r="Q1684" s="3">
        <v>0</v>
      </c>
    </row>
    <row r="1685" spans="1:17" hidden="1" x14ac:dyDescent="0.3">
      <c r="A1685">
        <v>15</v>
      </c>
      <c r="B1685" t="str">
        <f>VLOOKUP($A1685,[1]LISTA!$B:$C,2,0)</f>
        <v>ABRIL</v>
      </c>
      <c r="C1685" s="1">
        <v>2025</v>
      </c>
      <c r="D1685" s="1" t="str">
        <f>IF($A1685&lt;=[1]RESULTADOS!$D$6,"YTD","YTG")</f>
        <v>YTD</v>
      </c>
      <c r="E1685" t="s">
        <v>470</v>
      </c>
      <c r="F1685" t="s">
        <v>667</v>
      </c>
      <c r="G1685" t="s">
        <v>667</v>
      </c>
      <c r="H1685" t="s">
        <v>668</v>
      </c>
      <c r="I1685" t="s">
        <v>59</v>
      </c>
      <c r="J1685" t="str">
        <f>IFERROR(VLOOKUP(I1685,[1]AUTOS!$C:$G,2,0),"")</f>
        <v>AVEO</v>
      </c>
      <c r="K1685">
        <f>IFERROR(VLOOKUP(I1685,[1]AUTOS!$C:$G,3,0),"")</f>
        <v>2019</v>
      </c>
      <c r="L1685" t="str">
        <f>IFERROR(VLOOKUP(I1685,[1]AUTOS!$C:$G,4,0),"")</f>
        <v>BLANCO</v>
      </c>
      <c r="M1685" t="s">
        <v>43</v>
      </c>
      <c r="N1685" s="3">
        <v>4858</v>
      </c>
      <c r="O1685" s="3">
        <v>2500</v>
      </c>
      <c r="P1685" s="3">
        <v>3000</v>
      </c>
      <c r="Q1685" s="3">
        <v>500</v>
      </c>
    </row>
    <row r="1686" spans="1:17" hidden="1" x14ac:dyDescent="0.3">
      <c r="A1686">
        <v>15</v>
      </c>
      <c r="B1686" t="str">
        <f>VLOOKUP($A1686,[1]LISTA!$B:$C,2,0)</f>
        <v>ABRIL</v>
      </c>
      <c r="C1686" s="1">
        <v>2025</v>
      </c>
      <c r="D1686" s="1" t="str">
        <f>IF($A1686&lt;=[1]RESULTADOS!$D$6,"YTD","YTG")</f>
        <v>YTD</v>
      </c>
      <c r="E1686" t="s">
        <v>689</v>
      </c>
      <c r="F1686" t="s">
        <v>667</v>
      </c>
      <c r="G1686" t="s">
        <v>667</v>
      </c>
      <c r="H1686" t="s">
        <v>668</v>
      </c>
      <c r="I1686" t="s">
        <v>34</v>
      </c>
      <c r="J1686" t="str">
        <f>IFERROR(VLOOKUP(I1686,[1]AUTOS!$C:$G,2,0),"")</f>
        <v>AVEO</v>
      </c>
      <c r="K1686">
        <f>IFERROR(VLOOKUP(I1686,[1]AUTOS!$C:$G,3,0),"")</f>
        <v>2018</v>
      </c>
      <c r="L1686" t="str">
        <f>IFERROR(VLOOKUP(I1686,[1]AUTOS!$C:$G,4,0),"")</f>
        <v>ROJO</v>
      </c>
      <c r="M1686" t="s">
        <v>43</v>
      </c>
      <c r="N1686" s="3">
        <v>1598</v>
      </c>
      <c r="O1686" s="3">
        <v>2500</v>
      </c>
      <c r="P1686" s="3">
        <v>2700</v>
      </c>
      <c r="Q1686" s="3">
        <v>500</v>
      </c>
    </row>
    <row r="1687" spans="1:17" hidden="1" x14ac:dyDescent="0.3">
      <c r="A1687">
        <v>16</v>
      </c>
      <c r="B1687" t="str">
        <f>VLOOKUP($A1687,[1]LISTA!$B:$C,2,0)</f>
        <v>ABRIL</v>
      </c>
      <c r="C1687" s="1">
        <v>2025</v>
      </c>
      <c r="D1687" s="1" t="str">
        <f>IF($A1687&lt;=[1]RESULTADOS!$D$6,"YTD","YTG")</f>
        <v>YTD</v>
      </c>
      <c r="E1687" t="s">
        <v>492</v>
      </c>
      <c r="F1687" t="s">
        <v>667</v>
      </c>
      <c r="G1687" t="s">
        <v>667</v>
      </c>
      <c r="H1687" t="s">
        <v>668</v>
      </c>
      <c r="I1687" t="s">
        <v>79</v>
      </c>
      <c r="J1687" t="str">
        <f>IFERROR(VLOOKUP(I1687,[1]AUTOS!$C:$G,2,0),"")</f>
        <v>AVEO</v>
      </c>
      <c r="K1687">
        <f>IFERROR(VLOOKUP(I1687,[1]AUTOS!$C:$G,3,0),"")</f>
        <v>2021</v>
      </c>
      <c r="L1687" t="str">
        <f>IFERROR(VLOOKUP(I1687,[1]AUTOS!$C:$G,4,0),"")</f>
        <v>OCRE</v>
      </c>
      <c r="M1687" t="s">
        <v>43</v>
      </c>
      <c r="N1687" s="3">
        <v>0</v>
      </c>
      <c r="O1687" s="3">
        <v>2500</v>
      </c>
      <c r="P1687" s="3">
        <v>2500</v>
      </c>
      <c r="Q1687" s="3">
        <v>0</v>
      </c>
    </row>
    <row r="1688" spans="1:17" hidden="1" x14ac:dyDescent="0.3">
      <c r="A1688">
        <v>16</v>
      </c>
      <c r="B1688" t="str">
        <f>VLOOKUP($A1688,[1]LISTA!$B:$C,2,0)</f>
        <v>ABRIL</v>
      </c>
      <c r="C1688" s="1">
        <v>2025</v>
      </c>
      <c r="D1688" s="1" t="str">
        <f>IF($A1688&lt;=[1]RESULTADOS!$D$6,"YTD","YTG")</f>
        <v>YTD</v>
      </c>
      <c r="E1688" t="s">
        <v>671</v>
      </c>
      <c r="F1688" t="s">
        <v>667</v>
      </c>
      <c r="G1688" t="s">
        <v>667</v>
      </c>
      <c r="H1688" t="s">
        <v>668</v>
      </c>
      <c r="I1688" t="s">
        <v>162</v>
      </c>
      <c r="J1688" t="str">
        <f>IFERROR(VLOOKUP(I1688,[1]AUTOS!$C:$G,2,0),"")</f>
        <v>HYUNDAI</v>
      </c>
      <c r="K1688">
        <f>IFERROR(VLOOKUP(I1688,[1]AUTOS!$C:$G,3,0),"")</f>
        <v>2022</v>
      </c>
      <c r="L1688" t="str">
        <f>IFERROR(VLOOKUP(I1688,[1]AUTOS!$C:$G,4,0),"")</f>
        <v>PLATA</v>
      </c>
      <c r="M1688" t="s">
        <v>43</v>
      </c>
      <c r="N1688" s="3">
        <v>1576</v>
      </c>
      <c r="O1688" s="3">
        <v>2500</v>
      </c>
      <c r="P1688" s="3">
        <v>2476</v>
      </c>
      <c r="Q1688" s="3">
        <v>0</v>
      </c>
    </row>
    <row r="1689" spans="1:17" hidden="1" x14ac:dyDescent="0.3">
      <c r="A1689">
        <v>16</v>
      </c>
      <c r="B1689" t="str">
        <f>VLOOKUP($A1689,[1]LISTA!$B:$C,2,0)</f>
        <v>ABRIL</v>
      </c>
      <c r="C1689" s="1">
        <v>2025</v>
      </c>
      <c r="D1689" s="1" t="str">
        <f>IF($A1689&lt;=[1]RESULTADOS!$D$6,"YTD","YTG")</f>
        <v>YTD</v>
      </c>
      <c r="E1689" t="s">
        <v>478</v>
      </c>
      <c r="F1689" t="s">
        <v>667</v>
      </c>
      <c r="G1689" t="s">
        <v>667</v>
      </c>
      <c r="H1689" t="s">
        <v>668</v>
      </c>
      <c r="I1689" t="s">
        <v>67</v>
      </c>
      <c r="J1689" t="str">
        <f>IFERROR(VLOOKUP(I1689,[1]AUTOS!$C:$G,2,0),"")</f>
        <v>KIA RIO</v>
      </c>
      <c r="K1689">
        <f>IFERROR(VLOOKUP(I1689,[1]AUTOS!$C:$G,3,0),"")</f>
        <v>2020</v>
      </c>
      <c r="L1689" t="str">
        <f>IFERROR(VLOOKUP(I1689,[1]AUTOS!$C:$G,4,0),"")</f>
        <v>GRIS</v>
      </c>
      <c r="M1689" t="s">
        <v>43</v>
      </c>
      <c r="N1689" s="3">
        <v>148</v>
      </c>
      <c r="O1689" s="3">
        <v>2500</v>
      </c>
      <c r="P1689" s="3">
        <v>2998</v>
      </c>
      <c r="Q1689" s="3">
        <v>500</v>
      </c>
    </row>
    <row r="1690" spans="1:17" hidden="1" x14ac:dyDescent="0.3">
      <c r="A1690">
        <v>16</v>
      </c>
      <c r="B1690" t="str">
        <f>VLOOKUP($A1690,[1]LISTA!$B:$C,2,0)</f>
        <v>ABRIL</v>
      </c>
      <c r="C1690" s="1">
        <v>2025</v>
      </c>
      <c r="D1690" s="1" t="str">
        <f>IF($A1690&lt;=[1]RESULTADOS!$D$6,"YTD","YTG")</f>
        <v>YTD</v>
      </c>
      <c r="E1690" t="s">
        <v>690</v>
      </c>
      <c r="F1690" t="s">
        <v>667</v>
      </c>
      <c r="G1690" t="s">
        <v>667</v>
      </c>
      <c r="H1690" t="s">
        <v>668</v>
      </c>
      <c r="I1690" t="s">
        <v>82</v>
      </c>
      <c r="J1690" t="str">
        <f>IFERROR(VLOOKUP(I1690,[1]AUTOS!$C:$G,2,0),"")</f>
        <v>AVEO</v>
      </c>
      <c r="K1690">
        <f>IFERROR(VLOOKUP(I1690,[1]AUTOS!$C:$G,3,0),"")</f>
        <v>2019</v>
      </c>
      <c r="L1690" t="str">
        <f>IFERROR(VLOOKUP(I1690,[1]AUTOS!$C:$G,4,0),"")</f>
        <v>PLATA</v>
      </c>
      <c r="M1690" t="s">
        <v>43</v>
      </c>
      <c r="N1690" s="3">
        <v>2730</v>
      </c>
      <c r="O1690" s="3">
        <v>2500</v>
      </c>
      <c r="P1690" s="3">
        <v>3300</v>
      </c>
      <c r="Q1690" s="3">
        <v>500</v>
      </c>
    </row>
    <row r="1691" spans="1:17" hidden="1" x14ac:dyDescent="0.3">
      <c r="A1691">
        <v>16</v>
      </c>
      <c r="B1691" t="str">
        <f>VLOOKUP($A1691,[1]LISTA!$B:$C,2,0)</f>
        <v>ABRIL</v>
      </c>
      <c r="C1691" s="1">
        <v>2025</v>
      </c>
      <c r="D1691" s="1" t="str">
        <f>IF($A1691&lt;=[1]RESULTADOS!$D$6,"YTD","YTG")</f>
        <v>YTD</v>
      </c>
      <c r="E1691" t="s">
        <v>679</v>
      </c>
      <c r="F1691" t="s">
        <v>667</v>
      </c>
      <c r="G1691" t="s">
        <v>667</v>
      </c>
      <c r="H1691" t="s">
        <v>668</v>
      </c>
      <c r="I1691" t="s">
        <v>82</v>
      </c>
      <c r="J1691" t="str">
        <f>IFERROR(VLOOKUP(I1691,[1]AUTOS!$C:$G,2,0),"")</f>
        <v>AVEO</v>
      </c>
      <c r="K1691">
        <f>IFERROR(VLOOKUP(I1691,[1]AUTOS!$C:$G,3,0),"")</f>
        <v>2019</v>
      </c>
      <c r="L1691" t="str">
        <f>IFERROR(VLOOKUP(I1691,[1]AUTOS!$C:$G,4,0),"")</f>
        <v>PLATA</v>
      </c>
      <c r="M1691" t="s">
        <v>43</v>
      </c>
      <c r="N1691" s="3">
        <v>0</v>
      </c>
      <c r="O1691" s="3">
        <v>0</v>
      </c>
      <c r="P1691" s="3">
        <v>-500</v>
      </c>
      <c r="Q1691" s="3">
        <v>-500</v>
      </c>
    </row>
    <row r="1692" spans="1:17" x14ac:dyDescent="0.3">
      <c r="A1692">
        <v>16</v>
      </c>
      <c r="B1692" t="str">
        <f>VLOOKUP($A1692,[1]LISTA!$B:$C,2,0)</f>
        <v>ABRIL</v>
      </c>
      <c r="C1692" s="1">
        <v>2025</v>
      </c>
      <c r="D1692" s="1" t="str">
        <f>IF($A1692&lt;=[1]RESULTADOS!$D$6,"YTD","YTG")</f>
        <v>YTD</v>
      </c>
      <c r="E1692" t="s">
        <v>682</v>
      </c>
      <c r="F1692" t="s">
        <v>667</v>
      </c>
      <c r="G1692" t="s">
        <v>667</v>
      </c>
      <c r="H1692" t="s">
        <v>668</v>
      </c>
      <c r="I1692" t="s">
        <v>72</v>
      </c>
      <c r="J1692" t="str">
        <f>IFERROR(VLOOKUP(I1692,[1]AUTOS!$C:$G,2,0),"")</f>
        <v>VENTO</v>
      </c>
      <c r="K1692">
        <f>IFERROR(VLOOKUP(I1692,[1]AUTOS!$C:$G,3,0),"")</f>
        <v>2020</v>
      </c>
      <c r="L1692" t="str">
        <f>IFERROR(VLOOKUP(I1692,[1]AUTOS!$C:$G,4,0),"")</f>
        <v>GRIS</v>
      </c>
      <c r="M1692" t="s">
        <v>43</v>
      </c>
      <c r="N1692" s="3">
        <v>-24</v>
      </c>
      <c r="O1692" s="3">
        <v>1071</v>
      </c>
      <c r="P1692" s="3">
        <v>-24</v>
      </c>
      <c r="Q1692" s="3">
        <v>0</v>
      </c>
    </row>
    <row r="1693" spans="1:17" hidden="1" x14ac:dyDescent="0.3">
      <c r="A1693">
        <v>16</v>
      </c>
      <c r="B1693" t="str">
        <f>VLOOKUP($A1693,[1]LISTA!$B:$C,2,0)</f>
        <v>ABRIL</v>
      </c>
      <c r="C1693" s="1">
        <v>2025</v>
      </c>
      <c r="D1693" s="1" t="str">
        <f>IF($A1693&lt;=[1]RESULTADOS!$D$6,"YTD","YTG")</f>
        <v>YTD</v>
      </c>
      <c r="E1693" t="s">
        <v>680</v>
      </c>
      <c r="F1693" t="s">
        <v>667</v>
      </c>
      <c r="G1693" t="s">
        <v>667</v>
      </c>
      <c r="H1693" t="s">
        <v>668</v>
      </c>
      <c r="I1693" t="s">
        <v>144</v>
      </c>
      <c r="J1693" t="str">
        <f>IFERROR(VLOOKUP(I1693,[1]AUTOS!$C:$G,2,0),"")</f>
        <v>VERSA</v>
      </c>
      <c r="K1693">
        <f>IFERROR(VLOOKUP(I1693,[1]AUTOS!$C:$G,3,0),"")</f>
        <v>2020</v>
      </c>
      <c r="L1693" t="str">
        <f>IFERROR(VLOOKUP(I1693,[1]AUTOS!$C:$G,4,0),"")</f>
        <v>ROJO</v>
      </c>
      <c r="M1693" t="s">
        <v>43</v>
      </c>
      <c r="N1693" s="3">
        <v>4448</v>
      </c>
      <c r="O1693" s="3">
        <v>2500</v>
      </c>
      <c r="P1693" s="3">
        <v>2500</v>
      </c>
      <c r="Q1693" s="3">
        <v>0</v>
      </c>
    </row>
    <row r="1694" spans="1:17" hidden="1" x14ac:dyDescent="0.3">
      <c r="A1694">
        <v>16</v>
      </c>
      <c r="B1694" t="str">
        <f>VLOOKUP($A1694,[1]LISTA!$B:$C,2,0)</f>
        <v>ABRIL</v>
      </c>
      <c r="C1694" s="1">
        <v>2025</v>
      </c>
      <c r="D1694" s="1" t="str">
        <f>IF($A1694&lt;=[1]RESULTADOS!$D$6,"YTD","YTG")</f>
        <v>YTD</v>
      </c>
      <c r="E1694" t="s">
        <v>456</v>
      </c>
      <c r="F1694" t="s">
        <v>667</v>
      </c>
      <c r="G1694" t="s">
        <v>667</v>
      </c>
      <c r="H1694" t="s">
        <v>668</v>
      </c>
      <c r="I1694" t="s">
        <v>116</v>
      </c>
      <c r="J1694" t="str">
        <f>IFERROR(VLOOKUP(I1694,[1]AUTOS!$C:$G,2,0),"")</f>
        <v>AVEO</v>
      </c>
      <c r="K1694">
        <f>IFERROR(VLOOKUP(I1694,[1]AUTOS!$C:$G,3,0),"")</f>
        <v>2022</v>
      </c>
      <c r="L1694" t="str">
        <f>IFERROR(VLOOKUP(I1694,[1]AUTOS!$C:$G,4,0),"")</f>
        <v>AZUL</v>
      </c>
      <c r="M1694" t="s">
        <v>43</v>
      </c>
      <c r="N1694" s="3">
        <v>5700</v>
      </c>
      <c r="O1694" s="3">
        <v>2500</v>
      </c>
      <c r="P1694" s="3">
        <v>4461</v>
      </c>
      <c r="Q1694" s="3">
        <v>0</v>
      </c>
    </row>
    <row r="1695" spans="1:17" hidden="1" x14ac:dyDescent="0.3">
      <c r="A1695">
        <v>16</v>
      </c>
      <c r="B1695" t="str">
        <f>VLOOKUP($A1695,[1]LISTA!$B:$C,2,0)</f>
        <v>ABRIL</v>
      </c>
      <c r="C1695" s="1">
        <v>2025</v>
      </c>
      <c r="D1695" s="1" t="str">
        <f>IF($A1695&lt;=[1]RESULTADOS!$D$6,"YTD","YTG")</f>
        <v>YTD</v>
      </c>
      <c r="E1695" t="s">
        <v>411</v>
      </c>
      <c r="F1695" t="s">
        <v>667</v>
      </c>
      <c r="G1695" t="s">
        <v>667</v>
      </c>
      <c r="H1695" t="s">
        <v>668</v>
      </c>
      <c r="I1695" t="s">
        <v>178</v>
      </c>
      <c r="J1695" t="str">
        <f>IFERROR(VLOOKUP(I1695,[1]AUTOS!$C:$G,2,0),"")</f>
        <v>VERSA</v>
      </c>
      <c r="K1695">
        <f>IFERROR(VLOOKUP(I1695,[1]AUTOS!$C:$G,3,0),"")</f>
        <v>2020</v>
      </c>
      <c r="L1695" t="str">
        <f>IFERROR(VLOOKUP(I1695,[1]AUTOS!$C:$G,4,0),"")</f>
        <v>BLANCO</v>
      </c>
      <c r="M1695" t="s">
        <v>43</v>
      </c>
      <c r="N1695" s="3">
        <v>6518</v>
      </c>
      <c r="O1695" s="3">
        <v>2500</v>
      </c>
      <c r="P1695" s="3">
        <v>2935</v>
      </c>
      <c r="Q1695" s="3">
        <v>500</v>
      </c>
    </row>
    <row r="1696" spans="1:17" hidden="1" x14ac:dyDescent="0.3">
      <c r="A1696">
        <v>16</v>
      </c>
      <c r="B1696" t="str">
        <f>VLOOKUP($A1696,[1]LISTA!$B:$C,2,0)</f>
        <v>ABRIL</v>
      </c>
      <c r="C1696" s="1">
        <v>2025</v>
      </c>
      <c r="D1696" s="1" t="str">
        <f>IF($A1696&lt;=[1]RESULTADOS!$D$6,"YTD","YTG")</f>
        <v>YTD</v>
      </c>
      <c r="E1696" t="s">
        <v>518</v>
      </c>
      <c r="F1696" t="s">
        <v>667</v>
      </c>
      <c r="G1696" t="s">
        <v>667</v>
      </c>
      <c r="H1696" t="s">
        <v>668</v>
      </c>
      <c r="I1696" t="s">
        <v>37</v>
      </c>
      <c r="J1696" t="str">
        <f>IFERROR(VLOOKUP(I1696,[1]AUTOS!$C:$G,2,0),"")</f>
        <v>BEAT</v>
      </c>
      <c r="K1696">
        <f>IFERROR(VLOOKUP(I1696,[1]AUTOS!$C:$G,3,0),"")</f>
        <v>2020</v>
      </c>
      <c r="L1696" t="str">
        <f>IFERROR(VLOOKUP(I1696,[1]AUTOS!$C:$G,4,0),"")</f>
        <v>GRIS</v>
      </c>
      <c r="M1696" t="s">
        <v>43</v>
      </c>
      <c r="N1696" s="3">
        <v>0</v>
      </c>
      <c r="O1696" s="3">
        <v>0</v>
      </c>
      <c r="P1696" s="3">
        <v>4030</v>
      </c>
      <c r="Q1696" s="3">
        <v>0</v>
      </c>
    </row>
    <row r="1697" spans="1:17" hidden="1" x14ac:dyDescent="0.3">
      <c r="A1697">
        <v>16</v>
      </c>
      <c r="B1697" t="str">
        <f>VLOOKUP($A1697,[1]LISTA!$B:$C,2,0)</f>
        <v>ABRIL</v>
      </c>
      <c r="C1697" s="1">
        <v>2025</v>
      </c>
      <c r="D1697" s="1" t="str">
        <f>IF($A1697&lt;=[1]RESULTADOS!$D$6,"YTD","YTG")</f>
        <v>YTD</v>
      </c>
      <c r="E1697" t="s">
        <v>526</v>
      </c>
      <c r="F1697" t="s">
        <v>667</v>
      </c>
      <c r="G1697" t="s">
        <v>667</v>
      </c>
      <c r="H1697" t="s">
        <v>668</v>
      </c>
      <c r="I1697" t="s">
        <v>61</v>
      </c>
      <c r="J1697" t="str">
        <f>IFERROR(VLOOKUP(I1697,[1]AUTOS!$C:$G,2,0),"")</f>
        <v>KIA RIO</v>
      </c>
      <c r="K1697">
        <f>IFERROR(VLOOKUP(I1697,[1]AUTOS!$C:$G,3,0),"")</f>
        <v>2017</v>
      </c>
      <c r="L1697" t="str">
        <f>IFERROR(VLOOKUP(I1697,[1]AUTOS!$C:$G,4,0),"")</f>
        <v>ROJO</v>
      </c>
      <c r="M1697" t="s">
        <v>43</v>
      </c>
      <c r="N1697" s="3">
        <v>5359</v>
      </c>
      <c r="O1697" s="3">
        <v>2350</v>
      </c>
      <c r="P1697" s="3">
        <v>2850</v>
      </c>
      <c r="Q1697" s="3">
        <v>500</v>
      </c>
    </row>
    <row r="1698" spans="1:17" hidden="1" x14ac:dyDescent="0.3">
      <c r="A1698">
        <v>16</v>
      </c>
      <c r="B1698" t="str">
        <f>VLOOKUP($A1698,[1]LISTA!$B:$C,2,0)</f>
        <v>ABRIL</v>
      </c>
      <c r="C1698" s="1">
        <v>2025</v>
      </c>
      <c r="D1698" s="1" t="str">
        <f>IF($A1698&lt;=[1]RESULTADOS!$D$6,"YTD","YTG")</f>
        <v>YTD</v>
      </c>
      <c r="E1698" t="s">
        <v>674</v>
      </c>
      <c r="F1698" t="s">
        <v>667</v>
      </c>
      <c r="G1698" t="s">
        <v>667</v>
      </c>
      <c r="H1698" t="s">
        <v>668</v>
      </c>
      <c r="I1698" t="s">
        <v>46</v>
      </c>
      <c r="J1698" t="str">
        <f>IFERROR(VLOOKUP(I1698,[1]AUTOS!$C:$G,2,0),"")</f>
        <v>MARCH</v>
      </c>
      <c r="K1698">
        <f>IFERROR(VLOOKUP(I1698,[1]AUTOS!$C:$G,3,0),"")</f>
        <v>2020</v>
      </c>
      <c r="L1698" t="str">
        <f>IFERROR(VLOOKUP(I1698,[1]AUTOS!$C:$G,4,0),"")</f>
        <v>TURQ</v>
      </c>
      <c r="M1698" t="s">
        <v>43</v>
      </c>
      <c r="N1698" s="3">
        <v>1449</v>
      </c>
      <c r="O1698" s="3">
        <v>2500</v>
      </c>
      <c r="P1698" s="3">
        <v>1449</v>
      </c>
      <c r="Q1698" s="3">
        <v>0</v>
      </c>
    </row>
    <row r="1699" spans="1:17" hidden="1" x14ac:dyDescent="0.3">
      <c r="A1699">
        <v>16</v>
      </c>
      <c r="B1699" t="str">
        <f>VLOOKUP($A1699,[1]LISTA!$B:$C,2,0)</f>
        <v>ABRIL</v>
      </c>
      <c r="C1699" s="1">
        <v>2025</v>
      </c>
      <c r="D1699" s="1" t="str">
        <f>IF($A1699&lt;=[1]RESULTADOS!$D$6,"YTD","YTG")</f>
        <v>YTD</v>
      </c>
      <c r="E1699" t="s">
        <v>681</v>
      </c>
      <c r="F1699" t="s">
        <v>667</v>
      </c>
      <c r="G1699" t="s">
        <v>667</v>
      </c>
      <c r="H1699" t="s">
        <v>668</v>
      </c>
      <c r="I1699" t="s">
        <v>76</v>
      </c>
      <c r="J1699" t="str">
        <f>IFERROR(VLOOKUP(I1699,[1]AUTOS!$C:$G,2,0),"")</f>
        <v>AVEO</v>
      </c>
      <c r="K1699">
        <f>IFERROR(VLOOKUP(I1699,[1]AUTOS!$C:$G,3,0),"")</f>
        <v>2018</v>
      </c>
      <c r="L1699" t="str">
        <f>IFERROR(VLOOKUP(I1699,[1]AUTOS!$C:$G,4,0),"")</f>
        <v>GRIS</v>
      </c>
      <c r="M1699" t="s">
        <v>43</v>
      </c>
      <c r="N1699" s="3">
        <v>2930</v>
      </c>
      <c r="O1699" s="3">
        <v>2500</v>
      </c>
      <c r="P1699" s="3">
        <v>2691</v>
      </c>
      <c r="Q1699" s="3">
        <v>0</v>
      </c>
    </row>
    <row r="1700" spans="1:17" hidden="1" x14ac:dyDescent="0.3">
      <c r="A1700">
        <v>16</v>
      </c>
      <c r="B1700" t="str">
        <f>VLOOKUP($A1700,[1]LISTA!$B:$C,2,0)</f>
        <v>ABRIL</v>
      </c>
      <c r="C1700" s="1">
        <v>2025</v>
      </c>
      <c r="D1700" s="1" t="str">
        <f>IF($A1700&lt;=[1]RESULTADOS!$D$6,"YTD","YTG")</f>
        <v>YTD</v>
      </c>
      <c r="E1700" t="s">
        <v>675</v>
      </c>
      <c r="F1700" t="s">
        <v>667</v>
      </c>
      <c r="G1700" t="s">
        <v>667</v>
      </c>
      <c r="H1700" t="s">
        <v>668</v>
      </c>
      <c r="I1700" t="s">
        <v>40</v>
      </c>
      <c r="J1700" t="str">
        <f>IFERROR(VLOOKUP(I1700,[1]AUTOS!$C:$G,2,0),"")</f>
        <v>VERSA</v>
      </c>
      <c r="K1700">
        <f>IFERROR(VLOOKUP(I1700,[1]AUTOS!$C:$G,3,0),"")</f>
        <v>2017</v>
      </c>
      <c r="L1700" t="str">
        <f>IFERROR(VLOOKUP(I1700,[1]AUTOS!$C:$G,4,0),"")</f>
        <v>ACERO</v>
      </c>
      <c r="M1700" t="s">
        <v>43</v>
      </c>
      <c r="N1700" s="3">
        <v>2889</v>
      </c>
      <c r="O1700" s="3">
        <v>2500</v>
      </c>
      <c r="P1700" s="3">
        <v>2989</v>
      </c>
      <c r="Q1700" s="3">
        <v>0</v>
      </c>
    </row>
    <row r="1701" spans="1:17" hidden="1" x14ac:dyDescent="0.3">
      <c r="A1701">
        <v>16</v>
      </c>
      <c r="B1701" t="str">
        <f>VLOOKUP($A1701,[1]LISTA!$B:$C,2,0)</f>
        <v>ABRIL</v>
      </c>
      <c r="C1701" s="1">
        <v>2025</v>
      </c>
      <c r="D1701" s="1" t="str">
        <f>IF($A1701&lt;=[1]RESULTADOS!$D$6,"YTD","YTG")</f>
        <v>YTD</v>
      </c>
      <c r="E1701" t="s">
        <v>688</v>
      </c>
      <c r="F1701" t="s">
        <v>667</v>
      </c>
      <c r="G1701" t="s">
        <v>667</v>
      </c>
      <c r="H1701" t="s">
        <v>668</v>
      </c>
      <c r="I1701" t="s">
        <v>139</v>
      </c>
      <c r="J1701" t="str">
        <f>IFERROR(VLOOKUP(I1701,[1]AUTOS!$C:$G,2,0),"")</f>
        <v>SWIFT</v>
      </c>
      <c r="K1701">
        <f>IFERROR(VLOOKUP(I1701,[1]AUTOS!$C:$G,3,0),"")</f>
        <v>2017</v>
      </c>
      <c r="L1701" t="str">
        <f>IFERROR(VLOOKUP(I1701,[1]AUTOS!$C:$G,4,0),"")</f>
        <v>ROJO</v>
      </c>
      <c r="M1701" t="s">
        <v>43</v>
      </c>
      <c r="N1701" s="3">
        <v>1638</v>
      </c>
      <c r="O1701" s="3">
        <v>2500</v>
      </c>
      <c r="P1701" s="3">
        <v>3038</v>
      </c>
      <c r="Q1701" s="3">
        <v>500</v>
      </c>
    </row>
    <row r="1702" spans="1:17" hidden="1" x14ac:dyDescent="0.3">
      <c r="A1702">
        <v>16</v>
      </c>
      <c r="B1702" t="str">
        <f>VLOOKUP($A1702,[1]LISTA!$B:$C,2,0)</f>
        <v>ABRIL</v>
      </c>
      <c r="C1702" s="1">
        <v>2025</v>
      </c>
      <c r="D1702" s="1" t="str">
        <f>IF($A1702&lt;=[1]RESULTADOS!$D$6,"YTD","YTG")</f>
        <v>YTD</v>
      </c>
      <c r="E1702" t="s">
        <v>403</v>
      </c>
      <c r="F1702" t="s">
        <v>667</v>
      </c>
      <c r="G1702" t="s">
        <v>667</v>
      </c>
      <c r="H1702" t="s">
        <v>668</v>
      </c>
      <c r="I1702" t="s">
        <v>51</v>
      </c>
      <c r="J1702" t="str">
        <f>IFERROR(VLOOKUP(I1702,[1]AUTOS!$C:$G,2,0),"")</f>
        <v>VENTO</v>
      </c>
      <c r="K1702">
        <f>IFERROR(VLOOKUP(I1702,[1]AUTOS!$C:$G,3,0),"")</f>
        <v>2017</v>
      </c>
      <c r="L1702" t="str">
        <f>IFERROR(VLOOKUP(I1702,[1]AUTOS!$C:$G,4,0),"")</f>
        <v>GRIS</v>
      </c>
      <c r="M1702" t="s">
        <v>43</v>
      </c>
      <c r="N1702" s="3">
        <v>3049</v>
      </c>
      <c r="O1702" s="3">
        <v>2300</v>
      </c>
      <c r="P1702" s="3">
        <v>2300</v>
      </c>
      <c r="Q1702" s="3">
        <v>0</v>
      </c>
    </row>
    <row r="1703" spans="1:17" hidden="1" x14ac:dyDescent="0.3">
      <c r="A1703">
        <v>16</v>
      </c>
      <c r="B1703" t="str">
        <f>VLOOKUP($A1703,[1]LISTA!$B:$C,2,0)</f>
        <v>ABRIL</v>
      </c>
      <c r="C1703" s="1">
        <v>2025</v>
      </c>
      <c r="D1703" s="1" t="str">
        <f>IF($A1703&lt;=[1]RESULTADOS!$D$6,"YTD","YTG")</f>
        <v>YTD</v>
      </c>
      <c r="E1703" t="s">
        <v>470</v>
      </c>
      <c r="F1703" t="s">
        <v>667</v>
      </c>
      <c r="G1703" t="s">
        <v>667</v>
      </c>
      <c r="H1703" t="s">
        <v>668</v>
      </c>
      <c r="I1703" t="s">
        <v>59</v>
      </c>
      <c r="J1703" t="str">
        <f>IFERROR(VLOOKUP(I1703,[1]AUTOS!$C:$G,2,0),"")</f>
        <v>AVEO</v>
      </c>
      <c r="K1703">
        <f>IFERROR(VLOOKUP(I1703,[1]AUTOS!$C:$G,3,0),"")</f>
        <v>2019</v>
      </c>
      <c r="L1703" t="str">
        <f>IFERROR(VLOOKUP(I1703,[1]AUTOS!$C:$G,4,0),"")</f>
        <v>BLANCO</v>
      </c>
      <c r="M1703" t="s">
        <v>43</v>
      </c>
      <c r="N1703" s="3">
        <v>4026</v>
      </c>
      <c r="O1703" s="3">
        <v>2500</v>
      </c>
      <c r="P1703" s="3">
        <v>3000</v>
      </c>
      <c r="Q1703" s="3">
        <v>500</v>
      </c>
    </row>
    <row r="1704" spans="1:17" hidden="1" x14ac:dyDescent="0.3">
      <c r="A1704">
        <v>16</v>
      </c>
      <c r="B1704" t="str">
        <f>VLOOKUP($A1704,[1]LISTA!$B:$C,2,0)</f>
        <v>ABRIL</v>
      </c>
      <c r="C1704" s="1">
        <v>2025</v>
      </c>
      <c r="D1704" s="1" t="str">
        <f>IF($A1704&lt;=[1]RESULTADOS!$D$6,"YTD","YTG")</f>
        <v>YTD</v>
      </c>
      <c r="E1704" t="s">
        <v>689</v>
      </c>
      <c r="F1704" t="s">
        <v>667</v>
      </c>
      <c r="G1704" t="s">
        <v>667</v>
      </c>
      <c r="H1704" t="s">
        <v>668</v>
      </c>
      <c r="I1704" t="s">
        <v>185</v>
      </c>
      <c r="J1704" t="str">
        <f>IFERROR(VLOOKUP(I1704,[1]AUTOS!$C:$G,2,0),"")</f>
        <v>MARCH</v>
      </c>
      <c r="K1704">
        <f>IFERROR(VLOOKUP(I1704,[1]AUTOS!$C:$G,3,0),"")</f>
        <v>2021</v>
      </c>
      <c r="L1704" t="str">
        <f>IFERROR(VLOOKUP(I1704,[1]AUTOS!$C:$G,4,0),"")</f>
        <v>ROJO</v>
      </c>
      <c r="M1704" t="s">
        <v>43</v>
      </c>
      <c r="N1704" s="3">
        <v>429</v>
      </c>
      <c r="O1704" s="3">
        <v>2500</v>
      </c>
      <c r="P1704" s="3">
        <v>2250</v>
      </c>
      <c r="Q1704" s="3">
        <v>0</v>
      </c>
    </row>
    <row r="1705" spans="1:17" hidden="1" x14ac:dyDescent="0.3">
      <c r="A1705">
        <v>17</v>
      </c>
      <c r="B1705" t="str">
        <f>VLOOKUP($A1705,[1]LISTA!$B:$C,2,0)</f>
        <v>ABRIL</v>
      </c>
      <c r="C1705" s="1">
        <v>2025</v>
      </c>
      <c r="D1705" s="1" t="str">
        <f>IF($A1705&lt;=[1]RESULTADOS!$D$6,"YTD","YTG")</f>
        <v>YTD</v>
      </c>
      <c r="E1705" t="s">
        <v>492</v>
      </c>
      <c r="F1705" t="s">
        <v>667</v>
      </c>
      <c r="G1705" t="s">
        <v>667</v>
      </c>
      <c r="H1705" t="s">
        <v>668</v>
      </c>
      <c r="I1705" t="s">
        <v>79</v>
      </c>
      <c r="J1705" t="str">
        <f>IFERROR(VLOOKUP(I1705,[1]AUTOS!$C:$G,2,0),"")</f>
        <v>AVEO</v>
      </c>
      <c r="K1705">
        <f>IFERROR(VLOOKUP(I1705,[1]AUTOS!$C:$G,3,0),"")</f>
        <v>2021</v>
      </c>
      <c r="L1705" t="str">
        <f>IFERROR(VLOOKUP(I1705,[1]AUTOS!$C:$G,4,0),"")</f>
        <v>OCRE</v>
      </c>
      <c r="M1705" t="s">
        <v>43</v>
      </c>
      <c r="N1705" s="3">
        <v>0</v>
      </c>
      <c r="O1705" s="3">
        <v>2500</v>
      </c>
      <c r="P1705" s="3">
        <v>2500</v>
      </c>
      <c r="Q1705" s="3">
        <v>0</v>
      </c>
    </row>
    <row r="1706" spans="1:17" hidden="1" x14ac:dyDescent="0.3">
      <c r="A1706">
        <v>17</v>
      </c>
      <c r="B1706" t="str">
        <f>VLOOKUP($A1706,[1]LISTA!$B:$C,2,0)</f>
        <v>ABRIL</v>
      </c>
      <c r="C1706" s="1">
        <v>2025</v>
      </c>
      <c r="D1706" s="1" t="str">
        <f>IF($A1706&lt;=[1]RESULTADOS!$D$6,"YTD","YTG")</f>
        <v>YTD</v>
      </c>
      <c r="E1706" t="s">
        <v>671</v>
      </c>
      <c r="F1706" t="s">
        <v>667</v>
      </c>
      <c r="G1706" t="s">
        <v>667</v>
      </c>
      <c r="H1706" t="s">
        <v>668</v>
      </c>
      <c r="I1706" t="s">
        <v>162</v>
      </c>
      <c r="J1706" t="str">
        <f>IFERROR(VLOOKUP(I1706,[1]AUTOS!$C:$G,2,0),"")</f>
        <v>HYUNDAI</v>
      </c>
      <c r="K1706">
        <f>IFERROR(VLOOKUP(I1706,[1]AUTOS!$C:$G,3,0),"")</f>
        <v>2022</v>
      </c>
      <c r="L1706" t="str">
        <f>IFERROR(VLOOKUP(I1706,[1]AUTOS!$C:$G,4,0),"")</f>
        <v>PLATA</v>
      </c>
      <c r="M1706" t="s">
        <v>43</v>
      </c>
      <c r="N1706" s="3">
        <v>1845</v>
      </c>
      <c r="O1706" s="3">
        <v>2500</v>
      </c>
      <c r="P1706" s="3">
        <v>1845</v>
      </c>
      <c r="Q1706" s="3">
        <v>0</v>
      </c>
    </row>
    <row r="1707" spans="1:17" hidden="1" x14ac:dyDescent="0.3">
      <c r="A1707">
        <v>17</v>
      </c>
      <c r="B1707" t="str">
        <f>VLOOKUP($A1707,[1]LISTA!$B:$C,2,0)</f>
        <v>ABRIL</v>
      </c>
      <c r="C1707" s="1">
        <v>2025</v>
      </c>
      <c r="D1707" s="1" t="str">
        <f>IF($A1707&lt;=[1]RESULTADOS!$D$6,"YTD","YTG")</f>
        <v>YTD</v>
      </c>
      <c r="E1707" t="s">
        <v>478</v>
      </c>
      <c r="F1707" t="s">
        <v>667</v>
      </c>
      <c r="G1707" t="s">
        <v>667</v>
      </c>
      <c r="H1707" t="s">
        <v>668</v>
      </c>
      <c r="I1707" t="s">
        <v>67</v>
      </c>
      <c r="J1707" t="str">
        <f>IFERROR(VLOOKUP(I1707,[1]AUTOS!$C:$G,2,0),"")</f>
        <v>KIA RIO</v>
      </c>
      <c r="K1707">
        <f>IFERROR(VLOOKUP(I1707,[1]AUTOS!$C:$G,3,0),"")</f>
        <v>2020</v>
      </c>
      <c r="L1707" t="str">
        <f>IFERROR(VLOOKUP(I1707,[1]AUTOS!$C:$G,4,0),"")</f>
        <v>GRIS</v>
      </c>
      <c r="M1707" t="s">
        <v>43</v>
      </c>
      <c r="N1707" s="3">
        <v>10</v>
      </c>
      <c r="O1707" s="3">
        <v>2500</v>
      </c>
      <c r="P1707" s="3">
        <v>10</v>
      </c>
      <c r="Q1707" s="3">
        <v>0</v>
      </c>
    </row>
    <row r="1708" spans="1:17" hidden="1" x14ac:dyDescent="0.3">
      <c r="A1708">
        <v>17</v>
      </c>
      <c r="B1708" t="str">
        <f>VLOOKUP($A1708,[1]LISTA!$B:$C,2,0)</f>
        <v>ABRIL</v>
      </c>
      <c r="C1708" s="1">
        <v>2025</v>
      </c>
      <c r="D1708" s="1" t="str">
        <f>IF($A1708&lt;=[1]RESULTADOS!$D$6,"YTD","YTG")</f>
        <v>YTD</v>
      </c>
      <c r="E1708" t="s">
        <v>690</v>
      </c>
      <c r="F1708" t="s">
        <v>667</v>
      </c>
      <c r="G1708" t="s">
        <v>667</v>
      </c>
      <c r="H1708" t="s">
        <v>668</v>
      </c>
      <c r="I1708" t="s">
        <v>82</v>
      </c>
      <c r="J1708" t="str">
        <f>IFERROR(VLOOKUP(I1708,[1]AUTOS!$C:$G,2,0),"")</f>
        <v>AVEO</v>
      </c>
      <c r="K1708">
        <f>IFERROR(VLOOKUP(I1708,[1]AUTOS!$C:$G,3,0),"")</f>
        <v>2019</v>
      </c>
      <c r="L1708" t="str">
        <f>IFERROR(VLOOKUP(I1708,[1]AUTOS!$C:$G,4,0),"")</f>
        <v>PLATA</v>
      </c>
      <c r="M1708" t="s">
        <v>43</v>
      </c>
      <c r="N1708" s="3">
        <v>2529</v>
      </c>
      <c r="O1708" s="3">
        <v>2500</v>
      </c>
      <c r="P1708" s="3">
        <v>3000</v>
      </c>
      <c r="Q1708" s="3">
        <v>500</v>
      </c>
    </row>
    <row r="1709" spans="1:17" hidden="1" x14ac:dyDescent="0.3">
      <c r="A1709">
        <v>17</v>
      </c>
      <c r="B1709" t="str">
        <f>VLOOKUP($A1709,[1]LISTA!$B:$C,2,0)</f>
        <v>ABRIL</v>
      </c>
      <c r="C1709" s="1">
        <v>2025</v>
      </c>
      <c r="D1709" s="1" t="str">
        <f>IF($A1709&lt;=[1]RESULTADOS!$D$6,"YTD","YTG")</f>
        <v>YTD</v>
      </c>
      <c r="E1709" t="s">
        <v>679</v>
      </c>
      <c r="F1709" t="s">
        <v>667</v>
      </c>
      <c r="G1709" t="s">
        <v>667</v>
      </c>
      <c r="H1709" t="s">
        <v>668</v>
      </c>
      <c r="I1709" t="s">
        <v>82</v>
      </c>
      <c r="J1709" t="str">
        <f>IFERROR(VLOOKUP(I1709,[1]AUTOS!$C:$G,2,0),"")</f>
        <v>AVEO</v>
      </c>
      <c r="K1709">
        <f>IFERROR(VLOOKUP(I1709,[1]AUTOS!$C:$G,3,0),"")</f>
        <v>2019</v>
      </c>
      <c r="L1709" t="str">
        <f>IFERROR(VLOOKUP(I1709,[1]AUTOS!$C:$G,4,0),"")</f>
        <v>PLATA</v>
      </c>
      <c r="M1709" t="s">
        <v>43</v>
      </c>
      <c r="N1709" s="3">
        <v>0</v>
      </c>
      <c r="O1709" s="3">
        <v>0</v>
      </c>
      <c r="P1709" s="3">
        <v>0</v>
      </c>
      <c r="Q1709" s="3">
        <v>0</v>
      </c>
    </row>
    <row r="1710" spans="1:17" x14ac:dyDescent="0.3">
      <c r="A1710">
        <v>17</v>
      </c>
      <c r="B1710" t="str">
        <f>VLOOKUP($A1710,[1]LISTA!$B:$C,2,0)</f>
        <v>ABRIL</v>
      </c>
      <c r="C1710" s="1">
        <v>2025</v>
      </c>
      <c r="D1710" s="1" t="str">
        <f>IF($A1710&lt;=[1]RESULTADOS!$D$6,"YTD","YTG")</f>
        <v>YTD</v>
      </c>
      <c r="E1710" t="s">
        <v>682</v>
      </c>
      <c r="F1710" t="s">
        <v>667</v>
      </c>
      <c r="G1710" t="s">
        <v>667</v>
      </c>
      <c r="H1710" t="s">
        <v>668</v>
      </c>
      <c r="I1710" t="s">
        <v>72</v>
      </c>
      <c r="J1710" t="str">
        <f>IFERROR(VLOOKUP(I1710,[1]AUTOS!$C:$G,2,0),"")</f>
        <v>VENTO</v>
      </c>
      <c r="K1710">
        <f>IFERROR(VLOOKUP(I1710,[1]AUTOS!$C:$G,3,0),"")</f>
        <v>2020</v>
      </c>
      <c r="L1710" t="str">
        <f>IFERROR(VLOOKUP(I1710,[1]AUTOS!$C:$G,4,0),"")</f>
        <v>GRIS</v>
      </c>
      <c r="M1710" t="s">
        <v>43</v>
      </c>
      <c r="N1710" s="3">
        <v>0</v>
      </c>
      <c r="O1710" s="3">
        <v>0</v>
      </c>
      <c r="P1710" s="3">
        <v>0</v>
      </c>
      <c r="Q1710" s="3">
        <v>0</v>
      </c>
    </row>
    <row r="1711" spans="1:17" hidden="1" x14ac:dyDescent="0.3">
      <c r="A1711">
        <v>17</v>
      </c>
      <c r="B1711" t="str">
        <f>VLOOKUP($A1711,[1]LISTA!$B:$C,2,0)</f>
        <v>ABRIL</v>
      </c>
      <c r="C1711" s="1">
        <v>2025</v>
      </c>
      <c r="D1711" s="1" t="str">
        <f>IF($A1711&lt;=[1]RESULTADOS!$D$6,"YTD","YTG")</f>
        <v>YTD</v>
      </c>
      <c r="E1711" t="s">
        <v>680</v>
      </c>
      <c r="F1711" t="s">
        <v>667</v>
      </c>
      <c r="G1711" t="s">
        <v>667</v>
      </c>
      <c r="H1711" t="s">
        <v>668</v>
      </c>
      <c r="I1711" t="s">
        <v>144</v>
      </c>
      <c r="J1711" t="str">
        <f>IFERROR(VLOOKUP(I1711,[1]AUTOS!$C:$G,2,0),"")</f>
        <v>VERSA</v>
      </c>
      <c r="K1711">
        <f>IFERROR(VLOOKUP(I1711,[1]AUTOS!$C:$G,3,0),"")</f>
        <v>2020</v>
      </c>
      <c r="L1711" t="str">
        <f>IFERROR(VLOOKUP(I1711,[1]AUTOS!$C:$G,4,0),"")</f>
        <v>ROJO</v>
      </c>
      <c r="M1711" t="s">
        <v>43</v>
      </c>
      <c r="N1711" s="3">
        <v>1729</v>
      </c>
      <c r="O1711" s="3">
        <v>2143</v>
      </c>
      <c r="P1711" s="3">
        <v>1729</v>
      </c>
      <c r="Q1711" s="3">
        <v>0</v>
      </c>
    </row>
    <row r="1712" spans="1:17" hidden="1" x14ac:dyDescent="0.3">
      <c r="A1712">
        <v>17</v>
      </c>
      <c r="B1712" t="str">
        <f>VLOOKUP($A1712,[1]LISTA!$B:$C,2,0)</f>
        <v>ABRIL</v>
      </c>
      <c r="C1712" s="1">
        <v>2025</v>
      </c>
      <c r="D1712" s="1" t="str">
        <f>IF($A1712&lt;=[1]RESULTADOS!$D$6,"YTD","YTG")</f>
        <v>YTD</v>
      </c>
      <c r="E1712" t="s">
        <v>456</v>
      </c>
      <c r="F1712" t="s">
        <v>667</v>
      </c>
      <c r="G1712" t="s">
        <v>667</v>
      </c>
      <c r="H1712" t="s">
        <v>668</v>
      </c>
      <c r="I1712" t="s">
        <v>116</v>
      </c>
      <c r="J1712" t="str">
        <f>IFERROR(VLOOKUP(I1712,[1]AUTOS!$C:$G,2,0),"")</f>
        <v>AVEO</v>
      </c>
      <c r="K1712">
        <f>IFERROR(VLOOKUP(I1712,[1]AUTOS!$C:$G,3,0),"")</f>
        <v>2022</v>
      </c>
      <c r="L1712" t="str">
        <f>IFERROR(VLOOKUP(I1712,[1]AUTOS!$C:$G,4,0),"")</f>
        <v>AZUL</v>
      </c>
      <c r="M1712" t="s">
        <v>43</v>
      </c>
      <c r="N1712" s="3">
        <v>7088</v>
      </c>
      <c r="O1712" s="3">
        <v>2500</v>
      </c>
      <c r="P1712" s="3">
        <v>4763</v>
      </c>
      <c r="Q1712" s="3">
        <v>0</v>
      </c>
    </row>
    <row r="1713" spans="1:17" hidden="1" x14ac:dyDescent="0.3">
      <c r="A1713">
        <v>17</v>
      </c>
      <c r="B1713" t="str">
        <f>VLOOKUP($A1713,[1]LISTA!$B:$C,2,0)</f>
        <v>ABRIL</v>
      </c>
      <c r="C1713" s="1">
        <v>2025</v>
      </c>
      <c r="D1713" s="1" t="str">
        <f>IF($A1713&lt;=[1]RESULTADOS!$D$6,"YTD","YTG")</f>
        <v>YTD</v>
      </c>
      <c r="E1713" t="s">
        <v>411</v>
      </c>
      <c r="F1713" t="s">
        <v>667</v>
      </c>
      <c r="G1713" t="s">
        <v>667</v>
      </c>
      <c r="H1713" t="s">
        <v>668</v>
      </c>
      <c r="I1713" t="s">
        <v>178</v>
      </c>
      <c r="J1713" t="str">
        <f>IFERROR(VLOOKUP(I1713,[1]AUTOS!$C:$G,2,0),"")</f>
        <v>VERSA</v>
      </c>
      <c r="K1713">
        <f>IFERROR(VLOOKUP(I1713,[1]AUTOS!$C:$G,3,0),"")</f>
        <v>2020</v>
      </c>
      <c r="L1713" t="str">
        <f>IFERROR(VLOOKUP(I1713,[1]AUTOS!$C:$G,4,0),"")</f>
        <v>BLANCO</v>
      </c>
      <c r="M1713" t="s">
        <v>43</v>
      </c>
      <c r="N1713" s="3">
        <v>6843</v>
      </c>
      <c r="O1713" s="3">
        <v>2143</v>
      </c>
      <c r="P1713" s="3">
        <v>2643</v>
      </c>
      <c r="Q1713" s="3">
        <v>500</v>
      </c>
    </row>
    <row r="1714" spans="1:17" hidden="1" x14ac:dyDescent="0.3">
      <c r="A1714">
        <v>17</v>
      </c>
      <c r="B1714" t="str">
        <f>VLOOKUP($A1714,[1]LISTA!$B:$C,2,0)</f>
        <v>ABRIL</v>
      </c>
      <c r="C1714" s="1">
        <v>2025</v>
      </c>
      <c r="D1714" s="1" t="str">
        <f>IF($A1714&lt;=[1]RESULTADOS!$D$6,"YTD","YTG")</f>
        <v>YTD</v>
      </c>
      <c r="E1714" t="s">
        <v>518</v>
      </c>
      <c r="F1714" t="s">
        <v>667</v>
      </c>
      <c r="G1714" t="s">
        <v>667</v>
      </c>
      <c r="H1714" t="s">
        <v>668</v>
      </c>
      <c r="I1714" t="s">
        <v>37</v>
      </c>
      <c r="J1714" t="str">
        <f>IFERROR(VLOOKUP(I1714,[1]AUTOS!$C:$G,2,0),"")</f>
        <v>BEAT</v>
      </c>
      <c r="K1714">
        <f>IFERROR(VLOOKUP(I1714,[1]AUTOS!$C:$G,3,0),"")</f>
        <v>2020</v>
      </c>
      <c r="L1714" t="str">
        <f>IFERROR(VLOOKUP(I1714,[1]AUTOS!$C:$G,4,0),"")</f>
        <v>GRIS</v>
      </c>
      <c r="M1714" t="s">
        <v>43</v>
      </c>
      <c r="N1714" s="3">
        <v>0</v>
      </c>
      <c r="O1714" s="3">
        <v>0</v>
      </c>
      <c r="P1714" s="3">
        <v>0</v>
      </c>
      <c r="Q1714" s="3">
        <v>0</v>
      </c>
    </row>
    <row r="1715" spans="1:17" hidden="1" x14ac:dyDescent="0.3">
      <c r="A1715">
        <v>17</v>
      </c>
      <c r="B1715" t="str">
        <f>VLOOKUP($A1715,[1]LISTA!$B:$C,2,0)</f>
        <v>ABRIL</v>
      </c>
      <c r="C1715" s="1">
        <v>2025</v>
      </c>
      <c r="D1715" s="1" t="str">
        <f>IF($A1715&lt;=[1]RESULTADOS!$D$6,"YTD","YTG")</f>
        <v>YTD</v>
      </c>
      <c r="E1715" t="s">
        <v>526</v>
      </c>
      <c r="F1715" t="s">
        <v>667</v>
      </c>
      <c r="G1715" t="s">
        <v>667</v>
      </c>
      <c r="H1715" t="s">
        <v>668</v>
      </c>
      <c r="I1715" t="s">
        <v>61</v>
      </c>
      <c r="J1715" t="str">
        <f>IFERROR(VLOOKUP(I1715,[1]AUTOS!$C:$G,2,0),"")</f>
        <v>KIA RIO</v>
      </c>
      <c r="K1715">
        <f>IFERROR(VLOOKUP(I1715,[1]AUTOS!$C:$G,3,0),"")</f>
        <v>2017</v>
      </c>
      <c r="L1715" t="str">
        <f>IFERROR(VLOOKUP(I1715,[1]AUTOS!$C:$G,4,0),"")</f>
        <v>ROJO</v>
      </c>
      <c r="M1715" t="s">
        <v>43</v>
      </c>
      <c r="N1715" s="3">
        <v>6790</v>
      </c>
      <c r="O1715" s="3">
        <v>2350</v>
      </c>
      <c r="P1715" s="3">
        <v>2850</v>
      </c>
      <c r="Q1715" s="3">
        <v>500</v>
      </c>
    </row>
    <row r="1716" spans="1:17" hidden="1" x14ac:dyDescent="0.3">
      <c r="A1716">
        <v>17</v>
      </c>
      <c r="B1716" t="str">
        <f>VLOOKUP($A1716,[1]LISTA!$B:$C,2,0)</f>
        <v>ABRIL</v>
      </c>
      <c r="C1716" s="1">
        <v>2025</v>
      </c>
      <c r="D1716" s="1" t="str">
        <f>IF($A1716&lt;=[1]RESULTADOS!$D$6,"YTD","YTG")</f>
        <v>YTD</v>
      </c>
      <c r="E1716" t="s">
        <v>674</v>
      </c>
      <c r="F1716" t="s">
        <v>667</v>
      </c>
      <c r="G1716" t="s">
        <v>667</v>
      </c>
      <c r="H1716" t="s">
        <v>668</v>
      </c>
      <c r="I1716" t="s">
        <v>46</v>
      </c>
      <c r="J1716" t="str">
        <f>IFERROR(VLOOKUP(I1716,[1]AUTOS!$C:$G,2,0),"")</f>
        <v>MARCH</v>
      </c>
      <c r="K1716">
        <f>IFERROR(VLOOKUP(I1716,[1]AUTOS!$C:$G,3,0),"")</f>
        <v>2020</v>
      </c>
      <c r="L1716" t="str">
        <f>IFERROR(VLOOKUP(I1716,[1]AUTOS!$C:$G,4,0),"")</f>
        <v>TURQ</v>
      </c>
      <c r="M1716" t="s">
        <v>43</v>
      </c>
      <c r="N1716" s="3">
        <v>3759</v>
      </c>
      <c r="O1716" s="3">
        <v>2500</v>
      </c>
      <c r="P1716" s="3">
        <v>3759</v>
      </c>
      <c r="Q1716" s="3">
        <v>0</v>
      </c>
    </row>
    <row r="1717" spans="1:17" hidden="1" x14ac:dyDescent="0.3">
      <c r="A1717">
        <v>17</v>
      </c>
      <c r="B1717" t="str">
        <f>VLOOKUP($A1717,[1]LISTA!$B:$C,2,0)</f>
        <v>ABRIL</v>
      </c>
      <c r="C1717" s="1">
        <v>2025</v>
      </c>
      <c r="D1717" s="1" t="str">
        <f>IF($A1717&lt;=[1]RESULTADOS!$D$6,"YTD","YTG")</f>
        <v>YTD</v>
      </c>
      <c r="E1717" t="s">
        <v>681</v>
      </c>
      <c r="F1717" t="s">
        <v>667</v>
      </c>
      <c r="G1717" t="s">
        <v>667</v>
      </c>
      <c r="H1717" t="s">
        <v>668</v>
      </c>
      <c r="I1717" t="s">
        <v>76</v>
      </c>
      <c r="J1717" t="str">
        <f>IFERROR(VLOOKUP(I1717,[1]AUTOS!$C:$G,2,0),"")</f>
        <v>AVEO</v>
      </c>
      <c r="K1717">
        <f>IFERROR(VLOOKUP(I1717,[1]AUTOS!$C:$G,3,0),"")</f>
        <v>2018</v>
      </c>
      <c r="L1717" t="str">
        <f>IFERROR(VLOOKUP(I1717,[1]AUTOS!$C:$G,4,0),"")</f>
        <v>GRIS</v>
      </c>
      <c r="M1717" t="s">
        <v>43</v>
      </c>
      <c r="N1717" s="3">
        <v>3801</v>
      </c>
      <c r="O1717" s="3">
        <v>2500</v>
      </c>
      <c r="P1717" s="3">
        <v>2561</v>
      </c>
      <c r="Q1717" s="3">
        <v>0</v>
      </c>
    </row>
    <row r="1718" spans="1:17" hidden="1" x14ac:dyDescent="0.3">
      <c r="A1718">
        <v>17</v>
      </c>
      <c r="B1718" t="str">
        <f>VLOOKUP($A1718,[1]LISTA!$B:$C,2,0)</f>
        <v>ABRIL</v>
      </c>
      <c r="C1718" s="1">
        <v>2025</v>
      </c>
      <c r="D1718" s="1" t="str">
        <f>IF($A1718&lt;=[1]RESULTADOS!$D$6,"YTD","YTG")</f>
        <v>YTD</v>
      </c>
      <c r="E1718" t="s">
        <v>675</v>
      </c>
      <c r="F1718" t="s">
        <v>667</v>
      </c>
      <c r="G1718" t="s">
        <v>667</v>
      </c>
      <c r="H1718" t="s">
        <v>668</v>
      </c>
      <c r="I1718" t="s">
        <v>40</v>
      </c>
      <c r="J1718" t="str">
        <f>IFERROR(VLOOKUP(I1718,[1]AUTOS!$C:$G,2,0),"")</f>
        <v>VERSA</v>
      </c>
      <c r="K1718">
        <f>IFERROR(VLOOKUP(I1718,[1]AUTOS!$C:$G,3,0),"")</f>
        <v>2017</v>
      </c>
      <c r="L1718" t="str">
        <f>IFERROR(VLOOKUP(I1718,[1]AUTOS!$C:$G,4,0),"")</f>
        <v>ACERO</v>
      </c>
      <c r="M1718" t="s">
        <v>43</v>
      </c>
      <c r="N1718" s="3">
        <v>2964</v>
      </c>
      <c r="O1718" s="3">
        <v>2500</v>
      </c>
      <c r="P1718" s="3">
        <v>2495</v>
      </c>
      <c r="Q1718" s="3">
        <v>0</v>
      </c>
    </row>
    <row r="1719" spans="1:17" hidden="1" x14ac:dyDescent="0.3">
      <c r="A1719">
        <v>17</v>
      </c>
      <c r="B1719" t="str">
        <f>VLOOKUP($A1719,[1]LISTA!$B:$C,2,0)</f>
        <v>ABRIL</v>
      </c>
      <c r="C1719" s="1">
        <v>2025</v>
      </c>
      <c r="D1719" s="1" t="str">
        <f>IF($A1719&lt;=[1]RESULTADOS!$D$6,"YTD","YTG")</f>
        <v>YTD</v>
      </c>
      <c r="E1719" t="s">
        <v>688</v>
      </c>
      <c r="F1719" t="s">
        <v>667</v>
      </c>
      <c r="G1719" t="s">
        <v>667</v>
      </c>
      <c r="H1719" t="s">
        <v>668</v>
      </c>
      <c r="I1719" t="s">
        <v>139</v>
      </c>
      <c r="J1719" t="str">
        <f>IFERROR(VLOOKUP(I1719,[1]AUTOS!$C:$G,2,0),"")</f>
        <v>SWIFT</v>
      </c>
      <c r="K1719">
        <f>IFERROR(VLOOKUP(I1719,[1]AUTOS!$C:$G,3,0),"")</f>
        <v>2017</v>
      </c>
      <c r="L1719" t="str">
        <f>IFERROR(VLOOKUP(I1719,[1]AUTOS!$C:$G,4,0),"")</f>
        <v>ROJO</v>
      </c>
      <c r="M1719" t="s">
        <v>43</v>
      </c>
      <c r="N1719" s="3">
        <v>2608</v>
      </c>
      <c r="O1719" s="3">
        <v>2500</v>
      </c>
      <c r="P1719" s="3">
        <v>2962</v>
      </c>
      <c r="Q1719" s="3">
        <v>500</v>
      </c>
    </row>
    <row r="1720" spans="1:17" hidden="1" x14ac:dyDescent="0.3">
      <c r="A1720">
        <v>17</v>
      </c>
      <c r="B1720" t="str">
        <f>VLOOKUP($A1720,[1]LISTA!$B:$C,2,0)</f>
        <v>ABRIL</v>
      </c>
      <c r="C1720" s="1">
        <v>2025</v>
      </c>
      <c r="D1720" s="1" t="str">
        <f>IF($A1720&lt;=[1]RESULTADOS!$D$6,"YTD","YTG")</f>
        <v>YTD</v>
      </c>
      <c r="E1720" t="s">
        <v>403</v>
      </c>
      <c r="F1720" t="s">
        <v>667</v>
      </c>
      <c r="G1720" t="s">
        <v>667</v>
      </c>
      <c r="H1720" t="s">
        <v>668</v>
      </c>
      <c r="I1720" t="s">
        <v>51</v>
      </c>
      <c r="J1720" t="str">
        <f>IFERROR(VLOOKUP(I1720,[1]AUTOS!$C:$G,2,0),"")</f>
        <v>VENTO</v>
      </c>
      <c r="K1720">
        <f>IFERROR(VLOOKUP(I1720,[1]AUTOS!$C:$G,3,0),"")</f>
        <v>2017</v>
      </c>
      <c r="L1720" t="str">
        <f>IFERROR(VLOOKUP(I1720,[1]AUTOS!$C:$G,4,0),"")</f>
        <v>GRIS</v>
      </c>
      <c r="M1720" t="s">
        <v>43</v>
      </c>
      <c r="N1720" s="3">
        <v>3170</v>
      </c>
      <c r="O1720" s="3">
        <v>2300</v>
      </c>
      <c r="P1720" s="3">
        <v>2300</v>
      </c>
      <c r="Q1720" s="3">
        <v>0</v>
      </c>
    </row>
    <row r="1721" spans="1:17" hidden="1" x14ac:dyDescent="0.3">
      <c r="A1721">
        <v>17</v>
      </c>
      <c r="B1721" t="str">
        <f>VLOOKUP($A1721,[1]LISTA!$B:$C,2,0)</f>
        <v>ABRIL</v>
      </c>
      <c r="C1721" s="1">
        <v>2025</v>
      </c>
      <c r="D1721" s="1" t="str">
        <f>IF($A1721&lt;=[1]RESULTADOS!$D$6,"YTD","YTG")</f>
        <v>YTD</v>
      </c>
      <c r="E1721" t="s">
        <v>470</v>
      </c>
      <c r="F1721" t="s">
        <v>667</v>
      </c>
      <c r="G1721" t="s">
        <v>667</v>
      </c>
      <c r="H1721" t="s">
        <v>668</v>
      </c>
      <c r="I1721" t="s">
        <v>59</v>
      </c>
      <c r="J1721" t="str">
        <f>IFERROR(VLOOKUP(I1721,[1]AUTOS!$C:$G,2,0),"")</f>
        <v>AVEO</v>
      </c>
      <c r="K1721">
        <f>IFERROR(VLOOKUP(I1721,[1]AUTOS!$C:$G,3,0),"")</f>
        <v>2019</v>
      </c>
      <c r="L1721" t="str">
        <f>IFERROR(VLOOKUP(I1721,[1]AUTOS!$C:$G,4,0),"")</f>
        <v>BLANCO</v>
      </c>
      <c r="M1721" t="s">
        <v>43</v>
      </c>
      <c r="N1721" s="3">
        <v>4488</v>
      </c>
      <c r="O1721" s="3">
        <v>2500</v>
      </c>
      <c r="P1721" s="3">
        <v>2500</v>
      </c>
      <c r="Q1721" s="3">
        <v>0</v>
      </c>
    </row>
    <row r="1722" spans="1:17" hidden="1" x14ac:dyDescent="0.3">
      <c r="A1722">
        <v>17</v>
      </c>
      <c r="B1722" t="str">
        <f>VLOOKUP($A1722,[1]LISTA!$B:$C,2,0)</f>
        <v>ABRIL</v>
      </c>
      <c r="C1722" s="1">
        <v>2025</v>
      </c>
      <c r="D1722" s="1" t="str">
        <f>IF($A1722&lt;=[1]RESULTADOS!$D$6,"YTD","YTG")</f>
        <v>YTD</v>
      </c>
      <c r="E1722" t="s">
        <v>689</v>
      </c>
      <c r="F1722" t="s">
        <v>667</v>
      </c>
      <c r="G1722" t="s">
        <v>667</v>
      </c>
      <c r="H1722" t="s">
        <v>668</v>
      </c>
      <c r="I1722" t="s">
        <v>185</v>
      </c>
      <c r="J1722" t="str">
        <f>IFERROR(VLOOKUP(I1722,[1]AUTOS!$C:$G,2,0),"")</f>
        <v>MARCH</v>
      </c>
      <c r="K1722">
        <f>IFERROR(VLOOKUP(I1722,[1]AUTOS!$C:$G,3,0),"")</f>
        <v>2021</v>
      </c>
      <c r="L1722" t="str">
        <f>IFERROR(VLOOKUP(I1722,[1]AUTOS!$C:$G,4,0),"")</f>
        <v>ROJO</v>
      </c>
      <c r="M1722" t="s">
        <v>43</v>
      </c>
      <c r="N1722" s="3">
        <v>384</v>
      </c>
      <c r="O1722" s="3">
        <v>2500</v>
      </c>
      <c r="P1722" s="3">
        <v>2384</v>
      </c>
      <c r="Q1722" s="3">
        <v>1000</v>
      </c>
    </row>
    <row r="1723" spans="1:17" hidden="1" x14ac:dyDescent="0.3">
      <c r="A1723">
        <v>18</v>
      </c>
      <c r="B1723" t="str">
        <f>VLOOKUP($A1723,[1]LISTA!$B:$C,2,0)</f>
        <v>MAYO</v>
      </c>
      <c r="C1723" s="1">
        <v>2025</v>
      </c>
      <c r="D1723" s="1" t="str">
        <f>IF($A1723&lt;=[1]RESULTADOS!$D$6,"YTD","YTG")</f>
        <v>YTD</v>
      </c>
      <c r="E1723" t="s">
        <v>492</v>
      </c>
      <c r="F1723" t="s">
        <v>667</v>
      </c>
      <c r="G1723" t="s">
        <v>667</v>
      </c>
      <c r="H1723" t="s">
        <v>668</v>
      </c>
      <c r="I1723" t="s">
        <v>178</v>
      </c>
      <c r="J1723" t="str">
        <f>IFERROR(VLOOKUP(I1723,[1]AUTOS!$C:$G,2,0),"")</f>
        <v>VERSA</v>
      </c>
      <c r="K1723">
        <f>IFERROR(VLOOKUP(I1723,[1]AUTOS!$C:$G,3,0),"")</f>
        <v>2020</v>
      </c>
      <c r="L1723" t="str">
        <f>IFERROR(VLOOKUP(I1723,[1]AUTOS!$C:$G,4,0),"")</f>
        <v>BLANCO</v>
      </c>
      <c r="M1723" t="s">
        <v>43</v>
      </c>
      <c r="N1723" s="3">
        <v>614</v>
      </c>
      <c r="O1723" s="3">
        <v>2500</v>
      </c>
      <c r="P1723" s="3">
        <v>2500</v>
      </c>
      <c r="Q1723" s="3">
        <v>0</v>
      </c>
    </row>
    <row r="1724" spans="1:17" hidden="1" x14ac:dyDescent="0.3">
      <c r="A1724">
        <v>18</v>
      </c>
      <c r="B1724" t="str">
        <f>VLOOKUP($A1724,[1]LISTA!$B:$C,2,0)</f>
        <v>MAYO</v>
      </c>
      <c r="C1724" s="1">
        <v>2025</v>
      </c>
      <c r="D1724" s="1" t="str">
        <f>IF($A1724&lt;=[1]RESULTADOS!$D$6,"YTD","YTG")</f>
        <v>YTD</v>
      </c>
      <c r="E1724" t="s">
        <v>478</v>
      </c>
      <c r="F1724" t="s">
        <v>667</v>
      </c>
      <c r="G1724" t="s">
        <v>667</v>
      </c>
      <c r="H1724" t="s">
        <v>668</v>
      </c>
      <c r="I1724" t="s">
        <v>67</v>
      </c>
      <c r="J1724" t="str">
        <f>IFERROR(VLOOKUP(I1724,[1]AUTOS!$C:$G,2,0),"")</f>
        <v>KIA RIO</v>
      </c>
      <c r="K1724">
        <f>IFERROR(VLOOKUP(I1724,[1]AUTOS!$C:$G,3,0),"")</f>
        <v>2020</v>
      </c>
      <c r="L1724" t="str">
        <f>IFERROR(VLOOKUP(I1724,[1]AUTOS!$C:$G,4,0),"")</f>
        <v>GRIS</v>
      </c>
      <c r="M1724" t="s">
        <v>43</v>
      </c>
      <c r="N1724" s="3">
        <v>0</v>
      </c>
      <c r="O1724" s="3">
        <v>0</v>
      </c>
      <c r="P1724" s="3">
        <v>-500</v>
      </c>
      <c r="Q1724" s="3">
        <v>-500</v>
      </c>
    </row>
    <row r="1725" spans="1:17" hidden="1" x14ac:dyDescent="0.3">
      <c r="A1725">
        <v>18</v>
      </c>
      <c r="B1725" t="str">
        <f>VLOOKUP($A1725,[1]LISTA!$B:$C,2,0)</f>
        <v>MAYO</v>
      </c>
      <c r="C1725" s="1">
        <v>2025</v>
      </c>
      <c r="D1725" s="1" t="str">
        <f>IF($A1725&lt;=[1]RESULTADOS!$D$6,"YTD","YTG")</f>
        <v>YTD</v>
      </c>
      <c r="E1725" t="s">
        <v>690</v>
      </c>
      <c r="F1725" t="s">
        <v>667</v>
      </c>
      <c r="G1725" t="s">
        <v>667</v>
      </c>
      <c r="H1725" t="s">
        <v>668</v>
      </c>
      <c r="I1725" t="s">
        <v>82</v>
      </c>
      <c r="J1725" t="str">
        <f>IFERROR(VLOOKUP(I1725,[1]AUTOS!$C:$G,2,0),"")</f>
        <v>AVEO</v>
      </c>
      <c r="K1725">
        <f>IFERROR(VLOOKUP(I1725,[1]AUTOS!$C:$G,3,0),"")</f>
        <v>2019</v>
      </c>
      <c r="L1725" t="str">
        <f>IFERROR(VLOOKUP(I1725,[1]AUTOS!$C:$G,4,0),"")</f>
        <v>PLATA</v>
      </c>
      <c r="M1725" t="s">
        <v>43</v>
      </c>
      <c r="N1725" s="3">
        <v>1584</v>
      </c>
      <c r="O1725" s="3">
        <v>2500</v>
      </c>
      <c r="P1725" s="3">
        <v>1584</v>
      </c>
      <c r="Q1725" s="3">
        <v>500</v>
      </c>
    </row>
    <row r="1726" spans="1:17" hidden="1" x14ac:dyDescent="0.3">
      <c r="A1726">
        <v>18</v>
      </c>
      <c r="B1726" t="str">
        <f>VLOOKUP($A1726,[1]LISTA!$B:$C,2,0)</f>
        <v>MAYO</v>
      </c>
      <c r="C1726" s="1">
        <v>2025</v>
      </c>
      <c r="D1726" s="1" t="str">
        <f>IF($A1726&lt;=[1]RESULTADOS!$D$6,"YTD","YTG")</f>
        <v>YTD</v>
      </c>
      <c r="E1726" t="s">
        <v>679</v>
      </c>
      <c r="F1726" t="s">
        <v>667</v>
      </c>
      <c r="G1726" t="s">
        <v>667</v>
      </c>
      <c r="H1726" t="s">
        <v>668</v>
      </c>
      <c r="I1726" t="s">
        <v>82</v>
      </c>
      <c r="J1726" t="str">
        <f>IFERROR(VLOOKUP(I1726,[1]AUTOS!$C:$G,2,0),"")</f>
        <v>AVEO</v>
      </c>
      <c r="K1726">
        <f>IFERROR(VLOOKUP(I1726,[1]AUTOS!$C:$G,3,0),"")</f>
        <v>2019</v>
      </c>
      <c r="L1726" t="str">
        <f>IFERROR(VLOOKUP(I1726,[1]AUTOS!$C:$G,4,0),"")</f>
        <v>PLATA</v>
      </c>
      <c r="M1726" t="s">
        <v>43</v>
      </c>
      <c r="N1726" s="3">
        <v>0</v>
      </c>
      <c r="O1726" s="3">
        <v>0</v>
      </c>
      <c r="P1726" s="3">
        <v>0</v>
      </c>
      <c r="Q1726" s="3">
        <v>0</v>
      </c>
    </row>
    <row r="1727" spans="1:17" x14ac:dyDescent="0.3">
      <c r="A1727">
        <v>18</v>
      </c>
      <c r="B1727" t="str">
        <f>VLOOKUP($A1727,[1]LISTA!$B:$C,2,0)</f>
        <v>MAYO</v>
      </c>
      <c r="C1727" s="1">
        <v>2025</v>
      </c>
      <c r="D1727" s="1" t="str">
        <f>IF($A1727&lt;=[1]RESULTADOS!$D$6,"YTD","YTG")</f>
        <v>YTD</v>
      </c>
      <c r="E1727" t="s">
        <v>436</v>
      </c>
      <c r="F1727" t="s">
        <v>667</v>
      </c>
      <c r="G1727" t="s">
        <v>667</v>
      </c>
      <c r="H1727" t="s">
        <v>668</v>
      </c>
      <c r="I1727" t="s">
        <v>72</v>
      </c>
      <c r="J1727" t="str">
        <f>IFERROR(VLOOKUP(I1727,[1]AUTOS!$C:$G,2,0),"")</f>
        <v>VENTO</v>
      </c>
      <c r="K1727">
        <f>IFERROR(VLOOKUP(I1727,[1]AUTOS!$C:$G,3,0),"")</f>
        <v>2020</v>
      </c>
      <c r="L1727" t="str">
        <f>IFERROR(VLOOKUP(I1727,[1]AUTOS!$C:$G,4,0),"")</f>
        <v>GRIS</v>
      </c>
      <c r="M1727" t="s">
        <v>43</v>
      </c>
      <c r="N1727" s="3">
        <v>2508</v>
      </c>
      <c r="O1727" s="3">
        <v>1611</v>
      </c>
      <c r="P1727" s="3">
        <v>1611</v>
      </c>
      <c r="Q1727" s="3">
        <v>0</v>
      </c>
    </row>
    <row r="1728" spans="1:17" hidden="1" x14ac:dyDescent="0.3">
      <c r="A1728">
        <v>18</v>
      </c>
      <c r="B1728" t="str">
        <f>VLOOKUP($A1728,[1]LISTA!$B:$C,2,0)</f>
        <v>MAYO</v>
      </c>
      <c r="C1728" s="1">
        <v>2025</v>
      </c>
      <c r="D1728" s="1" t="str">
        <f>IF($A1728&lt;=[1]RESULTADOS!$D$6,"YTD","YTG")</f>
        <v>YTD</v>
      </c>
      <c r="E1728" t="s">
        <v>680</v>
      </c>
      <c r="F1728" t="s">
        <v>667</v>
      </c>
      <c r="G1728" t="s">
        <v>667</v>
      </c>
      <c r="H1728" t="s">
        <v>668</v>
      </c>
      <c r="I1728" t="s">
        <v>144</v>
      </c>
      <c r="J1728" t="str">
        <f>IFERROR(VLOOKUP(I1728,[1]AUTOS!$C:$G,2,0),"")</f>
        <v>VERSA</v>
      </c>
      <c r="K1728">
        <f>IFERROR(VLOOKUP(I1728,[1]AUTOS!$C:$G,3,0),"")</f>
        <v>2020</v>
      </c>
      <c r="L1728" t="str">
        <f>IFERROR(VLOOKUP(I1728,[1]AUTOS!$C:$G,4,0),"")</f>
        <v>ROJO</v>
      </c>
      <c r="M1728" t="s">
        <v>43</v>
      </c>
      <c r="N1728" s="3">
        <v>3626</v>
      </c>
      <c r="O1728" s="3">
        <v>2500</v>
      </c>
      <c r="P1728" s="3">
        <v>2914</v>
      </c>
      <c r="Q1728" s="3">
        <v>0</v>
      </c>
    </row>
    <row r="1729" spans="1:17" hidden="1" x14ac:dyDescent="0.3">
      <c r="A1729">
        <v>18</v>
      </c>
      <c r="B1729" t="str">
        <f>VLOOKUP($A1729,[1]LISTA!$B:$C,2,0)</f>
        <v>MAYO</v>
      </c>
      <c r="C1729" s="1">
        <v>2025</v>
      </c>
      <c r="D1729" s="1" t="str">
        <f>IF($A1729&lt;=[1]RESULTADOS!$D$6,"YTD","YTG")</f>
        <v>YTD</v>
      </c>
      <c r="E1729" t="s">
        <v>456</v>
      </c>
      <c r="F1729" t="s">
        <v>667</v>
      </c>
      <c r="G1729" t="s">
        <v>667</v>
      </c>
      <c r="H1729" t="s">
        <v>668</v>
      </c>
      <c r="I1729" t="s">
        <v>116</v>
      </c>
      <c r="J1729" t="str">
        <f>IFERROR(VLOOKUP(I1729,[1]AUTOS!$C:$G,2,0),"")</f>
        <v>AVEO</v>
      </c>
      <c r="K1729">
        <f>IFERROR(VLOOKUP(I1729,[1]AUTOS!$C:$G,3,0),"")</f>
        <v>2022</v>
      </c>
      <c r="L1729" t="str">
        <f>IFERROR(VLOOKUP(I1729,[1]AUTOS!$C:$G,4,0),"")</f>
        <v>AZUL</v>
      </c>
      <c r="M1729" t="s">
        <v>43</v>
      </c>
      <c r="N1729" s="3">
        <v>5443</v>
      </c>
      <c r="O1729" s="3">
        <v>2500</v>
      </c>
      <c r="P1729" s="3">
        <v>4200</v>
      </c>
      <c r="Q1729" s="3">
        <v>0</v>
      </c>
    </row>
    <row r="1730" spans="1:17" hidden="1" x14ac:dyDescent="0.3">
      <c r="A1730">
        <v>18</v>
      </c>
      <c r="B1730" t="str">
        <f>VLOOKUP($A1730,[1]LISTA!$B:$C,2,0)</f>
        <v>MAYO</v>
      </c>
      <c r="C1730" s="1">
        <v>2025</v>
      </c>
      <c r="D1730" s="1" t="str">
        <f>IF($A1730&lt;=[1]RESULTADOS!$D$6,"YTD","YTG")</f>
        <v>YTD</v>
      </c>
      <c r="E1730" t="s">
        <v>411</v>
      </c>
      <c r="F1730" t="s">
        <v>667</v>
      </c>
      <c r="G1730" t="s">
        <v>667</v>
      </c>
      <c r="H1730" t="s">
        <v>668</v>
      </c>
      <c r="I1730" t="s">
        <v>42</v>
      </c>
      <c r="J1730" t="str">
        <f>IFERROR(VLOOKUP(I1730,[1]AUTOS!$C:$G,2,0),"")</f>
        <v>VENTO</v>
      </c>
      <c r="K1730">
        <f>IFERROR(VLOOKUP(I1730,[1]AUTOS!$C:$G,3,0),"")</f>
        <v>2018</v>
      </c>
      <c r="L1730" t="str">
        <f>IFERROR(VLOOKUP(I1730,[1]AUTOS!$C:$G,4,0),"")</f>
        <v>AMARILLO</v>
      </c>
      <c r="M1730" t="s">
        <v>43</v>
      </c>
      <c r="N1730" s="3">
        <v>8510</v>
      </c>
      <c r="O1730" s="3">
        <v>2500</v>
      </c>
      <c r="P1730" s="3">
        <v>2500</v>
      </c>
      <c r="Q1730" s="3">
        <v>0</v>
      </c>
    </row>
    <row r="1731" spans="1:17" hidden="1" x14ac:dyDescent="0.3">
      <c r="A1731">
        <v>18</v>
      </c>
      <c r="B1731" t="str">
        <f>VLOOKUP($A1731,[1]LISTA!$B:$C,2,0)</f>
        <v>MAYO</v>
      </c>
      <c r="C1731" s="1">
        <v>2025</v>
      </c>
      <c r="D1731" s="1" t="str">
        <f>IF($A1731&lt;=[1]RESULTADOS!$D$6,"YTD","YTG")</f>
        <v>YTD</v>
      </c>
      <c r="E1731" t="s">
        <v>518</v>
      </c>
      <c r="F1731" t="s">
        <v>667</v>
      </c>
      <c r="G1731" t="s">
        <v>667</v>
      </c>
      <c r="H1731" t="s">
        <v>668</v>
      </c>
      <c r="I1731" t="s">
        <v>37</v>
      </c>
      <c r="J1731" t="str">
        <f>IFERROR(VLOOKUP(I1731,[1]AUTOS!$C:$G,2,0),"")</f>
        <v>BEAT</v>
      </c>
      <c r="K1731">
        <f>IFERROR(VLOOKUP(I1731,[1]AUTOS!$C:$G,3,0),"")</f>
        <v>2020</v>
      </c>
      <c r="L1731" t="str">
        <f>IFERROR(VLOOKUP(I1731,[1]AUTOS!$C:$G,4,0),"")</f>
        <v>GRIS</v>
      </c>
      <c r="M1731" t="s">
        <v>43</v>
      </c>
      <c r="N1731" s="3">
        <v>0</v>
      </c>
      <c r="O1731" s="3">
        <v>0</v>
      </c>
      <c r="P1731" s="3">
        <v>7431</v>
      </c>
      <c r="Q1731" s="3">
        <v>0</v>
      </c>
    </row>
    <row r="1732" spans="1:17" hidden="1" x14ac:dyDescent="0.3">
      <c r="A1732">
        <v>18</v>
      </c>
      <c r="B1732" t="str">
        <f>VLOOKUP($A1732,[1]LISTA!$B:$C,2,0)</f>
        <v>MAYO</v>
      </c>
      <c r="C1732" s="1">
        <v>2025</v>
      </c>
      <c r="D1732" s="1" t="str">
        <f>IF($A1732&lt;=[1]RESULTADOS!$D$6,"YTD","YTG")</f>
        <v>YTD</v>
      </c>
      <c r="E1732" t="s">
        <v>526</v>
      </c>
      <c r="F1732" t="s">
        <v>667</v>
      </c>
      <c r="G1732" t="s">
        <v>667</v>
      </c>
      <c r="H1732" t="s">
        <v>668</v>
      </c>
      <c r="I1732" t="s">
        <v>61</v>
      </c>
      <c r="J1732" t="str">
        <f>IFERROR(VLOOKUP(I1732,[1]AUTOS!$C:$G,2,0),"")</f>
        <v>KIA RIO</v>
      </c>
      <c r="K1732">
        <f>IFERROR(VLOOKUP(I1732,[1]AUTOS!$C:$G,3,0),"")</f>
        <v>2017</v>
      </c>
      <c r="L1732" t="str">
        <f>IFERROR(VLOOKUP(I1732,[1]AUTOS!$C:$G,4,0),"")</f>
        <v>ROJO</v>
      </c>
      <c r="M1732" t="s">
        <v>43</v>
      </c>
      <c r="N1732" s="3">
        <v>4192</v>
      </c>
      <c r="O1732" s="3">
        <v>2350</v>
      </c>
      <c r="P1732" s="3">
        <v>2350</v>
      </c>
      <c r="Q1732" s="3">
        <v>0</v>
      </c>
    </row>
    <row r="1733" spans="1:17" hidden="1" x14ac:dyDescent="0.3">
      <c r="A1733">
        <v>18</v>
      </c>
      <c r="B1733" t="str">
        <f>VLOOKUP($A1733,[1]LISTA!$B:$C,2,0)</f>
        <v>MAYO</v>
      </c>
      <c r="C1733" s="1">
        <v>2025</v>
      </c>
      <c r="D1733" s="1" t="str">
        <f>IF($A1733&lt;=[1]RESULTADOS!$D$6,"YTD","YTG")</f>
        <v>YTD</v>
      </c>
      <c r="E1733" t="s">
        <v>674</v>
      </c>
      <c r="F1733" t="s">
        <v>667</v>
      </c>
      <c r="G1733" t="s">
        <v>667</v>
      </c>
      <c r="H1733" t="s">
        <v>668</v>
      </c>
      <c r="I1733" t="s">
        <v>46</v>
      </c>
      <c r="J1733" t="str">
        <f>IFERROR(VLOOKUP(I1733,[1]AUTOS!$C:$G,2,0),"")</f>
        <v>MARCH</v>
      </c>
      <c r="K1733">
        <f>IFERROR(VLOOKUP(I1733,[1]AUTOS!$C:$G,3,0),"")</f>
        <v>2020</v>
      </c>
      <c r="L1733" t="str">
        <f>IFERROR(VLOOKUP(I1733,[1]AUTOS!$C:$G,4,0),"")</f>
        <v>TURQ</v>
      </c>
      <c r="M1733" t="s">
        <v>43</v>
      </c>
      <c r="N1733" s="3">
        <v>2600</v>
      </c>
      <c r="O1733" s="3">
        <v>2500</v>
      </c>
      <c r="P1733" s="3">
        <v>2600</v>
      </c>
      <c r="Q1733" s="3">
        <v>0</v>
      </c>
    </row>
    <row r="1734" spans="1:17" hidden="1" x14ac:dyDescent="0.3">
      <c r="A1734">
        <v>18</v>
      </c>
      <c r="B1734" t="str">
        <f>VLOOKUP($A1734,[1]LISTA!$B:$C,2,0)</f>
        <v>MAYO</v>
      </c>
      <c r="C1734" s="1">
        <v>2025</v>
      </c>
      <c r="D1734" s="1" t="str">
        <f>IF($A1734&lt;=[1]RESULTADOS!$D$6,"YTD","YTG")</f>
        <v>YTD</v>
      </c>
      <c r="E1734" t="s">
        <v>681</v>
      </c>
      <c r="F1734" t="s">
        <v>667</v>
      </c>
      <c r="G1734" t="s">
        <v>667</v>
      </c>
      <c r="H1734" t="s">
        <v>668</v>
      </c>
      <c r="I1734" t="s">
        <v>76</v>
      </c>
      <c r="J1734" t="str">
        <f>IFERROR(VLOOKUP(I1734,[1]AUTOS!$C:$G,2,0),"")</f>
        <v>AVEO</v>
      </c>
      <c r="K1734">
        <f>IFERROR(VLOOKUP(I1734,[1]AUTOS!$C:$G,3,0),"")</f>
        <v>2018</v>
      </c>
      <c r="L1734" t="str">
        <f>IFERROR(VLOOKUP(I1734,[1]AUTOS!$C:$G,4,0),"")</f>
        <v>GRIS</v>
      </c>
      <c r="M1734" t="s">
        <v>43</v>
      </c>
      <c r="N1734" s="3">
        <v>3798</v>
      </c>
      <c r="O1734" s="3">
        <v>2500</v>
      </c>
      <c r="P1734" s="3">
        <v>2460</v>
      </c>
      <c r="Q1734" s="3">
        <v>0</v>
      </c>
    </row>
    <row r="1735" spans="1:17" hidden="1" x14ac:dyDescent="0.3">
      <c r="A1735">
        <v>18</v>
      </c>
      <c r="B1735" t="str">
        <f>VLOOKUP($A1735,[1]LISTA!$B:$C,2,0)</f>
        <v>MAYO</v>
      </c>
      <c r="C1735" s="1">
        <v>2025</v>
      </c>
      <c r="D1735" s="1" t="str">
        <f>IF($A1735&lt;=[1]RESULTADOS!$D$6,"YTD","YTG")</f>
        <v>YTD</v>
      </c>
      <c r="E1735" t="s">
        <v>675</v>
      </c>
      <c r="F1735" t="s">
        <v>667</v>
      </c>
      <c r="G1735" t="s">
        <v>667</v>
      </c>
      <c r="H1735" t="s">
        <v>668</v>
      </c>
      <c r="I1735" t="s">
        <v>40</v>
      </c>
      <c r="J1735" t="str">
        <f>IFERROR(VLOOKUP(I1735,[1]AUTOS!$C:$G,2,0),"")</f>
        <v>VERSA</v>
      </c>
      <c r="K1735">
        <f>IFERROR(VLOOKUP(I1735,[1]AUTOS!$C:$G,3,0),"")</f>
        <v>2017</v>
      </c>
      <c r="L1735" t="str">
        <f>IFERROR(VLOOKUP(I1735,[1]AUTOS!$C:$G,4,0),"")</f>
        <v>ACERO</v>
      </c>
      <c r="M1735" t="s">
        <v>43</v>
      </c>
      <c r="N1735" s="3">
        <v>2485.5</v>
      </c>
      <c r="O1735" s="3">
        <v>2500</v>
      </c>
      <c r="P1735" s="3">
        <v>2485.5</v>
      </c>
      <c r="Q1735" s="3">
        <v>0</v>
      </c>
    </row>
    <row r="1736" spans="1:17" hidden="1" x14ac:dyDescent="0.3">
      <c r="A1736">
        <v>18</v>
      </c>
      <c r="B1736" t="str">
        <f>VLOOKUP($A1736,[1]LISTA!$B:$C,2,0)</f>
        <v>MAYO</v>
      </c>
      <c r="C1736" s="1">
        <v>2025</v>
      </c>
      <c r="D1736" s="1" t="str">
        <f>IF($A1736&lt;=[1]RESULTADOS!$D$6,"YTD","YTG")</f>
        <v>YTD</v>
      </c>
      <c r="E1736" t="s">
        <v>688</v>
      </c>
      <c r="F1736" t="s">
        <v>667</v>
      </c>
      <c r="G1736" t="s">
        <v>667</v>
      </c>
      <c r="H1736" t="s">
        <v>668</v>
      </c>
      <c r="I1736" t="s">
        <v>139</v>
      </c>
      <c r="J1736" t="str">
        <f>IFERROR(VLOOKUP(I1736,[1]AUTOS!$C:$G,2,0),"")</f>
        <v>SWIFT</v>
      </c>
      <c r="K1736">
        <f>IFERROR(VLOOKUP(I1736,[1]AUTOS!$C:$G,3,0),"")</f>
        <v>2017</v>
      </c>
      <c r="L1736" t="str">
        <f>IFERROR(VLOOKUP(I1736,[1]AUTOS!$C:$G,4,0),"")</f>
        <v>ROJO</v>
      </c>
      <c r="M1736" t="s">
        <v>43</v>
      </c>
      <c r="N1736" s="3">
        <v>2524</v>
      </c>
      <c r="O1736" s="3">
        <v>2500</v>
      </c>
      <c r="P1736" s="3">
        <v>3000</v>
      </c>
      <c r="Q1736" s="3">
        <v>500</v>
      </c>
    </row>
    <row r="1737" spans="1:17" hidden="1" x14ac:dyDescent="0.3">
      <c r="A1737">
        <v>18</v>
      </c>
      <c r="B1737" t="str">
        <f>VLOOKUP($A1737,[1]LISTA!$B:$C,2,0)</f>
        <v>MAYO</v>
      </c>
      <c r="C1737" s="1">
        <v>2025</v>
      </c>
      <c r="D1737" s="1" t="str">
        <f>IF($A1737&lt;=[1]RESULTADOS!$D$6,"YTD","YTG")</f>
        <v>YTD</v>
      </c>
      <c r="E1737" t="s">
        <v>403</v>
      </c>
      <c r="F1737" t="s">
        <v>667</v>
      </c>
      <c r="G1737" t="s">
        <v>667</v>
      </c>
      <c r="H1737" t="s">
        <v>668</v>
      </c>
      <c r="I1737" t="s">
        <v>51</v>
      </c>
      <c r="J1737" t="str">
        <f>IFERROR(VLOOKUP(I1737,[1]AUTOS!$C:$G,2,0),"")</f>
        <v>VENTO</v>
      </c>
      <c r="K1737">
        <f>IFERROR(VLOOKUP(I1737,[1]AUTOS!$C:$G,3,0),"")</f>
        <v>2017</v>
      </c>
      <c r="L1737" t="str">
        <f>IFERROR(VLOOKUP(I1737,[1]AUTOS!$C:$G,4,0),"")</f>
        <v>GRIS</v>
      </c>
      <c r="M1737" t="s">
        <v>43</v>
      </c>
      <c r="N1737" s="3">
        <v>2897</v>
      </c>
      <c r="O1737" s="3">
        <v>2300</v>
      </c>
      <c r="P1737" s="3">
        <v>2300</v>
      </c>
      <c r="Q1737" s="3">
        <v>0</v>
      </c>
    </row>
    <row r="1738" spans="1:17" hidden="1" x14ac:dyDescent="0.3">
      <c r="A1738">
        <v>18</v>
      </c>
      <c r="B1738" t="str">
        <f>VLOOKUP($A1738,[1]LISTA!$B:$C,2,0)</f>
        <v>MAYO</v>
      </c>
      <c r="C1738" s="1">
        <v>2025</v>
      </c>
      <c r="D1738" s="1" t="str">
        <f>IF($A1738&lt;=[1]RESULTADOS!$D$6,"YTD","YTG")</f>
        <v>YTD</v>
      </c>
      <c r="E1738" t="s">
        <v>470</v>
      </c>
      <c r="F1738" t="s">
        <v>667</v>
      </c>
      <c r="G1738" t="s">
        <v>667</v>
      </c>
      <c r="H1738" t="s">
        <v>668</v>
      </c>
      <c r="I1738" t="s">
        <v>59</v>
      </c>
      <c r="J1738" t="str">
        <f>IFERROR(VLOOKUP(I1738,[1]AUTOS!$C:$G,2,0),"")</f>
        <v>AVEO</v>
      </c>
      <c r="K1738">
        <f>IFERROR(VLOOKUP(I1738,[1]AUTOS!$C:$G,3,0),"")</f>
        <v>2019</v>
      </c>
      <c r="L1738" t="str">
        <f>IFERROR(VLOOKUP(I1738,[1]AUTOS!$C:$G,4,0),"")</f>
        <v>BLANCO</v>
      </c>
      <c r="M1738" t="s">
        <v>43</v>
      </c>
      <c r="N1738" s="3">
        <v>4733</v>
      </c>
      <c r="O1738" s="3">
        <v>2500</v>
      </c>
      <c r="P1738" s="3">
        <v>2800</v>
      </c>
      <c r="Q1738" s="3">
        <v>0</v>
      </c>
    </row>
    <row r="1739" spans="1:17" hidden="1" x14ac:dyDescent="0.3">
      <c r="A1739">
        <v>18</v>
      </c>
      <c r="B1739" t="str">
        <f>VLOOKUP($A1739,[1]LISTA!$B:$C,2,0)</f>
        <v>MAYO</v>
      </c>
      <c r="C1739" s="1">
        <v>2025</v>
      </c>
      <c r="D1739" s="1" t="str">
        <f>IF($A1739&lt;=[1]RESULTADOS!$D$6,"YTD","YTG")</f>
        <v>YTD</v>
      </c>
      <c r="E1739" t="s">
        <v>689</v>
      </c>
      <c r="F1739" t="s">
        <v>667</v>
      </c>
      <c r="G1739" t="s">
        <v>667</v>
      </c>
      <c r="H1739" t="s">
        <v>668</v>
      </c>
      <c r="I1739" t="s">
        <v>185</v>
      </c>
      <c r="J1739" t="str">
        <f>IFERROR(VLOOKUP(I1739,[1]AUTOS!$C:$G,2,0),"")</f>
        <v>MARCH</v>
      </c>
      <c r="K1739">
        <f>IFERROR(VLOOKUP(I1739,[1]AUTOS!$C:$G,3,0),"")</f>
        <v>2021</v>
      </c>
      <c r="L1739" t="str">
        <f>IFERROR(VLOOKUP(I1739,[1]AUTOS!$C:$G,4,0),"")</f>
        <v>ROJO</v>
      </c>
      <c r="M1739" t="s">
        <v>43</v>
      </c>
      <c r="N1739" s="3">
        <v>80</v>
      </c>
      <c r="O1739" s="3">
        <v>2500</v>
      </c>
      <c r="P1739" s="3">
        <v>2480</v>
      </c>
      <c r="Q1739" s="3">
        <v>0</v>
      </c>
    </row>
    <row r="1740" spans="1:17" hidden="1" x14ac:dyDescent="0.3">
      <c r="A1740">
        <v>19</v>
      </c>
      <c r="B1740" t="str">
        <f>VLOOKUP($A1740,[1]LISTA!$B:$C,2,0)</f>
        <v>MAYO</v>
      </c>
      <c r="C1740" s="1">
        <v>2025</v>
      </c>
      <c r="D1740" s="1" t="str">
        <f>IF($A1740&lt;=[1]RESULTADOS!$D$6,"YTD","YTG")</f>
        <v>YTD</v>
      </c>
      <c r="E1740" t="s">
        <v>492</v>
      </c>
      <c r="F1740" t="s">
        <v>667</v>
      </c>
      <c r="G1740" t="s">
        <v>667</v>
      </c>
      <c r="H1740" t="s">
        <v>668</v>
      </c>
      <c r="I1740" t="s">
        <v>178</v>
      </c>
      <c r="J1740" t="str">
        <f>IFERROR(VLOOKUP(I1740,[1]AUTOS!$C:$G,2,0),"")</f>
        <v>VERSA</v>
      </c>
      <c r="K1740">
        <f>IFERROR(VLOOKUP(I1740,[1]AUTOS!$C:$G,3,0),"")</f>
        <v>2020</v>
      </c>
      <c r="L1740" t="str">
        <f>IFERROR(VLOOKUP(I1740,[1]AUTOS!$C:$G,4,0),"")</f>
        <v>BLANCO</v>
      </c>
      <c r="M1740" t="s">
        <v>43</v>
      </c>
      <c r="N1740" s="3">
        <v>344</v>
      </c>
      <c r="O1740" s="3">
        <v>2500</v>
      </c>
      <c r="P1740" s="3">
        <v>3000</v>
      </c>
      <c r="Q1740" s="3">
        <v>0</v>
      </c>
    </row>
    <row r="1741" spans="1:17" hidden="1" x14ac:dyDescent="0.3">
      <c r="A1741">
        <v>19</v>
      </c>
      <c r="B1741" t="str">
        <f>VLOOKUP($A1741,[1]LISTA!$B:$C,2,0)</f>
        <v>MAYO</v>
      </c>
      <c r="C1741" s="1">
        <v>2025</v>
      </c>
      <c r="D1741" s="1" t="str">
        <f>IF($A1741&lt;=[1]RESULTADOS!$D$6,"YTD","YTG")</f>
        <v>YTD</v>
      </c>
      <c r="E1741" t="s">
        <v>691</v>
      </c>
      <c r="F1741" t="s">
        <v>667</v>
      </c>
      <c r="G1741" t="s">
        <v>667</v>
      </c>
      <c r="H1741" t="s">
        <v>668</v>
      </c>
      <c r="I1741" t="s">
        <v>182</v>
      </c>
      <c r="J1741" t="str">
        <f>IFERROR(VLOOKUP(I1741,[1]AUTOS!$C:$G,2,0),"")</f>
        <v>AVEO</v>
      </c>
      <c r="K1741">
        <f>IFERROR(VLOOKUP(I1741,[1]AUTOS!$C:$G,3,0),"")</f>
        <v>2020</v>
      </c>
      <c r="L1741" t="str">
        <f>IFERROR(VLOOKUP(I1741,[1]AUTOS!$C:$G,4,0),"")</f>
        <v>AZUL</v>
      </c>
      <c r="M1741" t="s">
        <v>43</v>
      </c>
      <c r="N1741" s="3">
        <v>2999</v>
      </c>
      <c r="O1741" s="3">
        <v>1432</v>
      </c>
      <c r="P1741" s="3">
        <v>1932</v>
      </c>
      <c r="Q1741" s="3">
        <v>500</v>
      </c>
    </row>
    <row r="1742" spans="1:17" hidden="1" x14ac:dyDescent="0.3">
      <c r="A1742">
        <v>19</v>
      </c>
      <c r="B1742" t="str">
        <f>VLOOKUP($A1742,[1]LISTA!$B:$C,2,0)</f>
        <v>MAYO</v>
      </c>
      <c r="C1742" s="1">
        <v>2025</v>
      </c>
      <c r="D1742" s="1" t="str">
        <f>IF($A1742&lt;=[1]RESULTADOS!$D$6,"YTD","YTG")</f>
        <v>YTD</v>
      </c>
      <c r="E1742" t="s">
        <v>478</v>
      </c>
      <c r="F1742" t="s">
        <v>667</v>
      </c>
      <c r="G1742" t="s">
        <v>667</v>
      </c>
      <c r="H1742" t="s">
        <v>668</v>
      </c>
      <c r="I1742" t="s">
        <v>67</v>
      </c>
      <c r="J1742" t="str">
        <f>IFERROR(VLOOKUP(I1742,[1]AUTOS!$C:$G,2,0),"")</f>
        <v>KIA RIO</v>
      </c>
      <c r="K1742">
        <f>IFERROR(VLOOKUP(I1742,[1]AUTOS!$C:$G,3,0),"")</f>
        <v>2020</v>
      </c>
      <c r="L1742" t="str">
        <f>IFERROR(VLOOKUP(I1742,[1]AUTOS!$C:$G,4,0),"")</f>
        <v>GRIS</v>
      </c>
      <c r="M1742" t="s">
        <v>43</v>
      </c>
      <c r="N1742" s="3">
        <v>0</v>
      </c>
      <c r="O1742" s="3">
        <v>0</v>
      </c>
      <c r="P1742" s="3">
        <v>0</v>
      </c>
      <c r="Q1742" s="3">
        <v>-500</v>
      </c>
    </row>
    <row r="1743" spans="1:17" hidden="1" x14ac:dyDescent="0.3">
      <c r="A1743">
        <v>19</v>
      </c>
      <c r="B1743" t="str">
        <f>VLOOKUP($A1743,[1]LISTA!$B:$C,2,0)</f>
        <v>MAYO</v>
      </c>
      <c r="C1743" s="1">
        <v>2025</v>
      </c>
      <c r="D1743" s="1" t="str">
        <f>IF($A1743&lt;=[1]RESULTADOS!$D$6,"YTD","YTG")</f>
        <v>YTD</v>
      </c>
      <c r="E1743" t="s">
        <v>690</v>
      </c>
      <c r="F1743" t="s">
        <v>667</v>
      </c>
      <c r="G1743" t="s">
        <v>667</v>
      </c>
      <c r="H1743" t="s">
        <v>668</v>
      </c>
      <c r="I1743" t="s">
        <v>82</v>
      </c>
      <c r="J1743" t="str">
        <f>IFERROR(VLOOKUP(I1743,[1]AUTOS!$C:$G,2,0),"")</f>
        <v>AVEO</v>
      </c>
      <c r="K1743">
        <f>IFERROR(VLOOKUP(I1743,[1]AUTOS!$C:$G,3,0),"")</f>
        <v>2019</v>
      </c>
      <c r="L1743" t="str">
        <f>IFERROR(VLOOKUP(I1743,[1]AUTOS!$C:$G,4,0),"")</f>
        <v>PLATA</v>
      </c>
      <c r="M1743" t="s">
        <v>43</v>
      </c>
      <c r="N1743" s="3">
        <v>2959</v>
      </c>
      <c r="O1743" s="3">
        <v>2500</v>
      </c>
      <c r="P1743" s="3">
        <v>2959</v>
      </c>
      <c r="Q1743" s="3">
        <v>500</v>
      </c>
    </row>
    <row r="1744" spans="1:17" hidden="1" x14ac:dyDescent="0.3">
      <c r="A1744">
        <v>19</v>
      </c>
      <c r="B1744" t="str">
        <f>VLOOKUP($A1744,[1]LISTA!$B:$C,2,0)</f>
        <v>MAYO</v>
      </c>
      <c r="C1744" s="1">
        <v>2025</v>
      </c>
      <c r="D1744" s="1" t="str">
        <f>IF($A1744&lt;=[1]RESULTADOS!$D$6,"YTD","YTG")</f>
        <v>YTD</v>
      </c>
      <c r="E1744" t="s">
        <v>679</v>
      </c>
      <c r="F1744" t="s">
        <v>667</v>
      </c>
      <c r="G1744" t="s">
        <v>667</v>
      </c>
      <c r="H1744" t="s">
        <v>668</v>
      </c>
      <c r="I1744" t="s">
        <v>82</v>
      </c>
      <c r="J1744" t="str">
        <f>IFERROR(VLOOKUP(I1744,[1]AUTOS!$C:$G,2,0),"")</f>
        <v>AVEO</v>
      </c>
      <c r="K1744">
        <f>IFERROR(VLOOKUP(I1744,[1]AUTOS!$C:$G,3,0),"")</f>
        <v>2019</v>
      </c>
      <c r="L1744" t="str">
        <f>IFERROR(VLOOKUP(I1744,[1]AUTOS!$C:$G,4,0),"")</f>
        <v>PLATA</v>
      </c>
      <c r="M1744" t="s">
        <v>43</v>
      </c>
      <c r="N1744" s="3">
        <v>0</v>
      </c>
      <c r="O1744" s="3">
        <v>0</v>
      </c>
      <c r="P1744" s="3">
        <v>0</v>
      </c>
      <c r="Q1744" s="3">
        <v>0</v>
      </c>
    </row>
    <row r="1745" spans="1:17" x14ac:dyDescent="0.3">
      <c r="A1745">
        <v>19</v>
      </c>
      <c r="B1745" t="str">
        <f>VLOOKUP($A1745,[1]LISTA!$B:$C,2,0)</f>
        <v>MAYO</v>
      </c>
      <c r="C1745" s="1">
        <v>2025</v>
      </c>
      <c r="D1745" s="1" t="str">
        <f>IF($A1745&lt;=[1]RESULTADOS!$D$6,"YTD","YTG")</f>
        <v>YTD</v>
      </c>
      <c r="E1745" t="s">
        <v>436</v>
      </c>
      <c r="F1745" t="s">
        <v>667</v>
      </c>
      <c r="G1745" t="s">
        <v>667</v>
      </c>
      <c r="H1745" t="s">
        <v>668</v>
      </c>
      <c r="I1745" t="s">
        <v>72</v>
      </c>
      <c r="J1745" t="str">
        <f>IFERROR(VLOOKUP(I1745,[1]AUTOS!$C:$G,2,0),"")</f>
        <v>VENTO</v>
      </c>
      <c r="K1745">
        <f>IFERROR(VLOOKUP(I1745,[1]AUTOS!$C:$G,3,0),"")</f>
        <v>2020</v>
      </c>
      <c r="L1745" t="str">
        <f>IFERROR(VLOOKUP(I1745,[1]AUTOS!$C:$G,4,0),"")</f>
        <v>GRIS</v>
      </c>
      <c r="M1745" t="s">
        <v>43</v>
      </c>
      <c r="N1745" s="3">
        <v>2439</v>
      </c>
      <c r="O1745" s="3">
        <v>2500</v>
      </c>
      <c r="P1745" s="3">
        <v>1823</v>
      </c>
      <c r="Q1745" s="3">
        <v>500</v>
      </c>
    </row>
    <row r="1746" spans="1:17" hidden="1" x14ac:dyDescent="0.3">
      <c r="A1746">
        <v>19</v>
      </c>
      <c r="B1746" t="str">
        <f>VLOOKUP($A1746,[1]LISTA!$B:$C,2,0)</f>
        <v>MAYO</v>
      </c>
      <c r="C1746" s="1">
        <v>2025</v>
      </c>
      <c r="D1746" s="1" t="str">
        <f>IF($A1746&lt;=[1]RESULTADOS!$D$6,"YTD","YTG")</f>
        <v>YTD</v>
      </c>
      <c r="E1746" t="s">
        <v>680</v>
      </c>
      <c r="F1746" t="s">
        <v>667</v>
      </c>
      <c r="G1746" t="s">
        <v>667</v>
      </c>
      <c r="H1746" t="s">
        <v>668</v>
      </c>
      <c r="I1746" t="s">
        <v>144</v>
      </c>
      <c r="J1746" t="str">
        <f>IFERROR(VLOOKUP(I1746,[1]AUTOS!$C:$G,2,0),"")</f>
        <v>VERSA</v>
      </c>
      <c r="K1746">
        <f>IFERROR(VLOOKUP(I1746,[1]AUTOS!$C:$G,3,0),"")</f>
        <v>2020</v>
      </c>
      <c r="L1746" t="str">
        <f>IFERROR(VLOOKUP(I1746,[1]AUTOS!$C:$G,4,0),"")</f>
        <v>ROJO</v>
      </c>
      <c r="M1746" t="s">
        <v>43</v>
      </c>
      <c r="N1746" s="3">
        <v>2681</v>
      </c>
      <c r="O1746" s="3">
        <v>2500</v>
      </c>
      <c r="P1746" s="3">
        <v>2500</v>
      </c>
      <c r="Q1746" s="3">
        <v>0</v>
      </c>
    </row>
    <row r="1747" spans="1:17" hidden="1" x14ac:dyDescent="0.3">
      <c r="A1747">
        <v>19</v>
      </c>
      <c r="B1747" t="str">
        <f>VLOOKUP($A1747,[1]LISTA!$B:$C,2,0)</f>
        <v>MAYO</v>
      </c>
      <c r="C1747" s="1">
        <v>2025</v>
      </c>
      <c r="D1747" s="1" t="str">
        <f>IF($A1747&lt;=[1]RESULTADOS!$D$6,"YTD","YTG")</f>
        <v>YTD</v>
      </c>
      <c r="E1747" t="s">
        <v>456</v>
      </c>
      <c r="F1747" t="s">
        <v>667</v>
      </c>
      <c r="G1747" t="s">
        <v>667</v>
      </c>
      <c r="H1747" t="s">
        <v>668</v>
      </c>
      <c r="I1747" t="s">
        <v>116</v>
      </c>
      <c r="J1747" t="str">
        <f>IFERROR(VLOOKUP(I1747,[1]AUTOS!$C:$G,2,0),"")</f>
        <v>AVEO</v>
      </c>
      <c r="K1747">
        <f>IFERROR(VLOOKUP(I1747,[1]AUTOS!$C:$G,3,0),"")</f>
        <v>2022</v>
      </c>
      <c r="L1747" t="str">
        <f>IFERROR(VLOOKUP(I1747,[1]AUTOS!$C:$G,4,0),"")</f>
        <v>AZUL</v>
      </c>
      <c r="M1747" t="s">
        <v>43</v>
      </c>
      <c r="N1747" s="3">
        <v>5468</v>
      </c>
      <c r="O1747" s="3">
        <v>2500</v>
      </c>
      <c r="P1747" s="3">
        <v>4000</v>
      </c>
      <c r="Q1747" s="3">
        <v>0</v>
      </c>
    </row>
    <row r="1748" spans="1:17" hidden="1" x14ac:dyDescent="0.3">
      <c r="A1748">
        <v>19</v>
      </c>
      <c r="B1748" t="str">
        <f>VLOOKUP($A1748,[1]LISTA!$B:$C,2,0)</f>
        <v>MAYO</v>
      </c>
      <c r="C1748" s="1">
        <v>2025</v>
      </c>
      <c r="D1748" s="1" t="str">
        <f>IF($A1748&lt;=[1]RESULTADOS!$D$6,"YTD","YTG")</f>
        <v>YTD</v>
      </c>
      <c r="E1748" t="s">
        <v>411</v>
      </c>
      <c r="F1748" t="s">
        <v>667</v>
      </c>
      <c r="G1748" t="s">
        <v>667</v>
      </c>
      <c r="H1748" t="s">
        <v>668</v>
      </c>
      <c r="I1748" t="s">
        <v>42</v>
      </c>
      <c r="J1748" t="str">
        <f>IFERROR(VLOOKUP(I1748,[1]AUTOS!$C:$G,2,0),"")</f>
        <v>VENTO</v>
      </c>
      <c r="K1748">
        <f>IFERROR(VLOOKUP(I1748,[1]AUTOS!$C:$G,3,0),"")</f>
        <v>2018</v>
      </c>
      <c r="L1748" t="str">
        <f>IFERROR(VLOOKUP(I1748,[1]AUTOS!$C:$G,4,0),"")</f>
        <v>AMARILLO</v>
      </c>
      <c r="M1748" t="s">
        <v>43</v>
      </c>
      <c r="N1748" s="3">
        <v>5855</v>
      </c>
      <c r="O1748" s="3">
        <v>2500</v>
      </c>
      <c r="P1748" s="3">
        <v>2500</v>
      </c>
      <c r="Q1748" s="3">
        <v>0</v>
      </c>
    </row>
    <row r="1749" spans="1:17" hidden="1" x14ac:dyDescent="0.3">
      <c r="A1749">
        <v>19</v>
      </c>
      <c r="B1749" t="str">
        <f>VLOOKUP($A1749,[1]LISTA!$B:$C,2,0)</f>
        <v>MAYO</v>
      </c>
      <c r="C1749" s="1">
        <v>2025</v>
      </c>
      <c r="D1749" s="1" t="str">
        <f>IF($A1749&lt;=[1]RESULTADOS!$D$6,"YTD","YTG")</f>
        <v>YTD</v>
      </c>
      <c r="E1749" t="s">
        <v>518</v>
      </c>
      <c r="F1749" t="s">
        <v>667</v>
      </c>
      <c r="G1749" t="s">
        <v>667</v>
      </c>
      <c r="H1749" t="s">
        <v>668</v>
      </c>
      <c r="I1749" t="s">
        <v>37</v>
      </c>
      <c r="J1749" t="str">
        <f>IFERROR(VLOOKUP(I1749,[1]AUTOS!$C:$G,2,0),"")</f>
        <v>BEAT</v>
      </c>
      <c r="K1749">
        <f>IFERROR(VLOOKUP(I1749,[1]AUTOS!$C:$G,3,0),"")</f>
        <v>2020</v>
      </c>
      <c r="L1749" t="str">
        <f>IFERROR(VLOOKUP(I1749,[1]AUTOS!$C:$G,4,0),"")</f>
        <v>GRIS</v>
      </c>
      <c r="M1749" t="s">
        <v>43</v>
      </c>
      <c r="N1749" s="3">
        <v>0</v>
      </c>
      <c r="O1749" s="3">
        <v>0</v>
      </c>
      <c r="P1749" s="3">
        <v>4361</v>
      </c>
      <c r="Q1749" s="3">
        <v>0</v>
      </c>
    </row>
    <row r="1750" spans="1:17" hidden="1" x14ac:dyDescent="0.3">
      <c r="A1750">
        <v>19</v>
      </c>
      <c r="B1750" t="str">
        <f>VLOOKUP($A1750,[1]LISTA!$B:$C,2,0)</f>
        <v>MAYO</v>
      </c>
      <c r="C1750" s="1">
        <v>2025</v>
      </c>
      <c r="D1750" s="1" t="str">
        <f>IF($A1750&lt;=[1]RESULTADOS!$D$6,"YTD","YTG")</f>
        <v>YTD</v>
      </c>
      <c r="E1750" t="s">
        <v>526</v>
      </c>
      <c r="F1750" t="s">
        <v>667</v>
      </c>
      <c r="G1750" t="s">
        <v>667</v>
      </c>
      <c r="H1750" t="s">
        <v>668</v>
      </c>
      <c r="I1750" t="s">
        <v>67</v>
      </c>
      <c r="J1750" t="str">
        <f>IFERROR(VLOOKUP(I1750,[1]AUTOS!$C:$G,2,0),"")</f>
        <v>KIA RIO</v>
      </c>
      <c r="K1750">
        <f>IFERROR(VLOOKUP(I1750,[1]AUTOS!$C:$G,3,0),"")</f>
        <v>2020</v>
      </c>
      <c r="L1750" t="str">
        <f>IFERROR(VLOOKUP(I1750,[1]AUTOS!$C:$G,4,0),"")</f>
        <v>GRIS</v>
      </c>
      <c r="M1750" t="s">
        <v>43</v>
      </c>
      <c r="N1750" s="3">
        <v>0</v>
      </c>
      <c r="O1750" s="3">
        <v>0</v>
      </c>
      <c r="P1750" s="3">
        <v>0</v>
      </c>
      <c r="Q1750" s="3">
        <v>0</v>
      </c>
    </row>
    <row r="1751" spans="1:17" hidden="1" x14ac:dyDescent="0.3">
      <c r="A1751">
        <v>19</v>
      </c>
      <c r="B1751" t="str">
        <f>VLOOKUP($A1751,[1]LISTA!$B:$C,2,0)</f>
        <v>MAYO</v>
      </c>
      <c r="C1751" s="1">
        <v>2025</v>
      </c>
      <c r="D1751" s="1" t="str">
        <f>IF($A1751&lt;=[1]RESULTADOS!$D$6,"YTD","YTG")</f>
        <v>YTD</v>
      </c>
      <c r="E1751" t="s">
        <v>674</v>
      </c>
      <c r="F1751" t="s">
        <v>667</v>
      </c>
      <c r="G1751" t="s">
        <v>667</v>
      </c>
      <c r="H1751" t="s">
        <v>668</v>
      </c>
      <c r="I1751" t="s">
        <v>46</v>
      </c>
      <c r="J1751" t="str">
        <f>IFERROR(VLOOKUP(I1751,[1]AUTOS!$C:$G,2,0),"")</f>
        <v>MARCH</v>
      </c>
      <c r="K1751">
        <f>IFERROR(VLOOKUP(I1751,[1]AUTOS!$C:$G,3,0),"")</f>
        <v>2020</v>
      </c>
      <c r="L1751" t="str">
        <f>IFERROR(VLOOKUP(I1751,[1]AUTOS!$C:$G,4,0),"")</f>
        <v>TURQ</v>
      </c>
      <c r="M1751" t="s">
        <v>43</v>
      </c>
      <c r="N1751" s="3">
        <v>3181</v>
      </c>
      <c r="O1751" s="3">
        <v>2500</v>
      </c>
      <c r="P1751" s="3">
        <v>3181</v>
      </c>
      <c r="Q1751" s="3">
        <v>0</v>
      </c>
    </row>
    <row r="1752" spans="1:17" hidden="1" x14ac:dyDescent="0.3">
      <c r="A1752">
        <v>19</v>
      </c>
      <c r="B1752" t="str">
        <f>VLOOKUP($A1752,[1]LISTA!$B:$C,2,0)</f>
        <v>MAYO</v>
      </c>
      <c r="C1752" s="1">
        <v>2025</v>
      </c>
      <c r="D1752" s="1" t="str">
        <f>IF($A1752&lt;=[1]RESULTADOS!$D$6,"YTD","YTG")</f>
        <v>YTD</v>
      </c>
      <c r="E1752" t="s">
        <v>681</v>
      </c>
      <c r="F1752" t="s">
        <v>667</v>
      </c>
      <c r="G1752" t="s">
        <v>667</v>
      </c>
      <c r="H1752" t="s">
        <v>668</v>
      </c>
      <c r="I1752" t="s">
        <v>102</v>
      </c>
      <c r="J1752" t="str">
        <f>IFERROR(VLOOKUP(I1752,[1]AUTOS!$C:$G,2,0),"")</f>
        <v>AVEO</v>
      </c>
      <c r="K1752">
        <f>IFERROR(VLOOKUP(I1752,[1]AUTOS!$C:$G,3,0),"")</f>
        <v>2022</v>
      </c>
      <c r="L1752" t="str">
        <f>IFERROR(VLOOKUP(I1752,[1]AUTOS!$C:$G,4,0),"")</f>
        <v>AZUL</v>
      </c>
      <c r="M1752" t="s">
        <v>43</v>
      </c>
      <c r="N1752" s="3">
        <v>3485</v>
      </c>
      <c r="O1752" s="3">
        <v>2142</v>
      </c>
      <c r="P1752" s="3">
        <v>2104</v>
      </c>
      <c r="Q1752" s="3">
        <v>0</v>
      </c>
    </row>
    <row r="1753" spans="1:17" hidden="1" x14ac:dyDescent="0.3">
      <c r="A1753">
        <v>19</v>
      </c>
      <c r="B1753" t="str">
        <f>VLOOKUP($A1753,[1]LISTA!$B:$C,2,0)</f>
        <v>MAYO</v>
      </c>
      <c r="C1753" s="1">
        <v>2025</v>
      </c>
      <c r="D1753" s="1" t="str">
        <f>IF($A1753&lt;=[1]RESULTADOS!$D$6,"YTD","YTG")</f>
        <v>YTD</v>
      </c>
      <c r="E1753" t="s">
        <v>675</v>
      </c>
      <c r="F1753" t="s">
        <v>667</v>
      </c>
      <c r="G1753" t="s">
        <v>667</v>
      </c>
      <c r="H1753" t="s">
        <v>668</v>
      </c>
      <c r="I1753" t="s">
        <v>40</v>
      </c>
      <c r="J1753" t="str">
        <f>IFERROR(VLOOKUP(I1753,[1]AUTOS!$C:$G,2,0),"")</f>
        <v>VERSA</v>
      </c>
      <c r="K1753">
        <f>IFERROR(VLOOKUP(I1753,[1]AUTOS!$C:$G,3,0),"")</f>
        <v>2017</v>
      </c>
      <c r="L1753" t="str">
        <f>IFERROR(VLOOKUP(I1753,[1]AUTOS!$C:$G,4,0),"")</f>
        <v>ACERO</v>
      </c>
      <c r="M1753" t="s">
        <v>140</v>
      </c>
      <c r="N1753" s="3">
        <v>1187</v>
      </c>
      <c r="O1753" s="3">
        <v>2500</v>
      </c>
      <c r="P1753" s="3">
        <v>2507</v>
      </c>
      <c r="Q1753" s="3">
        <v>0</v>
      </c>
    </row>
    <row r="1754" spans="1:17" hidden="1" x14ac:dyDescent="0.3">
      <c r="A1754">
        <v>19</v>
      </c>
      <c r="B1754" t="str">
        <f>VLOOKUP($A1754,[1]LISTA!$B:$C,2,0)</f>
        <v>MAYO</v>
      </c>
      <c r="C1754" s="1">
        <v>2025</v>
      </c>
      <c r="D1754" s="1" t="str">
        <f>IF($A1754&lt;=[1]RESULTADOS!$D$6,"YTD","YTG")</f>
        <v>YTD</v>
      </c>
      <c r="E1754" t="s">
        <v>688</v>
      </c>
      <c r="F1754" t="s">
        <v>667</v>
      </c>
      <c r="G1754" t="s">
        <v>667</v>
      </c>
      <c r="H1754" t="s">
        <v>668</v>
      </c>
      <c r="I1754" t="s">
        <v>76</v>
      </c>
      <c r="J1754" t="str">
        <f>IFERROR(VLOOKUP(I1754,[1]AUTOS!$C:$G,2,0),"")</f>
        <v>AVEO</v>
      </c>
      <c r="K1754">
        <f>IFERROR(VLOOKUP(I1754,[1]AUTOS!$C:$G,3,0),"")</f>
        <v>2018</v>
      </c>
      <c r="L1754" t="str">
        <f>IFERROR(VLOOKUP(I1754,[1]AUTOS!$C:$G,4,0),"")</f>
        <v>GRIS</v>
      </c>
      <c r="M1754" t="s">
        <v>43</v>
      </c>
      <c r="N1754" s="3">
        <v>2881</v>
      </c>
      <c r="O1754" s="3">
        <v>2500</v>
      </c>
      <c r="P1754" s="3">
        <v>3991</v>
      </c>
      <c r="Q1754" s="3">
        <v>500</v>
      </c>
    </row>
    <row r="1755" spans="1:17" hidden="1" x14ac:dyDescent="0.3">
      <c r="A1755">
        <v>19</v>
      </c>
      <c r="B1755" t="str">
        <f>VLOOKUP($A1755,[1]LISTA!$B:$C,2,0)</f>
        <v>MAYO</v>
      </c>
      <c r="C1755" s="1">
        <v>2025</v>
      </c>
      <c r="D1755" s="1" t="str">
        <f>IF($A1755&lt;=[1]RESULTADOS!$D$6,"YTD","YTG")</f>
        <v>YTD</v>
      </c>
      <c r="E1755" t="s">
        <v>692</v>
      </c>
      <c r="F1755" t="s">
        <v>667</v>
      </c>
      <c r="G1755" t="s">
        <v>667</v>
      </c>
      <c r="H1755" t="s">
        <v>668</v>
      </c>
      <c r="I1755" t="s">
        <v>34</v>
      </c>
      <c r="J1755" t="str">
        <f>IFERROR(VLOOKUP(I1755,[1]AUTOS!$C:$G,2,0),"")</f>
        <v>AVEO</v>
      </c>
      <c r="K1755">
        <f>IFERROR(VLOOKUP(I1755,[1]AUTOS!$C:$G,3,0),"")</f>
        <v>2018</v>
      </c>
      <c r="L1755" t="str">
        <f>IFERROR(VLOOKUP(I1755,[1]AUTOS!$C:$G,4,0),"")</f>
        <v>ROJO</v>
      </c>
      <c r="M1755" t="s">
        <v>43</v>
      </c>
      <c r="N1755" s="3">
        <v>200</v>
      </c>
      <c r="O1755" s="3">
        <v>179</v>
      </c>
      <c r="P1755" s="3">
        <v>251</v>
      </c>
      <c r="Q1755" s="3">
        <v>72</v>
      </c>
    </row>
    <row r="1756" spans="1:17" hidden="1" x14ac:dyDescent="0.3">
      <c r="A1756">
        <v>19</v>
      </c>
      <c r="B1756" t="str">
        <f>VLOOKUP($A1756,[1]LISTA!$B:$C,2,0)</f>
        <v>MAYO</v>
      </c>
      <c r="C1756" s="1">
        <v>2025</v>
      </c>
      <c r="D1756" s="1" t="str">
        <f>IF($A1756&lt;=[1]RESULTADOS!$D$6,"YTD","YTG")</f>
        <v>YTD</v>
      </c>
      <c r="E1756" t="s">
        <v>692</v>
      </c>
      <c r="F1756" t="s">
        <v>667</v>
      </c>
      <c r="G1756" t="s">
        <v>667</v>
      </c>
      <c r="H1756" t="s">
        <v>668</v>
      </c>
      <c r="I1756" t="s">
        <v>34</v>
      </c>
      <c r="J1756" t="str">
        <f>IFERROR(VLOOKUP(I1756,[1]AUTOS!$C:$G,2,0),"")</f>
        <v>AVEO</v>
      </c>
      <c r="K1756">
        <f>IFERROR(VLOOKUP(I1756,[1]AUTOS!$C:$G,3,0),"")</f>
        <v>2018</v>
      </c>
      <c r="L1756" t="str">
        <f>IFERROR(VLOOKUP(I1756,[1]AUTOS!$C:$G,4,0),"")</f>
        <v>ROJO</v>
      </c>
      <c r="M1756" t="s">
        <v>140</v>
      </c>
      <c r="N1756" s="3">
        <v>878</v>
      </c>
      <c r="O1756" s="3">
        <v>1074</v>
      </c>
      <c r="P1756" s="3">
        <v>1252</v>
      </c>
      <c r="Q1756" s="3">
        <v>178</v>
      </c>
    </row>
    <row r="1757" spans="1:17" hidden="1" x14ac:dyDescent="0.3">
      <c r="A1757">
        <v>19</v>
      </c>
      <c r="B1757" t="str">
        <f>VLOOKUP($A1757,[1]LISTA!$B:$C,2,0)</f>
        <v>MAYO</v>
      </c>
      <c r="C1757" s="1">
        <v>2025</v>
      </c>
      <c r="D1757" s="1" t="str">
        <f>IF($A1757&lt;=[1]RESULTADOS!$D$6,"YTD","YTG")</f>
        <v>YTD</v>
      </c>
      <c r="E1757" t="s">
        <v>403</v>
      </c>
      <c r="F1757" t="s">
        <v>667</v>
      </c>
      <c r="G1757" t="s">
        <v>667</v>
      </c>
      <c r="H1757" t="s">
        <v>668</v>
      </c>
      <c r="I1757" t="s">
        <v>51</v>
      </c>
      <c r="J1757" t="str">
        <f>IFERROR(VLOOKUP(I1757,[1]AUTOS!$C:$G,2,0),"")</f>
        <v>VENTO</v>
      </c>
      <c r="K1757">
        <f>IFERROR(VLOOKUP(I1757,[1]AUTOS!$C:$G,3,0),"")</f>
        <v>2017</v>
      </c>
      <c r="L1757" t="str">
        <f>IFERROR(VLOOKUP(I1757,[1]AUTOS!$C:$G,4,0),"")</f>
        <v>GRIS</v>
      </c>
      <c r="M1757" t="s">
        <v>43</v>
      </c>
      <c r="N1757" s="3">
        <v>1179</v>
      </c>
      <c r="O1757" s="3">
        <v>2300</v>
      </c>
      <c r="P1757" s="3">
        <v>2300</v>
      </c>
      <c r="Q1757" s="3">
        <v>0</v>
      </c>
    </row>
    <row r="1758" spans="1:17" hidden="1" x14ac:dyDescent="0.3">
      <c r="A1758">
        <v>19</v>
      </c>
      <c r="B1758" t="str">
        <f>VLOOKUP($A1758,[1]LISTA!$B:$C,2,0)</f>
        <v>MAYO</v>
      </c>
      <c r="C1758" s="1">
        <v>2025</v>
      </c>
      <c r="D1758" s="1" t="str">
        <f>IF($A1758&lt;=[1]RESULTADOS!$D$6,"YTD","YTG")</f>
        <v>YTD</v>
      </c>
      <c r="E1758" t="s">
        <v>470</v>
      </c>
      <c r="F1758" t="s">
        <v>667</v>
      </c>
      <c r="G1758" t="s">
        <v>667</v>
      </c>
      <c r="H1758" t="s">
        <v>668</v>
      </c>
      <c r="I1758" t="s">
        <v>59</v>
      </c>
      <c r="J1758" t="str">
        <f>IFERROR(VLOOKUP(I1758,[1]AUTOS!$C:$G,2,0),"")</f>
        <v>AVEO</v>
      </c>
      <c r="K1758">
        <f>IFERROR(VLOOKUP(I1758,[1]AUTOS!$C:$G,3,0),"")</f>
        <v>2019</v>
      </c>
      <c r="L1758" t="str">
        <f>IFERROR(VLOOKUP(I1758,[1]AUTOS!$C:$G,4,0),"")</f>
        <v>BLANCO</v>
      </c>
      <c r="M1758" t="s">
        <v>43</v>
      </c>
      <c r="N1758" s="3">
        <v>4615</v>
      </c>
      <c r="O1758" s="3">
        <v>2500</v>
      </c>
      <c r="P1758" s="3">
        <v>2500</v>
      </c>
      <c r="Q1758" s="3">
        <v>0</v>
      </c>
    </row>
    <row r="1759" spans="1:17" hidden="1" x14ac:dyDescent="0.3">
      <c r="A1759">
        <v>19</v>
      </c>
      <c r="B1759" t="str">
        <f>VLOOKUP($A1759,[1]LISTA!$B:$C,2,0)</f>
        <v>MAYO</v>
      </c>
      <c r="C1759" s="1">
        <v>2025</v>
      </c>
      <c r="D1759" s="1" t="str">
        <f>IF($A1759&lt;=[1]RESULTADOS!$D$6,"YTD","YTG")</f>
        <v>YTD</v>
      </c>
      <c r="E1759" t="s">
        <v>689</v>
      </c>
      <c r="F1759" t="s">
        <v>667</v>
      </c>
      <c r="G1759" t="s">
        <v>667</v>
      </c>
      <c r="H1759" t="s">
        <v>668</v>
      </c>
      <c r="I1759" t="s">
        <v>185</v>
      </c>
      <c r="J1759" t="str">
        <f>IFERROR(VLOOKUP(I1759,[1]AUTOS!$C:$G,2,0),"")</f>
        <v>MARCH</v>
      </c>
      <c r="K1759">
        <f>IFERROR(VLOOKUP(I1759,[1]AUTOS!$C:$G,3,0),"")</f>
        <v>2021</v>
      </c>
      <c r="L1759" t="str">
        <f>IFERROR(VLOOKUP(I1759,[1]AUTOS!$C:$G,4,0),"")</f>
        <v>ROJO</v>
      </c>
      <c r="M1759" t="s">
        <v>43</v>
      </c>
      <c r="N1759" s="3">
        <v>1034</v>
      </c>
      <c r="O1759" s="3">
        <v>2142.8571428571431</v>
      </c>
      <c r="P1759" s="3">
        <v>2334</v>
      </c>
      <c r="Q1759" s="3">
        <v>0</v>
      </c>
    </row>
    <row r="1760" spans="1:17" hidden="1" x14ac:dyDescent="0.3">
      <c r="A1760">
        <v>20</v>
      </c>
      <c r="B1760" t="str">
        <f>VLOOKUP($A1760,[1]LISTA!$B:$C,2,0)</f>
        <v>MAYO</v>
      </c>
      <c r="C1760" s="1">
        <v>2025</v>
      </c>
      <c r="D1760" s="1" t="str">
        <f>IF($A1760&lt;=[1]RESULTADOS!$D$6,"YTD","YTG")</f>
        <v>YTD</v>
      </c>
      <c r="E1760" t="s">
        <v>492</v>
      </c>
      <c r="F1760" t="s">
        <v>667</v>
      </c>
      <c r="G1760" t="s">
        <v>667</v>
      </c>
      <c r="H1760" t="s">
        <v>668</v>
      </c>
      <c r="I1760" t="s">
        <v>178</v>
      </c>
      <c r="J1760" t="str">
        <f>IFERROR(VLOOKUP(I1760,[1]AUTOS!$C:$G,2,0),"")</f>
        <v>VERSA</v>
      </c>
      <c r="K1760">
        <f>IFERROR(VLOOKUP(I1760,[1]AUTOS!$C:$G,3,0),"")</f>
        <v>2020</v>
      </c>
      <c r="L1760" t="str">
        <f>IFERROR(VLOOKUP(I1760,[1]AUTOS!$C:$G,4,0),"")</f>
        <v>BLANCO</v>
      </c>
      <c r="M1760" t="s">
        <v>43</v>
      </c>
      <c r="N1760" s="3">
        <v>-1</v>
      </c>
      <c r="O1760" s="3">
        <v>2500</v>
      </c>
      <c r="P1760" s="3">
        <v>3000</v>
      </c>
      <c r="Q1760" s="3">
        <v>0</v>
      </c>
    </row>
    <row r="1761" spans="1:17" hidden="1" x14ac:dyDescent="0.3">
      <c r="A1761">
        <v>20</v>
      </c>
      <c r="B1761" t="str">
        <f>VLOOKUP($A1761,[1]LISTA!$B:$C,2,0)</f>
        <v>MAYO</v>
      </c>
      <c r="C1761" s="1">
        <v>2025</v>
      </c>
      <c r="D1761" s="1" t="str">
        <f>IF($A1761&lt;=[1]RESULTADOS!$D$6,"YTD","YTG")</f>
        <v>YTD</v>
      </c>
      <c r="E1761" t="s">
        <v>693</v>
      </c>
      <c r="F1761" t="s">
        <v>667</v>
      </c>
      <c r="G1761" t="s">
        <v>667</v>
      </c>
      <c r="H1761" t="s">
        <v>668</v>
      </c>
      <c r="I1761" t="s">
        <v>162</v>
      </c>
      <c r="J1761" t="str">
        <f>IFERROR(VLOOKUP(I1761,[1]AUTOS!$C:$G,2,0),"")</f>
        <v>HYUNDAI</v>
      </c>
      <c r="K1761">
        <f>IFERROR(VLOOKUP(I1761,[1]AUTOS!$C:$G,3,0),"")</f>
        <v>2022</v>
      </c>
      <c r="L1761" t="str">
        <f>IFERROR(VLOOKUP(I1761,[1]AUTOS!$C:$G,4,0),"")</f>
        <v>PLATA</v>
      </c>
      <c r="M1761" t="s">
        <v>43</v>
      </c>
      <c r="N1761" s="3">
        <v>207</v>
      </c>
      <c r="O1761" s="3">
        <v>716</v>
      </c>
      <c r="P1761" s="3">
        <v>707</v>
      </c>
      <c r="Q1761" s="3">
        <v>0</v>
      </c>
    </row>
    <row r="1762" spans="1:17" hidden="1" x14ac:dyDescent="0.3">
      <c r="A1762">
        <v>20</v>
      </c>
      <c r="B1762" t="str">
        <f>VLOOKUP($A1762,[1]LISTA!$B:$C,2,0)</f>
        <v>MAYO</v>
      </c>
      <c r="C1762" s="1">
        <v>2025</v>
      </c>
      <c r="D1762" s="1" t="str">
        <f>IF($A1762&lt;=[1]RESULTADOS!$D$6,"YTD","YTG")</f>
        <v>YTD</v>
      </c>
      <c r="E1762" t="s">
        <v>691</v>
      </c>
      <c r="F1762" t="s">
        <v>667</v>
      </c>
      <c r="G1762" t="s">
        <v>667</v>
      </c>
      <c r="H1762" t="s">
        <v>668</v>
      </c>
      <c r="I1762" t="s">
        <v>182</v>
      </c>
      <c r="J1762" t="str">
        <f>IFERROR(VLOOKUP(I1762,[1]AUTOS!$C:$G,2,0),"")</f>
        <v>AVEO</v>
      </c>
      <c r="K1762">
        <f>IFERROR(VLOOKUP(I1762,[1]AUTOS!$C:$G,3,0),"")</f>
        <v>2020</v>
      </c>
      <c r="L1762" t="str">
        <f>IFERROR(VLOOKUP(I1762,[1]AUTOS!$C:$G,4,0),"")</f>
        <v>AZUL</v>
      </c>
      <c r="M1762" t="s">
        <v>43</v>
      </c>
      <c r="N1762" s="3">
        <v>5301</v>
      </c>
      <c r="O1762" s="3">
        <v>2500</v>
      </c>
      <c r="P1762" s="3">
        <v>3000</v>
      </c>
      <c r="Q1762" s="3">
        <v>500</v>
      </c>
    </row>
    <row r="1763" spans="1:17" hidden="1" x14ac:dyDescent="0.3">
      <c r="A1763">
        <v>20</v>
      </c>
      <c r="B1763" t="str">
        <f>VLOOKUP($A1763,[1]LISTA!$B:$C,2,0)</f>
        <v>MAYO</v>
      </c>
      <c r="C1763" s="1">
        <v>2025</v>
      </c>
      <c r="D1763" s="1" t="str">
        <f>IF($A1763&lt;=[1]RESULTADOS!$D$6,"YTD","YTG")</f>
        <v>YTD</v>
      </c>
      <c r="E1763" t="s">
        <v>478</v>
      </c>
      <c r="F1763" t="s">
        <v>667</v>
      </c>
      <c r="G1763" t="s">
        <v>667</v>
      </c>
      <c r="H1763" t="s">
        <v>668</v>
      </c>
      <c r="I1763" t="s">
        <v>67</v>
      </c>
      <c r="J1763" t="str">
        <f>IFERROR(VLOOKUP(I1763,[1]AUTOS!$C:$G,2,0),"")</f>
        <v>KIA RIO</v>
      </c>
      <c r="K1763">
        <f>IFERROR(VLOOKUP(I1763,[1]AUTOS!$C:$G,3,0),"")</f>
        <v>2020</v>
      </c>
      <c r="L1763" t="str">
        <f>IFERROR(VLOOKUP(I1763,[1]AUTOS!$C:$G,4,0),"")</f>
        <v>GRIS</v>
      </c>
      <c r="M1763" t="s">
        <v>43</v>
      </c>
      <c r="N1763" s="3">
        <v>0</v>
      </c>
      <c r="O1763" s="3">
        <v>0</v>
      </c>
      <c r="P1763" s="3">
        <v>0</v>
      </c>
      <c r="Q1763" s="3">
        <v>-500</v>
      </c>
    </row>
    <row r="1764" spans="1:17" hidden="1" x14ac:dyDescent="0.3">
      <c r="A1764">
        <v>20</v>
      </c>
      <c r="B1764" t="str">
        <f>VLOOKUP($A1764,[1]LISTA!$B:$C,2,0)</f>
        <v>MAYO</v>
      </c>
      <c r="C1764" s="1">
        <v>2025</v>
      </c>
      <c r="D1764" s="1" t="str">
        <f>IF($A1764&lt;=[1]RESULTADOS!$D$6,"YTD","YTG")</f>
        <v>YTD</v>
      </c>
      <c r="E1764" t="s">
        <v>690</v>
      </c>
      <c r="F1764" t="s">
        <v>667</v>
      </c>
      <c r="G1764" t="s">
        <v>667</v>
      </c>
      <c r="H1764" t="s">
        <v>668</v>
      </c>
      <c r="I1764" t="s">
        <v>82</v>
      </c>
      <c r="J1764" t="str">
        <f>IFERROR(VLOOKUP(I1764,[1]AUTOS!$C:$G,2,0),"")</f>
        <v>AVEO</v>
      </c>
      <c r="K1764">
        <f>IFERROR(VLOOKUP(I1764,[1]AUTOS!$C:$G,3,0),"")</f>
        <v>2019</v>
      </c>
      <c r="L1764" t="str">
        <f>IFERROR(VLOOKUP(I1764,[1]AUTOS!$C:$G,4,0),"")</f>
        <v>PLATA</v>
      </c>
      <c r="M1764" t="s">
        <v>43</v>
      </c>
      <c r="N1764" s="3">
        <v>2332</v>
      </c>
      <c r="O1764" s="3">
        <v>2500</v>
      </c>
      <c r="P1764" s="3">
        <v>2332</v>
      </c>
      <c r="Q1764" s="3">
        <v>500</v>
      </c>
    </row>
    <row r="1765" spans="1:17" hidden="1" x14ac:dyDescent="0.3">
      <c r="A1765">
        <v>20</v>
      </c>
      <c r="B1765" t="str">
        <f>VLOOKUP($A1765,[1]LISTA!$B:$C,2,0)</f>
        <v>MAYO</v>
      </c>
      <c r="C1765" s="1">
        <v>2025</v>
      </c>
      <c r="D1765" s="1" t="str">
        <f>IF($A1765&lt;=[1]RESULTADOS!$D$6,"YTD","YTG")</f>
        <v>YTD</v>
      </c>
      <c r="E1765" t="s">
        <v>679</v>
      </c>
      <c r="F1765" t="s">
        <v>667</v>
      </c>
      <c r="G1765" t="s">
        <v>667</v>
      </c>
      <c r="H1765" t="s">
        <v>668</v>
      </c>
      <c r="I1765" t="s">
        <v>82</v>
      </c>
      <c r="J1765" t="str">
        <f>IFERROR(VLOOKUP(I1765,[1]AUTOS!$C:$G,2,0),"")</f>
        <v>AVEO</v>
      </c>
      <c r="K1765">
        <f>IFERROR(VLOOKUP(I1765,[1]AUTOS!$C:$G,3,0),"")</f>
        <v>2019</v>
      </c>
      <c r="L1765" t="str">
        <f>IFERROR(VLOOKUP(I1765,[1]AUTOS!$C:$G,4,0),"")</f>
        <v>PLATA</v>
      </c>
      <c r="M1765" t="s">
        <v>43</v>
      </c>
      <c r="N1765" s="3">
        <v>0</v>
      </c>
      <c r="O1765" s="3">
        <v>0</v>
      </c>
      <c r="P1765" s="3">
        <v>0</v>
      </c>
      <c r="Q1765" s="3">
        <v>0</v>
      </c>
    </row>
    <row r="1766" spans="1:17" x14ac:dyDescent="0.3">
      <c r="A1766">
        <v>20</v>
      </c>
      <c r="B1766" t="str">
        <f>VLOOKUP($A1766,[1]LISTA!$B:$C,2,0)</f>
        <v>MAYO</v>
      </c>
      <c r="C1766" s="1">
        <v>2025</v>
      </c>
      <c r="D1766" s="1" t="str">
        <f>IF($A1766&lt;=[1]RESULTADOS!$D$6,"YTD","YTG")</f>
        <v>YTD</v>
      </c>
      <c r="E1766" t="s">
        <v>436</v>
      </c>
      <c r="F1766" t="s">
        <v>667</v>
      </c>
      <c r="G1766" t="s">
        <v>667</v>
      </c>
      <c r="H1766" t="s">
        <v>668</v>
      </c>
      <c r="I1766" t="s">
        <v>72</v>
      </c>
      <c r="J1766" t="str">
        <f>IFERROR(VLOOKUP(I1766,[1]AUTOS!$C:$G,2,0),"")</f>
        <v>VENTO</v>
      </c>
      <c r="K1766">
        <f>IFERROR(VLOOKUP(I1766,[1]AUTOS!$C:$G,3,0),"")</f>
        <v>2020</v>
      </c>
      <c r="L1766" t="str">
        <f>IFERROR(VLOOKUP(I1766,[1]AUTOS!$C:$G,4,0),"")</f>
        <v>GRIS</v>
      </c>
      <c r="M1766" t="s">
        <v>43</v>
      </c>
      <c r="N1766" s="3">
        <v>3167</v>
      </c>
      <c r="O1766" s="3">
        <v>2500</v>
      </c>
      <c r="P1766" s="3">
        <v>3000</v>
      </c>
      <c r="Q1766" s="3">
        <v>500</v>
      </c>
    </row>
    <row r="1767" spans="1:17" hidden="1" x14ac:dyDescent="0.3">
      <c r="A1767">
        <v>20</v>
      </c>
      <c r="B1767" t="str">
        <f>VLOOKUP($A1767,[1]LISTA!$B:$C,2,0)</f>
        <v>MAYO</v>
      </c>
      <c r="C1767" s="1">
        <v>2025</v>
      </c>
      <c r="D1767" s="1" t="str">
        <f>IF($A1767&lt;=[1]RESULTADOS!$D$6,"YTD","YTG")</f>
        <v>YTD</v>
      </c>
      <c r="E1767" t="s">
        <v>680</v>
      </c>
      <c r="F1767" t="s">
        <v>667</v>
      </c>
      <c r="G1767" t="s">
        <v>667</v>
      </c>
      <c r="H1767" t="s">
        <v>668</v>
      </c>
      <c r="I1767" t="s">
        <v>144</v>
      </c>
      <c r="J1767" t="str">
        <f>IFERROR(VLOOKUP(I1767,[1]AUTOS!$C:$G,2,0),"")</f>
        <v>VERSA</v>
      </c>
      <c r="K1767">
        <f>IFERROR(VLOOKUP(I1767,[1]AUTOS!$C:$G,3,0),"")</f>
        <v>2020</v>
      </c>
      <c r="L1767" t="str">
        <f>IFERROR(VLOOKUP(I1767,[1]AUTOS!$C:$G,4,0),"")</f>
        <v>ROJO</v>
      </c>
      <c r="M1767" t="s">
        <v>43</v>
      </c>
      <c r="N1767" s="3">
        <v>3567</v>
      </c>
      <c r="O1767" s="3">
        <v>2500</v>
      </c>
      <c r="P1767" s="3">
        <v>2500</v>
      </c>
      <c r="Q1767" s="3">
        <v>0</v>
      </c>
    </row>
    <row r="1768" spans="1:17" hidden="1" x14ac:dyDescent="0.3">
      <c r="A1768">
        <v>20</v>
      </c>
      <c r="B1768" t="str">
        <f>VLOOKUP($A1768,[1]LISTA!$B:$C,2,0)</f>
        <v>MAYO</v>
      </c>
      <c r="C1768" s="1">
        <v>2025</v>
      </c>
      <c r="D1768" s="1" t="str">
        <f>IF($A1768&lt;=[1]RESULTADOS!$D$6,"YTD","YTG")</f>
        <v>YTD</v>
      </c>
      <c r="E1768" t="s">
        <v>456</v>
      </c>
      <c r="F1768" t="s">
        <v>667</v>
      </c>
      <c r="G1768" t="s">
        <v>667</v>
      </c>
      <c r="H1768" t="s">
        <v>668</v>
      </c>
      <c r="I1768" t="s">
        <v>116</v>
      </c>
      <c r="J1768" t="str">
        <f>IFERROR(VLOOKUP(I1768,[1]AUTOS!$C:$G,2,0),"")</f>
        <v>AVEO</v>
      </c>
      <c r="K1768">
        <f>IFERROR(VLOOKUP(I1768,[1]AUTOS!$C:$G,3,0),"")</f>
        <v>2022</v>
      </c>
      <c r="L1768" t="str">
        <f>IFERROR(VLOOKUP(I1768,[1]AUTOS!$C:$G,4,0),"")</f>
        <v>AZUL</v>
      </c>
      <c r="M1768" t="s">
        <v>43</v>
      </c>
      <c r="N1768" s="3">
        <v>4917</v>
      </c>
      <c r="O1768" s="3">
        <v>2500</v>
      </c>
      <c r="P1768" s="3">
        <v>3300</v>
      </c>
      <c r="Q1768" s="3">
        <v>0</v>
      </c>
    </row>
    <row r="1769" spans="1:17" hidden="1" x14ac:dyDescent="0.3">
      <c r="A1769">
        <v>20</v>
      </c>
      <c r="B1769" t="str">
        <f>VLOOKUP($A1769,[1]LISTA!$B:$C,2,0)</f>
        <v>MAYO</v>
      </c>
      <c r="C1769" s="1">
        <v>2025</v>
      </c>
      <c r="D1769" s="1" t="str">
        <f>IF($A1769&lt;=[1]RESULTADOS!$D$6,"YTD","YTG")</f>
        <v>YTD</v>
      </c>
      <c r="E1769" t="s">
        <v>411</v>
      </c>
      <c r="F1769" t="s">
        <v>667</v>
      </c>
      <c r="G1769" t="s">
        <v>667</v>
      </c>
      <c r="H1769" t="s">
        <v>668</v>
      </c>
      <c r="I1769" t="s">
        <v>42</v>
      </c>
      <c r="J1769" t="str">
        <f>IFERROR(VLOOKUP(I1769,[1]AUTOS!$C:$G,2,0),"")</f>
        <v>VENTO</v>
      </c>
      <c r="K1769">
        <f>IFERROR(VLOOKUP(I1769,[1]AUTOS!$C:$G,3,0),"")</f>
        <v>2018</v>
      </c>
      <c r="L1769" t="str">
        <f>IFERROR(VLOOKUP(I1769,[1]AUTOS!$C:$G,4,0),"")</f>
        <v>AMARILLO</v>
      </c>
      <c r="M1769" t="s">
        <v>43</v>
      </c>
      <c r="N1769" s="3">
        <v>467</v>
      </c>
      <c r="O1769" s="3">
        <v>358</v>
      </c>
      <c r="P1769" s="3">
        <v>358</v>
      </c>
      <c r="Q1769" s="3">
        <v>0</v>
      </c>
    </row>
    <row r="1770" spans="1:17" hidden="1" x14ac:dyDescent="0.3">
      <c r="A1770">
        <v>20</v>
      </c>
      <c r="B1770" t="str">
        <f>VLOOKUP($A1770,[1]LISTA!$B:$C,2,0)</f>
        <v>MAYO</v>
      </c>
      <c r="C1770" s="1">
        <v>2025</v>
      </c>
      <c r="D1770" s="1" t="str">
        <f>IF($A1770&lt;=[1]RESULTADOS!$D$6,"YTD","YTG")</f>
        <v>YTD</v>
      </c>
      <c r="E1770" t="s">
        <v>518</v>
      </c>
      <c r="F1770" t="s">
        <v>667</v>
      </c>
      <c r="G1770" t="s">
        <v>667</v>
      </c>
      <c r="H1770" t="s">
        <v>668</v>
      </c>
      <c r="I1770" t="s">
        <v>37</v>
      </c>
      <c r="J1770" t="str">
        <f>IFERROR(VLOOKUP(I1770,[1]AUTOS!$C:$G,2,0),"")</f>
        <v>BEAT</v>
      </c>
      <c r="K1770">
        <f>IFERROR(VLOOKUP(I1770,[1]AUTOS!$C:$G,3,0),"")</f>
        <v>2020</v>
      </c>
      <c r="L1770" t="str">
        <f>IFERROR(VLOOKUP(I1770,[1]AUTOS!$C:$G,4,0),"")</f>
        <v>GRIS</v>
      </c>
      <c r="M1770" t="s">
        <v>43</v>
      </c>
      <c r="N1770" s="3">
        <v>4718.8599999999997</v>
      </c>
      <c r="O1770" s="3">
        <v>9437.7199999999993</v>
      </c>
      <c r="P1770" s="3">
        <v>8756.86</v>
      </c>
      <c r="Q1770" s="3">
        <v>0</v>
      </c>
    </row>
    <row r="1771" spans="1:17" hidden="1" x14ac:dyDescent="0.3">
      <c r="A1771">
        <v>20</v>
      </c>
      <c r="B1771" t="str">
        <f>VLOOKUP($A1771,[1]LISTA!$B:$C,2,0)</f>
        <v>MAYO</v>
      </c>
      <c r="C1771" s="1">
        <v>2025</v>
      </c>
      <c r="D1771" s="1" t="str">
        <f>IF($A1771&lt;=[1]RESULTADOS!$D$6,"YTD","YTG")</f>
        <v>YTD</v>
      </c>
      <c r="E1771" t="s">
        <v>526</v>
      </c>
      <c r="F1771" t="s">
        <v>667</v>
      </c>
      <c r="G1771" t="s">
        <v>667</v>
      </c>
      <c r="H1771" t="s">
        <v>668</v>
      </c>
      <c r="I1771" t="s">
        <v>67</v>
      </c>
      <c r="J1771" t="str">
        <f>IFERROR(VLOOKUP(I1771,[1]AUTOS!$C:$G,2,0),"")</f>
        <v>KIA RIO</v>
      </c>
      <c r="K1771">
        <f>IFERROR(VLOOKUP(I1771,[1]AUTOS!$C:$G,3,0),"")</f>
        <v>2020</v>
      </c>
      <c r="L1771" t="str">
        <f>IFERROR(VLOOKUP(I1771,[1]AUTOS!$C:$G,4,0),"")</f>
        <v>GRIS</v>
      </c>
      <c r="M1771" t="s">
        <v>43</v>
      </c>
      <c r="N1771" s="3">
        <v>3666</v>
      </c>
      <c r="O1771" s="3">
        <v>1432</v>
      </c>
      <c r="P1771" s="3">
        <v>1432</v>
      </c>
      <c r="Q1771" s="3">
        <v>0</v>
      </c>
    </row>
    <row r="1772" spans="1:17" hidden="1" x14ac:dyDescent="0.3">
      <c r="A1772">
        <v>20</v>
      </c>
      <c r="B1772" t="str">
        <f>VLOOKUP($A1772,[1]LISTA!$B:$C,2,0)</f>
        <v>MAYO</v>
      </c>
      <c r="C1772" s="1">
        <v>2025</v>
      </c>
      <c r="D1772" s="1" t="str">
        <f>IF($A1772&lt;=[1]RESULTADOS!$D$6,"YTD","YTG")</f>
        <v>YTD</v>
      </c>
      <c r="E1772" t="s">
        <v>694</v>
      </c>
      <c r="F1772" t="s">
        <v>667</v>
      </c>
      <c r="G1772" t="s">
        <v>667</v>
      </c>
      <c r="H1772" t="s">
        <v>668</v>
      </c>
      <c r="I1772" t="s">
        <v>42</v>
      </c>
      <c r="J1772" t="str">
        <f>IFERROR(VLOOKUP(I1772,[1]AUTOS!$C:$G,2,0),"")</f>
        <v>VENTO</v>
      </c>
      <c r="K1772">
        <f>IFERROR(VLOOKUP(I1772,[1]AUTOS!$C:$G,3,0),"")</f>
        <v>2018</v>
      </c>
      <c r="L1772" t="str">
        <f>IFERROR(VLOOKUP(I1772,[1]AUTOS!$C:$G,4,0),"")</f>
        <v>AMARILLO</v>
      </c>
      <c r="M1772" t="s">
        <v>43</v>
      </c>
      <c r="N1772" s="3">
        <v>1327</v>
      </c>
      <c r="O1772" s="3">
        <v>2500</v>
      </c>
      <c r="P1772" s="3">
        <v>1327</v>
      </c>
      <c r="Q1772" s="3">
        <v>500</v>
      </c>
    </row>
    <row r="1773" spans="1:17" hidden="1" x14ac:dyDescent="0.3">
      <c r="A1773">
        <v>20</v>
      </c>
      <c r="B1773" t="str">
        <f>VLOOKUP($A1773,[1]LISTA!$B:$C,2,0)</f>
        <v>MAYO</v>
      </c>
      <c r="C1773" s="1">
        <v>2025</v>
      </c>
      <c r="D1773" s="1" t="str">
        <f>IF($A1773&lt;=[1]RESULTADOS!$D$6,"YTD","YTG")</f>
        <v>YTD</v>
      </c>
      <c r="E1773" t="s">
        <v>674</v>
      </c>
      <c r="F1773" t="s">
        <v>667</v>
      </c>
      <c r="G1773" t="s">
        <v>667</v>
      </c>
      <c r="H1773" t="s">
        <v>668</v>
      </c>
      <c r="I1773" t="s">
        <v>46</v>
      </c>
      <c r="J1773" t="str">
        <f>IFERROR(VLOOKUP(I1773,[1]AUTOS!$C:$G,2,0),"")</f>
        <v>MARCH</v>
      </c>
      <c r="K1773">
        <f>IFERROR(VLOOKUP(I1773,[1]AUTOS!$C:$G,3,0),"")</f>
        <v>2020</v>
      </c>
      <c r="L1773" t="str">
        <f>IFERROR(VLOOKUP(I1773,[1]AUTOS!$C:$G,4,0),"")</f>
        <v>TURQ</v>
      </c>
      <c r="M1773" t="s">
        <v>43</v>
      </c>
      <c r="N1773" s="3">
        <v>1648</v>
      </c>
      <c r="O1773" s="3">
        <v>1611</v>
      </c>
      <c r="P1773" s="3">
        <v>1648</v>
      </c>
      <c r="Q1773" s="3">
        <v>0</v>
      </c>
    </row>
    <row r="1774" spans="1:17" hidden="1" x14ac:dyDescent="0.3">
      <c r="A1774">
        <v>20</v>
      </c>
      <c r="B1774" t="str">
        <f>VLOOKUP($A1774,[1]LISTA!$B:$C,2,0)</f>
        <v>MAYO</v>
      </c>
      <c r="C1774" s="1">
        <v>2025</v>
      </c>
      <c r="D1774" s="1" t="str">
        <f>IF($A1774&lt;=[1]RESULTADOS!$D$6,"YTD","YTG")</f>
        <v>YTD</v>
      </c>
      <c r="E1774" t="s">
        <v>681</v>
      </c>
      <c r="F1774" t="s">
        <v>667</v>
      </c>
      <c r="G1774" t="s">
        <v>667</v>
      </c>
      <c r="H1774" t="s">
        <v>668</v>
      </c>
      <c r="I1774" t="s">
        <v>102</v>
      </c>
      <c r="J1774" t="str">
        <f>IFERROR(VLOOKUP(I1774,[1]AUTOS!$C:$G,2,0),"")</f>
        <v>AVEO</v>
      </c>
      <c r="K1774">
        <f>IFERROR(VLOOKUP(I1774,[1]AUTOS!$C:$G,3,0),"")</f>
        <v>2022</v>
      </c>
      <c r="L1774" t="str">
        <f>IFERROR(VLOOKUP(I1774,[1]AUTOS!$C:$G,4,0),"")</f>
        <v>AZUL</v>
      </c>
      <c r="M1774" t="s">
        <v>43</v>
      </c>
      <c r="N1774" s="3">
        <v>3155</v>
      </c>
      <c r="O1774" s="3">
        <v>2500</v>
      </c>
      <c r="P1774" s="3">
        <v>2419</v>
      </c>
      <c r="Q1774" s="3">
        <v>0</v>
      </c>
    </row>
    <row r="1775" spans="1:17" hidden="1" x14ac:dyDescent="0.3">
      <c r="A1775">
        <v>20</v>
      </c>
      <c r="B1775" t="str">
        <f>VLOOKUP($A1775,[1]LISTA!$B:$C,2,0)</f>
        <v>MAYO</v>
      </c>
      <c r="C1775" s="1">
        <v>2025</v>
      </c>
      <c r="D1775" s="1" t="str">
        <f>IF($A1775&lt;=[1]RESULTADOS!$D$6,"YTD","YTG")</f>
        <v>YTD</v>
      </c>
      <c r="E1775" t="s">
        <v>675</v>
      </c>
      <c r="F1775" t="s">
        <v>667</v>
      </c>
      <c r="G1775" t="s">
        <v>667</v>
      </c>
      <c r="H1775" t="s">
        <v>668</v>
      </c>
      <c r="I1775" t="s">
        <v>40</v>
      </c>
      <c r="J1775" t="str">
        <f>IFERROR(VLOOKUP(I1775,[1]AUTOS!$C:$G,2,0),"")</f>
        <v>VERSA</v>
      </c>
      <c r="K1775">
        <f>IFERROR(VLOOKUP(I1775,[1]AUTOS!$C:$G,3,0),"")</f>
        <v>2017</v>
      </c>
      <c r="L1775" t="str">
        <f>IFERROR(VLOOKUP(I1775,[1]AUTOS!$C:$G,4,0),"")</f>
        <v>ACERO</v>
      </c>
      <c r="M1775" t="s">
        <v>140</v>
      </c>
      <c r="N1775" s="3">
        <v>0</v>
      </c>
      <c r="O1775" s="3">
        <v>2500</v>
      </c>
      <c r="P1775" s="3">
        <v>1000</v>
      </c>
      <c r="Q1775" s="3">
        <v>0</v>
      </c>
    </row>
    <row r="1776" spans="1:17" hidden="1" x14ac:dyDescent="0.3">
      <c r="A1776">
        <v>20</v>
      </c>
      <c r="B1776" t="str">
        <f>VLOOKUP($A1776,[1]LISTA!$B:$C,2,0)</f>
        <v>MAYO</v>
      </c>
      <c r="C1776" s="1">
        <v>2025</v>
      </c>
      <c r="D1776" s="1" t="str">
        <f>IF($A1776&lt;=[1]RESULTADOS!$D$6,"YTD","YTG")</f>
        <v>YTD</v>
      </c>
      <c r="E1776" t="s">
        <v>688</v>
      </c>
      <c r="F1776" t="s">
        <v>667</v>
      </c>
      <c r="G1776" t="s">
        <v>667</v>
      </c>
      <c r="H1776" t="s">
        <v>668</v>
      </c>
      <c r="I1776" t="s">
        <v>76</v>
      </c>
      <c r="J1776" t="str">
        <f>IFERROR(VLOOKUP(I1776,[1]AUTOS!$C:$G,2,0),"")</f>
        <v>AVEO</v>
      </c>
      <c r="K1776">
        <f>IFERROR(VLOOKUP(I1776,[1]AUTOS!$C:$G,3,0),"")</f>
        <v>2018</v>
      </c>
      <c r="L1776" t="str">
        <f>IFERROR(VLOOKUP(I1776,[1]AUTOS!$C:$G,4,0),"")</f>
        <v>GRIS</v>
      </c>
      <c r="M1776" t="s">
        <v>43</v>
      </c>
      <c r="N1776" s="3">
        <v>607</v>
      </c>
      <c r="O1776" s="3">
        <v>2500</v>
      </c>
      <c r="P1776" s="3">
        <v>3607</v>
      </c>
      <c r="Q1776" s="3">
        <v>500</v>
      </c>
    </row>
    <row r="1777" spans="1:17" hidden="1" x14ac:dyDescent="0.3">
      <c r="A1777">
        <v>20</v>
      </c>
      <c r="B1777" t="str">
        <f>VLOOKUP($A1777,[1]LISTA!$B:$C,2,0)</f>
        <v>MAYO</v>
      </c>
      <c r="C1777" s="1">
        <v>2025</v>
      </c>
      <c r="D1777" s="1" t="str">
        <f>IF($A1777&lt;=[1]RESULTADOS!$D$6,"YTD","YTG")</f>
        <v>YTD</v>
      </c>
      <c r="E1777" t="s">
        <v>692</v>
      </c>
      <c r="F1777" t="s">
        <v>667</v>
      </c>
      <c r="G1777" t="s">
        <v>667</v>
      </c>
      <c r="H1777" t="s">
        <v>668</v>
      </c>
      <c r="I1777" t="s">
        <v>34</v>
      </c>
      <c r="J1777" t="str">
        <f>IFERROR(VLOOKUP(I1777,[1]AUTOS!$C:$G,2,0),"")</f>
        <v>AVEO</v>
      </c>
      <c r="K1777">
        <f>IFERROR(VLOOKUP(I1777,[1]AUTOS!$C:$G,3,0),"")</f>
        <v>2018</v>
      </c>
      <c r="L1777" t="str">
        <f>IFERROR(VLOOKUP(I1777,[1]AUTOS!$C:$G,4,0),"")</f>
        <v>ROJO</v>
      </c>
      <c r="M1777" t="s">
        <v>43</v>
      </c>
      <c r="N1777" s="3">
        <v>265</v>
      </c>
      <c r="O1777" s="3">
        <v>182</v>
      </c>
      <c r="P1777" s="3">
        <v>182</v>
      </c>
      <c r="Q1777" s="3">
        <v>0</v>
      </c>
    </row>
    <row r="1778" spans="1:17" hidden="1" x14ac:dyDescent="0.3">
      <c r="A1778">
        <v>20</v>
      </c>
      <c r="B1778" t="str">
        <f>VLOOKUP($A1778,[1]LISTA!$B:$C,2,0)</f>
        <v>MAYO</v>
      </c>
      <c r="C1778" s="1">
        <v>2025</v>
      </c>
      <c r="D1778" s="1" t="str">
        <f>IF($A1778&lt;=[1]RESULTADOS!$D$6,"YTD","YTG")</f>
        <v>YTD</v>
      </c>
      <c r="E1778" t="s">
        <v>692</v>
      </c>
      <c r="F1778" t="s">
        <v>667</v>
      </c>
      <c r="G1778" t="s">
        <v>667</v>
      </c>
      <c r="H1778" t="s">
        <v>668</v>
      </c>
      <c r="I1778" t="s">
        <v>34</v>
      </c>
      <c r="J1778" t="str">
        <f>IFERROR(VLOOKUP(I1778,[1]AUTOS!$C:$G,2,0),"")</f>
        <v>AVEO</v>
      </c>
      <c r="K1778">
        <f>IFERROR(VLOOKUP(I1778,[1]AUTOS!$C:$G,3,0),"")</f>
        <v>2018</v>
      </c>
      <c r="L1778" t="str">
        <f>IFERROR(VLOOKUP(I1778,[1]AUTOS!$C:$G,4,0),"")</f>
        <v>ROJO</v>
      </c>
      <c r="M1778" t="s">
        <v>140</v>
      </c>
      <c r="N1778" s="3">
        <v>2281</v>
      </c>
      <c r="O1778" s="3">
        <v>1781</v>
      </c>
      <c r="P1778" s="3">
        <v>2281</v>
      </c>
      <c r="Q1778" s="3">
        <v>500</v>
      </c>
    </row>
    <row r="1779" spans="1:17" hidden="1" x14ac:dyDescent="0.3">
      <c r="A1779">
        <v>20</v>
      </c>
      <c r="B1779" t="str">
        <f>VLOOKUP($A1779,[1]LISTA!$B:$C,2,0)</f>
        <v>MAYO</v>
      </c>
      <c r="C1779" s="1">
        <v>2025</v>
      </c>
      <c r="D1779" s="1" t="str">
        <f>IF($A1779&lt;=[1]RESULTADOS!$D$6,"YTD","YTG")</f>
        <v>YTD</v>
      </c>
      <c r="E1779" t="s">
        <v>403</v>
      </c>
      <c r="F1779" t="s">
        <v>667</v>
      </c>
      <c r="G1779" t="s">
        <v>667</v>
      </c>
      <c r="H1779" t="s">
        <v>668</v>
      </c>
      <c r="I1779" t="s">
        <v>51</v>
      </c>
      <c r="J1779" t="str">
        <f>IFERROR(VLOOKUP(I1779,[1]AUTOS!$C:$G,2,0),"")</f>
        <v>VENTO</v>
      </c>
      <c r="K1779">
        <f>IFERROR(VLOOKUP(I1779,[1]AUTOS!$C:$G,3,0),"")</f>
        <v>2017</v>
      </c>
      <c r="L1779" t="str">
        <f>IFERROR(VLOOKUP(I1779,[1]AUTOS!$C:$G,4,0),"")</f>
        <v>GRIS</v>
      </c>
      <c r="M1779" t="s">
        <v>43</v>
      </c>
      <c r="N1779" s="3">
        <v>4280</v>
      </c>
      <c r="O1779" s="3">
        <v>2300</v>
      </c>
      <c r="P1779" s="3">
        <v>2300</v>
      </c>
      <c r="Q1779" s="3">
        <v>0</v>
      </c>
    </row>
    <row r="1780" spans="1:17" hidden="1" x14ac:dyDescent="0.3">
      <c r="A1780">
        <v>20</v>
      </c>
      <c r="B1780" t="str">
        <f>VLOOKUP($A1780,[1]LISTA!$B:$C,2,0)</f>
        <v>MAYO</v>
      </c>
      <c r="C1780" s="1">
        <v>2025</v>
      </c>
      <c r="D1780" s="1" t="str">
        <f>IF($A1780&lt;=[1]RESULTADOS!$D$6,"YTD","YTG")</f>
        <v>YTD</v>
      </c>
      <c r="E1780" t="s">
        <v>470</v>
      </c>
      <c r="F1780" t="s">
        <v>667</v>
      </c>
      <c r="G1780" t="s">
        <v>667</v>
      </c>
      <c r="H1780" t="s">
        <v>668</v>
      </c>
      <c r="I1780" t="s">
        <v>59</v>
      </c>
      <c r="J1780" t="str">
        <f>IFERROR(VLOOKUP(I1780,[1]AUTOS!$C:$G,2,0),"")</f>
        <v>AVEO</v>
      </c>
      <c r="K1780">
        <f>IFERROR(VLOOKUP(I1780,[1]AUTOS!$C:$G,3,0),"")</f>
        <v>2019</v>
      </c>
      <c r="L1780" t="str">
        <f>IFERROR(VLOOKUP(I1780,[1]AUTOS!$C:$G,4,0),"")</f>
        <v>BLANCO</v>
      </c>
      <c r="M1780" t="s">
        <v>43</v>
      </c>
      <c r="N1780" s="3">
        <v>4255</v>
      </c>
      <c r="O1780" s="3">
        <v>2500</v>
      </c>
      <c r="P1780" s="3">
        <v>3100</v>
      </c>
      <c r="Q1780" s="3">
        <v>0</v>
      </c>
    </row>
    <row r="1781" spans="1:17" hidden="1" x14ac:dyDescent="0.3">
      <c r="A1781">
        <v>20</v>
      </c>
      <c r="B1781" t="str">
        <f>VLOOKUP($A1781,[1]LISTA!$B:$C,2,0)</f>
        <v>MAYO</v>
      </c>
      <c r="C1781" s="1">
        <v>2025</v>
      </c>
      <c r="D1781" s="1" t="str">
        <f>IF($A1781&lt;=[1]RESULTADOS!$D$6,"YTD","YTG")</f>
        <v>YTD</v>
      </c>
      <c r="E1781" t="s">
        <v>689</v>
      </c>
      <c r="F1781" t="s">
        <v>667</v>
      </c>
      <c r="G1781" t="s">
        <v>667</v>
      </c>
      <c r="H1781" t="s">
        <v>668</v>
      </c>
      <c r="I1781" t="s">
        <v>185</v>
      </c>
      <c r="J1781" t="str">
        <f>IFERROR(VLOOKUP(I1781,[1]AUTOS!$C:$G,2,0),"")</f>
        <v>MARCH</v>
      </c>
      <c r="K1781">
        <f>IFERROR(VLOOKUP(I1781,[1]AUTOS!$C:$G,3,0),"")</f>
        <v>2021</v>
      </c>
      <c r="L1781" t="str">
        <f>IFERROR(VLOOKUP(I1781,[1]AUTOS!$C:$G,4,0),"")</f>
        <v>ROJO</v>
      </c>
      <c r="M1781" t="s">
        <v>43</v>
      </c>
      <c r="N1781" s="3">
        <v>657</v>
      </c>
      <c r="O1781" s="3">
        <v>2500</v>
      </c>
      <c r="P1781" s="3">
        <v>2157</v>
      </c>
      <c r="Q1781" s="3">
        <v>0</v>
      </c>
    </row>
    <row r="1782" spans="1:17" hidden="1" x14ac:dyDescent="0.3">
      <c r="A1782">
        <v>21</v>
      </c>
      <c r="B1782" t="str">
        <f>VLOOKUP($A1782,[1]LISTA!$B:$C,2,0)</f>
        <v>MAYO</v>
      </c>
      <c r="C1782" s="1">
        <v>2025</v>
      </c>
      <c r="D1782" s="1" t="str">
        <f>IF($A1782&lt;=[1]RESULTADOS!$D$6,"YTD","YTG")</f>
        <v>YTD</v>
      </c>
      <c r="E1782" t="s">
        <v>492</v>
      </c>
      <c r="F1782" t="s">
        <v>667</v>
      </c>
      <c r="G1782" t="s">
        <v>667</v>
      </c>
      <c r="H1782" t="s">
        <v>668</v>
      </c>
      <c r="I1782" t="s">
        <v>116</v>
      </c>
      <c r="J1782" t="str">
        <f>IFERROR(VLOOKUP(I1782,[1]AUTOS!$C:$G,2,0),"")</f>
        <v>AVEO</v>
      </c>
      <c r="K1782">
        <f>IFERROR(VLOOKUP(I1782,[1]AUTOS!$C:$G,3,0),"")</f>
        <v>2022</v>
      </c>
      <c r="L1782" t="str">
        <f>IFERROR(VLOOKUP(I1782,[1]AUTOS!$C:$G,4,0),"")</f>
        <v>AZUL</v>
      </c>
      <c r="M1782" t="s">
        <v>43</v>
      </c>
      <c r="N1782" s="3">
        <v>500.1</v>
      </c>
      <c r="O1782" s="3">
        <v>2500</v>
      </c>
      <c r="P1782" s="3">
        <v>3000.1</v>
      </c>
      <c r="Q1782" s="3">
        <v>0</v>
      </c>
    </row>
    <row r="1783" spans="1:17" hidden="1" x14ac:dyDescent="0.3">
      <c r="A1783">
        <v>21</v>
      </c>
      <c r="B1783" t="str">
        <f>VLOOKUP($A1783,[1]LISTA!$B:$C,2,0)</f>
        <v>MAYO</v>
      </c>
      <c r="C1783" s="1">
        <v>2025</v>
      </c>
      <c r="D1783" s="1" t="str">
        <f>IF($A1783&lt;=[1]RESULTADOS!$D$6,"YTD","YTG")</f>
        <v>YTD</v>
      </c>
      <c r="E1783" t="s">
        <v>693</v>
      </c>
      <c r="F1783" t="s">
        <v>667</v>
      </c>
      <c r="G1783" t="s">
        <v>667</v>
      </c>
      <c r="H1783" t="s">
        <v>668</v>
      </c>
      <c r="I1783" t="s">
        <v>162</v>
      </c>
      <c r="J1783" t="str">
        <f>IFERROR(VLOOKUP(I1783,[1]AUTOS!$C:$G,2,0),"")</f>
        <v>HYUNDAI</v>
      </c>
      <c r="K1783">
        <f>IFERROR(VLOOKUP(I1783,[1]AUTOS!$C:$G,3,0),"")</f>
        <v>2022</v>
      </c>
      <c r="L1783" t="str">
        <f>IFERROR(VLOOKUP(I1783,[1]AUTOS!$C:$G,4,0),"")</f>
        <v>PLATA</v>
      </c>
      <c r="M1783" t="s">
        <v>43</v>
      </c>
      <c r="N1783" s="3">
        <v>2686.7599999999998</v>
      </c>
      <c r="O1783" s="3">
        <v>2500</v>
      </c>
      <c r="P1783" s="3">
        <v>2686.7599999999998</v>
      </c>
      <c r="Q1783" s="3">
        <v>500</v>
      </c>
    </row>
    <row r="1784" spans="1:17" hidden="1" x14ac:dyDescent="0.3">
      <c r="A1784">
        <v>21</v>
      </c>
      <c r="B1784" t="str">
        <f>VLOOKUP($A1784,[1]LISTA!$B:$C,2,0)</f>
        <v>MAYO</v>
      </c>
      <c r="C1784" s="1">
        <v>2025</v>
      </c>
      <c r="D1784" s="1" t="str">
        <f>IF($A1784&lt;=[1]RESULTADOS!$D$6,"YTD","YTG")</f>
        <v>YTD</v>
      </c>
      <c r="E1784" t="s">
        <v>691</v>
      </c>
      <c r="F1784" t="s">
        <v>667</v>
      </c>
      <c r="G1784" t="s">
        <v>667</v>
      </c>
      <c r="H1784" t="s">
        <v>668</v>
      </c>
      <c r="I1784" t="s">
        <v>182</v>
      </c>
      <c r="J1784" t="str">
        <f>IFERROR(VLOOKUP(I1784,[1]AUTOS!$C:$G,2,0),"")</f>
        <v>AVEO</v>
      </c>
      <c r="K1784">
        <f>IFERROR(VLOOKUP(I1784,[1]AUTOS!$C:$G,3,0),"")</f>
        <v>2020</v>
      </c>
      <c r="L1784" t="str">
        <f>IFERROR(VLOOKUP(I1784,[1]AUTOS!$C:$G,4,0),"")</f>
        <v>AZUL</v>
      </c>
      <c r="M1784" t="s">
        <v>43</v>
      </c>
      <c r="N1784" s="3">
        <v>4311.6399999999994</v>
      </c>
      <c r="O1784" s="3">
        <v>2500</v>
      </c>
      <c r="P1784" s="3">
        <v>3000</v>
      </c>
      <c r="Q1784" s="3">
        <v>500</v>
      </c>
    </row>
    <row r="1785" spans="1:17" hidden="1" x14ac:dyDescent="0.3">
      <c r="A1785">
        <v>21</v>
      </c>
      <c r="B1785" t="str">
        <f>VLOOKUP($A1785,[1]LISTA!$B:$C,2,0)</f>
        <v>MAYO</v>
      </c>
      <c r="C1785" s="1">
        <v>2025</v>
      </c>
      <c r="D1785" s="1" t="str">
        <f>IF($A1785&lt;=[1]RESULTADOS!$D$6,"YTD","YTG")</f>
        <v>YTD</v>
      </c>
      <c r="E1785" t="s">
        <v>478</v>
      </c>
      <c r="F1785" t="s">
        <v>667</v>
      </c>
      <c r="G1785" t="s">
        <v>667</v>
      </c>
      <c r="H1785" t="s">
        <v>668</v>
      </c>
      <c r="I1785" t="s">
        <v>79</v>
      </c>
      <c r="J1785" t="str">
        <f>IFERROR(VLOOKUP(I1785,[1]AUTOS!$C:$G,2,0),"")</f>
        <v>AVEO</v>
      </c>
      <c r="K1785">
        <f>IFERROR(VLOOKUP(I1785,[1]AUTOS!$C:$G,3,0),"")</f>
        <v>2021</v>
      </c>
      <c r="L1785" t="str">
        <f>IFERROR(VLOOKUP(I1785,[1]AUTOS!$C:$G,4,0),"")</f>
        <v>OCRE</v>
      </c>
      <c r="M1785" t="s">
        <v>43</v>
      </c>
      <c r="N1785" s="3">
        <v>2120.46</v>
      </c>
      <c r="O1785" s="3">
        <v>1963</v>
      </c>
      <c r="P1785" s="3">
        <v>2463.46</v>
      </c>
      <c r="Q1785" s="3">
        <v>500</v>
      </c>
    </row>
    <row r="1786" spans="1:17" hidden="1" x14ac:dyDescent="0.3">
      <c r="A1786">
        <v>21</v>
      </c>
      <c r="B1786" t="str">
        <f>VLOOKUP($A1786,[1]LISTA!$B:$C,2,0)</f>
        <v>MAYO</v>
      </c>
      <c r="C1786" s="1">
        <v>2025</v>
      </c>
      <c r="D1786" s="1" t="str">
        <f>IF($A1786&lt;=[1]RESULTADOS!$D$6,"YTD","YTG")</f>
        <v>YTD</v>
      </c>
      <c r="E1786" t="s">
        <v>690</v>
      </c>
      <c r="F1786" t="s">
        <v>667</v>
      </c>
      <c r="G1786" t="s">
        <v>667</v>
      </c>
      <c r="H1786" t="s">
        <v>668</v>
      </c>
      <c r="I1786" t="s">
        <v>61</v>
      </c>
      <c r="J1786" t="str">
        <f>IFERROR(VLOOKUP(I1786,[1]AUTOS!$C:$G,2,0),"")</f>
        <v>KIA RIO</v>
      </c>
      <c r="K1786">
        <f>IFERROR(VLOOKUP(I1786,[1]AUTOS!$C:$G,3,0),"")</f>
        <v>2017</v>
      </c>
      <c r="L1786" t="str">
        <f>IFERROR(VLOOKUP(I1786,[1]AUTOS!$C:$G,4,0),"")</f>
        <v>ROJO</v>
      </c>
      <c r="M1786" t="s">
        <v>140</v>
      </c>
      <c r="N1786" s="3">
        <v>1826.66</v>
      </c>
      <c r="O1786" s="3">
        <v>2142</v>
      </c>
      <c r="P1786" s="3">
        <v>1826.66</v>
      </c>
      <c r="Q1786" s="3">
        <v>500</v>
      </c>
    </row>
    <row r="1787" spans="1:17" hidden="1" x14ac:dyDescent="0.3">
      <c r="A1787">
        <v>21</v>
      </c>
      <c r="B1787" t="str">
        <f>VLOOKUP($A1787,[1]LISTA!$B:$C,2,0)</f>
        <v>MAYO</v>
      </c>
      <c r="C1787" s="1">
        <v>2025</v>
      </c>
      <c r="D1787" s="1" t="str">
        <f>IF($A1787&lt;=[1]RESULTADOS!$D$6,"YTD","YTG")</f>
        <v>YTD</v>
      </c>
      <c r="E1787" t="s">
        <v>690</v>
      </c>
      <c r="F1787" t="s">
        <v>667</v>
      </c>
      <c r="G1787" t="s">
        <v>667</v>
      </c>
      <c r="H1787" t="s">
        <v>668</v>
      </c>
      <c r="I1787" t="s">
        <v>61</v>
      </c>
      <c r="J1787" t="str">
        <f>IFERROR(VLOOKUP(I1787,[1]AUTOS!$C:$G,2,0),"")</f>
        <v>KIA RIO</v>
      </c>
      <c r="K1787">
        <f>IFERROR(VLOOKUP(I1787,[1]AUTOS!$C:$G,3,0),"")</f>
        <v>2017</v>
      </c>
      <c r="L1787" t="str">
        <f>IFERROR(VLOOKUP(I1787,[1]AUTOS!$C:$G,4,0),"")</f>
        <v>ROJO</v>
      </c>
      <c r="M1787" t="s">
        <v>43</v>
      </c>
      <c r="N1787" s="3">
        <v>310.19999999999993</v>
      </c>
      <c r="O1787" s="3">
        <v>358</v>
      </c>
      <c r="P1787" s="3">
        <v>310.19999999999993</v>
      </c>
      <c r="Q1787" s="3">
        <v>0</v>
      </c>
    </row>
    <row r="1788" spans="1:17" hidden="1" x14ac:dyDescent="0.3">
      <c r="A1788">
        <v>21</v>
      </c>
      <c r="B1788" t="str">
        <f>VLOOKUP($A1788,[1]LISTA!$B:$C,2,0)</f>
        <v>MAYO</v>
      </c>
      <c r="C1788" s="1">
        <v>2025</v>
      </c>
      <c r="D1788" s="1" t="str">
        <f>IF($A1788&lt;=[1]RESULTADOS!$D$6,"YTD","YTG")</f>
        <v>YTD</v>
      </c>
      <c r="E1788" t="s">
        <v>679</v>
      </c>
      <c r="F1788" t="s">
        <v>667</v>
      </c>
      <c r="G1788" t="s">
        <v>667</v>
      </c>
      <c r="H1788" t="s">
        <v>668</v>
      </c>
      <c r="I1788" t="s">
        <v>82</v>
      </c>
      <c r="J1788" t="str">
        <f>IFERROR(VLOOKUP(I1788,[1]AUTOS!$C:$G,2,0),"")</f>
        <v>AVEO</v>
      </c>
      <c r="K1788">
        <f>IFERROR(VLOOKUP(I1788,[1]AUTOS!$C:$G,3,0),"")</f>
        <v>2019</v>
      </c>
      <c r="L1788" t="str">
        <f>IFERROR(VLOOKUP(I1788,[1]AUTOS!$C:$G,4,0),"")</f>
        <v>PLATA</v>
      </c>
      <c r="M1788" t="s">
        <v>43</v>
      </c>
      <c r="N1788" s="3">
        <v>0</v>
      </c>
      <c r="O1788" s="3">
        <v>0</v>
      </c>
      <c r="P1788" s="3">
        <v>0</v>
      </c>
      <c r="Q1788" s="3">
        <v>0</v>
      </c>
    </row>
    <row r="1789" spans="1:17" x14ac:dyDescent="0.3">
      <c r="A1789">
        <v>21</v>
      </c>
      <c r="B1789" t="str">
        <f>VLOOKUP($A1789,[1]LISTA!$B:$C,2,0)</f>
        <v>MAYO</v>
      </c>
      <c r="C1789" s="1">
        <v>2025</v>
      </c>
      <c r="D1789" s="1" t="str">
        <f>IF($A1789&lt;=[1]RESULTADOS!$D$6,"YTD","YTG")</f>
        <v>YTD</v>
      </c>
      <c r="E1789" t="s">
        <v>436</v>
      </c>
      <c r="F1789" t="s">
        <v>667</v>
      </c>
      <c r="G1789" t="s">
        <v>667</v>
      </c>
      <c r="H1789" t="s">
        <v>668</v>
      </c>
      <c r="I1789" t="s">
        <v>72</v>
      </c>
      <c r="J1789" t="str">
        <f>IFERROR(VLOOKUP(I1789,[1]AUTOS!$C:$G,2,0),"")</f>
        <v>VENTO</v>
      </c>
      <c r="K1789">
        <f>IFERROR(VLOOKUP(I1789,[1]AUTOS!$C:$G,3,0),"")</f>
        <v>2020</v>
      </c>
      <c r="L1789" t="str">
        <f>IFERROR(VLOOKUP(I1789,[1]AUTOS!$C:$G,4,0),"")</f>
        <v>GRIS</v>
      </c>
      <c r="M1789" t="s">
        <v>43</v>
      </c>
      <c r="N1789" s="3">
        <v>2798.55</v>
      </c>
      <c r="O1789" s="3">
        <v>2500</v>
      </c>
      <c r="P1789" s="3">
        <v>2999.55</v>
      </c>
      <c r="Q1789" s="3">
        <v>500</v>
      </c>
    </row>
    <row r="1790" spans="1:17" hidden="1" x14ac:dyDescent="0.3">
      <c r="A1790">
        <v>21</v>
      </c>
      <c r="B1790" t="str">
        <f>VLOOKUP($A1790,[1]LISTA!$B:$C,2,0)</f>
        <v>MAYO</v>
      </c>
      <c r="C1790" s="1">
        <v>2025</v>
      </c>
      <c r="D1790" s="1" t="str">
        <f>IF($A1790&lt;=[1]RESULTADOS!$D$6,"YTD","YTG")</f>
        <v>YTD</v>
      </c>
      <c r="E1790" t="s">
        <v>680</v>
      </c>
      <c r="F1790" t="s">
        <v>667</v>
      </c>
      <c r="G1790" t="s">
        <v>667</v>
      </c>
      <c r="H1790" t="s">
        <v>668</v>
      </c>
      <c r="I1790" t="s">
        <v>144</v>
      </c>
      <c r="J1790" t="str">
        <f>IFERROR(VLOOKUP(I1790,[1]AUTOS!$C:$G,2,0),"")</f>
        <v>VERSA</v>
      </c>
      <c r="K1790">
        <f>IFERROR(VLOOKUP(I1790,[1]AUTOS!$C:$G,3,0),"")</f>
        <v>2020</v>
      </c>
      <c r="L1790" t="str">
        <f>IFERROR(VLOOKUP(I1790,[1]AUTOS!$C:$G,4,0),"")</f>
        <v>ROJO</v>
      </c>
      <c r="M1790" t="s">
        <v>43</v>
      </c>
      <c r="N1790" s="3">
        <v>4584.17</v>
      </c>
      <c r="O1790" s="3">
        <v>2500</v>
      </c>
      <c r="P1790" s="3">
        <v>3000</v>
      </c>
      <c r="Q1790" s="3">
        <v>0</v>
      </c>
    </row>
    <row r="1791" spans="1:17" hidden="1" x14ac:dyDescent="0.3">
      <c r="A1791">
        <v>21</v>
      </c>
      <c r="B1791" t="str">
        <f>VLOOKUP($A1791,[1]LISTA!$B:$C,2,0)</f>
        <v>MAYO</v>
      </c>
      <c r="C1791" s="1">
        <v>2025</v>
      </c>
      <c r="D1791" s="1" t="str">
        <f>IF($A1791&lt;=[1]RESULTADOS!$D$6,"YTD","YTG")</f>
        <v>YTD</v>
      </c>
      <c r="E1791" t="s">
        <v>456</v>
      </c>
      <c r="F1791" t="s">
        <v>667</v>
      </c>
      <c r="G1791" t="s">
        <v>667</v>
      </c>
      <c r="H1791" t="s">
        <v>668</v>
      </c>
      <c r="I1791" t="s">
        <v>73</v>
      </c>
      <c r="J1791" t="str">
        <f>IFERROR(VLOOKUP(I1791,[1]AUTOS!$C:$G,2,0),"")</f>
        <v>VERSA</v>
      </c>
      <c r="K1791">
        <f>IFERROR(VLOOKUP(I1791,[1]AUTOS!$C:$G,3,0),"")</f>
        <v>2023</v>
      </c>
      <c r="L1791" t="str">
        <f>IFERROR(VLOOKUP(I1791,[1]AUTOS!$C:$G,4,0),"")</f>
        <v>PLATA</v>
      </c>
      <c r="M1791" t="s">
        <v>43</v>
      </c>
      <c r="N1791" s="3">
        <v>5353.16</v>
      </c>
      <c r="O1791" s="3">
        <v>2500</v>
      </c>
      <c r="P1791" s="3">
        <v>3480</v>
      </c>
      <c r="Q1791" s="3">
        <v>0</v>
      </c>
    </row>
    <row r="1792" spans="1:17" hidden="1" x14ac:dyDescent="0.3">
      <c r="A1792">
        <v>21</v>
      </c>
      <c r="B1792" t="str">
        <f>VLOOKUP($A1792,[1]LISTA!$B:$C,2,0)</f>
        <v>MAYO</v>
      </c>
      <c r="C1792" s="1">
        <v>2025</v>
      </c>
      <c r="D1792" s="1" t="str">
        <f>IF($A1792&lt;=[1]RESULTADOS!$D$6,"YTD","YTG")</f>
        <v>YTD</v>
      </c>
      <c r="E1792" t="s">
        <v>411</v>
      </c>
      <c r="F1792" t="s">
        <v>667</v>
      </c>
      <c r="G1792" t="s">
        <v>667</v>
      </c>
      <c r="H1792" t="s">
        <v>668</v>
      </c>
      <c r="I1792" t="s">
        <v>178</v>
      </c>
      <c r="J1792" t="str">
        <f>IFERROR(VLOOKUP(I1792,[1]AUTOS!$C:$G,2,0),"")</f>
        <v>VERSA</v>
      </c>
      <c r="K1792">
        <f>IFERROR(VLOOKUP(I1792,[1]AUTOS!$C:$G,3,0),"")</f>
        <v>2020</v>
      </c>
      <c r="L1792" t="str">
        <f>IFERROR(VLOOKUP(I1792,[1]AUTOS!$C:$G,4,0),"")</f>
        <v>BLANCO</v>
      </c>
      <c r="M1792" t="s">
        <v>43</v>
      </c>
      <c r="N1792" s="3">
        <v>7015.7999999999993</v>
      </c>
      <c r="O1792" s="3">
        <v>2500</v>
      </c>
      <c r="P1792" s="3">
        <v>4000</v>
      </c>
      <c r="Q1792" s="3">
        <v>0</v>
      </c>
    </row>
    <row r="1793" spans="1:17" hidden="1" x14ac:dyDescent="0.3">
      <c r="A1793">
        <v>21</v>
      </c>
      <c r="B1793" t="str">
        <f>VLOOKUP($A1793,[1]LISTA!$B:$C,2,0)</f>
        <v>MAYO</v>
      </c>
      <c r="C1793" s="1">
        <v>2025</v>
      </c>
      <c r="D1793" s="1" t="str">
        <f>IF($A1793&lt;=[1]RESULTADOS!$D$6,"YTD","YTG")</f>
        <v>YTD</v>
      </c>
      <c r="E1793" t="s">
        <v>518</v>
      </c>
      <c r="F1793" t="s">
        <v>667</v>
      </c>
      <c r="G1793" t="s">
        <v>667</v>
      </c>
      <c r="H1793" t="s">
        <v>668</v>
      </c>
      <c r="I1793" t="s">
        <v>37</v>
      </c>
      <c r="J1793" t="str">
        <f>IFERROR(VLOOKUP(I1793,[1]AUTOS!$C:$G,2,0),"")</f>
        <v>BEAT</v>
      </c>
      <c r="K1793">
        <f>IFERROR(VLOOKUP(I1793,[1]AUTOS!$C:$G,3,0),"")</f>
        <v>2020</v>
      </c>
      <c r="L1793" t="str">
        <f>IFERROR(VLOOKUP(I1793,[1]AUTOS!$C:$G,4,0),"")</f>
        <v>GRIS</v>
      </c>
      <c r="M1793" t="s">
        <v>140</v>
      </c>
      <c r="N1793" s="3">
        <v>0</v>
      </c>
      <c r="O1793" s="3">
        <v>2500</v>
      </c>
      <c r="P1793" s="3">
        <v>1000</v>
      </c>
      <c r="Q1793" s="3">
        <v>0</v>
      </c>
    </row>
    <row r="1794" spans="1:17" hidden="1" x14ac:dyDescent="0.3">
      <c r="A1794">
        <v>21</v>
      </c>
      <c r="B1794" t="str">
        <f>VLOOKUP($A1794,[1]LISTA!$B:$C,2,0)</f>
        <v>MAYO</v>
      </c>
      <c r="C1794" s="1">
        <v>2025</v>
      </c>
      <c r="D1794" s="1" t="str">
        <f>IF($A1794&lt;=[1]RESULTADOS!$D$6,"YTD","YTG")</f>
        <v>YTD</v>
      </c>
      <c r="E1794" t="s">
        <v>526</v>
      </c>
      <c r="F1794" t="s">
        <v>667</v>
      </c>
      <c r="G1794" t="s">
        <v>667</v>
      </c>
      <c r="H1794" t="s">
        <v>668</v>
      </c>
      <c r="I1794" t="s">
        <v>67</v>
      </c>
      <c r="J1794" t="str">
        <f>IFERROR(VLOOKUP(I1794,[1]AUTOS!$C:$G,2,0),"")</f>
        <v>KIA RIO</v>
      </c>
      <c r="K1794">
        <f>IFERROR(VLOOKUP(I1794,[1]AUTOS!$C:$G,3,0),"")</f>
        <v>2020</v>
      </c>
      <c r="L1794" t="str">
        <f>IFERROR(VLOOKUP(I1794,[1]AUTOS!$C:$G,4,0),"")</f>
        <v>GRIS</v>
      </c>
      <c r="M1794" t="s">
        <v>43</v>
      </c>
      <c r="N1794" s="3">
        <v>4769.99</v>
      </c>
      <c r="O1794" s="3">
        <v>2500</v>
      </c>
      <c r="P1794" s="3">
        <v>2500</v>
      </c>
      <c r="Q1794" s="3">
        <v>0</v>
      </c>
    </row>
    <row r="1795" spans="1:17" hidden="1" x14ac:dyDescent="0.3">
      <c r="A1795">
        <v>21</v>
      </c>
      <c r="B1795" t="str">
        <f>VLOOKUP($A1795,[1]LISTA!$B:$C,2,0)</f>
        <v>MAYO</v>
      </c>
      <c r="C1795" s="1">
        <v>2025</v>
      </c>
      <c r="D1795" s="1" t="str">
        <f>IF($A1795&lt;=[1]RESULTADOS!$D$6,"YTD","YTG")</f>
        <v>YTD</v>
      </c>
      <c r="E1795" t="s">
        <v>694</v>
      </c>
      <c r="F1795" t="s">
        <v>667</v>
      </c>
      <c r="G1795" t="s">
        <v>667</v>
      </c>
      <c r="H1795" t="s">
        <v>668</v>
      </c>
      <c r="I1795" t="s">
        <v>42</v>
      </c>
      <c r="J1795" t="str">
        <f>IFERROR(VLOOKUP(I1795,[1]AUTOS!$C:$G,2,0),"")</f>
        <v>VENTO</v>
      </c>
      <c r="K1795">
        <f>IFERROR(VLOOKUP(I1795,[1]AUTOS!$C:$G,3,0),"")</f>
        <v>2018</v>
      </c>
      <c r="L1795" t="str">
        <f>IFERROR(VLOOKUP(I1795,[1]AUTOS!$C:$G,4,0),"")</f>
        <v>AMARILLO</v>
      </c>
      <c r="M1795" t="s">
        <v>43</v>
      </c>
      <c r="N1795" s="3">
        <v>3232.9400000000005</v>
      </c>
      <c r="O1795" s="3">
        <v>2142</v>
      </c>
      <c r="P1795" s="3">
        <v>3232.9400000000005</v>
      </c>
      <c r="Q1795" s="3">
        <v>500</v>
      </c>
    </row>
    <row r="1796" spans="1:17" hidden="1" x14ac:dyDescent="0.3">
      <c r="A1796">
        <v>21</v>
      </c>
      <c r="B1796" t="str">
        <f>VLOOKUP($A1796,[1]LISTA!$B:$C,2,0)</f>
        <v>MAYO</v>
      </c>
      <c r="C1796" s="1">
        <v>2025</v>
      </c>
      <c r="D1796" s="1" t="str">
        <f>IF($A1796&lt;=[1]RESULTADOS!$D$6,"YTD","YTG")</f>
        <v>YTD</v>
      </c>
      <c r="E1796" t="s">
        <v>674</v>
      </c>
      <c r="F1796" t="s">
        <v>667</v>
      </c>
      <c r="G1796" t="s">
        <v>667</v>
      </c>
      <c r="H1796" t="s">
        <v>668</v>
      </c>
      <c r="I1796" t="s">
        <v>46</v>
      </c>
      <c r="J1796" t="str">
        <f>IFERROR(VLOOKUP(I1796,[1]AUTOS!$C:$G,2,0),"")</f>
        <v>MARCH</v>
      </c>
      <c r="K1796">
        <f>IFERROR(VLOOKUP(I1796,[1]AUTOS!$C:$G,3,0),"")</f>
        <v>2020</v>
      </c>
      <c r="L1796" t="str">
        <f>IFERROR(VLOOKUP(I1796,[1]AUTOS!$C:$G,4,0),"")</f>
        <v>TURQ</v>
      </c>
      <c r="M1796" t="s">
        <v>43</v>
      </c>
      <c r="N1796" s="3">
        <v>3139.62</v>
      </c>
      <c r="O1796" s="3">
        <v>2142</v>
      </c>
      <c r="P1796" s="3">
        <v>2523</v>
      </c>
      <c r="Q1796" s="3">
        <v>0</v>
      </c>
    </row>
    <row r="1797" spans="1:17" hidden="1" x14ac:dyDescent="0.3">
      <c r="A1797">
        <v>21</v>
      </c>
      <c r="B1797" t="str">
        <f>VLOOKUP($A1797,[1]LISTA!$B:$C,2,0)</f>
        <v>MAYO</v>
      </c>
      <c r="C1797" s="1">
        <v>2025</v>
      </c>
      <c r="D1797" s="1" t="str">
        <f>IF($A1797&lt;=[1]RESULTADOS!$D$6,"YTD","YTG")</f>
        <v>YTD</v>
      </c>
      <c r="E1797" t="s">
        <v>681</v>
      </c>
      <c r="F1797" t="s">
        <v>667</v>
      </c>
      <c r="G1797" t="s">
        <v>667</v>
      </c>
      <c r="H1797" t="s">
        <v>668</v>
      </c>
      <c r="I1797" t="s">
        <v>102</v>
      </c>
      <c r="J1797" t="str">
        <f>IFERROR(VLOOKUP(I1797,[1]AUTOS!$C:$G,2,0),"")</f>
        <v>AVEO</v>
      </c>
      <c r="K1797">
        <f>IFERROR(VLOOKUP(I1797,[1]AUTOS!$C:$G,3,0),"")</f>
        <v>2022</v>
      </c>
      <c r="L1797" t="str">
        <f>IFERROR(VLOOKUP(I1797,[1]AUTOS!$C:$G,4,0),"")</f>
        <v>AZUL</v>
      </c>
      <c r="M1797" t="s">
        <v>43</v>
      </c>
      <c r="N1797" s="3">
        <v>4109.7299999999996</v>
      </c>
      <c r="O1797" s="3">
        <v>2500</v>
      </c>
      <c r="P1797" s="3">
        <v>2500</v>
      </c>
      <c r="Q1797" s="3">
        <v>0</v>
      </c>
    </row>
    <row r="1798" spans="1:17" hidden="1" x14ac:dyDescent="0.3">
      <c r="A1798">
        <v>21</v>
      </c>
      <c r="B1798" t="str">
        <f>VLOOKUP($A1798,[1]LISTA!$B:$C,2,0)</f>
        <v>MAYO</v>
      </c>
      <c r="C1798" s="1">
        <v>2025</v>
      </c>
      <c r="D1798" s="1" t="str">
        <f>IF($A1798&lt;=[1]RESULTADOS!$D$6,"YTD","YTG")</f>
        <v>YTD</v>
      </c>
      <c r="E1798" t="s">
        <v>675</v>
      </c>
      <c r="F1798" t="s">
        <v>667</v>
      </c>
      <c r="G1798" t="s">
        <v>667</v>
      </c>
      <c r="H1798" t="s">
        <v>668</v>
      </c>
      <c r="I1798" t="s">
        <v>40</v>
      </c>
      <c r="J1798" t="str">
        <f>IFERROR(VLOOKUP(I1798,[1]AUTOS!$C:$G,2,0),"")</f>
        <v>VERSA</v>
      </c>
      <c r="K1798">
        <f>IFERROR(VLOOKUP(I1798,[1]AUTOS!$C:$G,3,0),"")</f>
        <v>2017</v>
      </c>
      <c r="L1798" t="str">
        <f>IFERROR(VLOOKUP(I1798,[1]AUTOS!$C:$G,4,0),"")</f>
        <v>ACERO</v>
      </c>
      <c r="M1798" t="s">
        <v>140</v>
      </c>
      <c r="N1798" s="3">
        <v>1660.96</v>
      </c>
      <c r="O1798" s="3">
        <v>2500</v>
      </c>
      <c r="P1798" s="3">
        <v>3660.96</v>
      </c>
      <c r="Q1798" s="3">
        <v>0</v>
      </c>
    </row>
    <row r="1799" spans="1:17" hidden="1" x14ac:dyDescent="0.3">
      <c r="A1799">
        <v>21</v>
      </c>
      <c r="B1799" t="str">
        <f>VLOOKUP($A1799,[1]LISTA!$B:$C,2,0)</f>
        <v>MAYO</v>
      </c>
      <c r="C1799" s="1">
        <v>2025</v>
      </c>
      <c r="D1799" s="1" t="str">
        <f>IF($A1799&lt;=[1]RESULTADOS!$D$6,"YTD","YTG")</f>
        <v>YTD</v>
      </c>
      <c r="E1799" t="s">
        <v>695</v>
      </c>
      <c r="F1799" t="s">
        <v>667</v>
      </c>
      <c r="G1799" t="s">
        <v>667</v>
      </c>
      <c r="H1799" t="s">
        <v>668</v>
      </c>
      <c r="I1799" t="s">
        <v>34</v>
      </c>
      <c r="J1799" t="str">
        <f>IFERROR(VLOOKUP(I1799,[1]AUTOS!$C:$G,2,0),"")</f>
        <v>AVEO</v>
      </c>
      <c r="K1799">
        <f>IFERROR(VLOOKUP(I1799,[1]AUTOS!$C:$G,3,0),"")</f>
        <v>2018</v>
      </c>
      <c r="L1799" t="str">
        <f>IFERROR(VLOOKUP(I1799,[1]AUTOS!$C:$G,4,0),"")</f>
        <v>ROJO</v>
      </c>
      <c r="M1799" t="s">
        <v>140</v>
      </c>
      <c r="N1799" s="3">
        <v>2032.3400000000001</v>
      </c>
      <c r="O1799" s="3">
        <v>895</v>
      </c>
      <c r="P1799" s="3">
        <v>1495</v>
      </c>
      <c r="Q1799" s="3">
        <v>500</v>
      </c>
    </row>
    <row r="1800" spans="1:17" hidden="1" x14ac:dyDescent="0.3">
      <c r="A1800">
        <v>21</v>
      </c>
      <c r="B1800" t="str">
        <f>VLOOKUP($A1800,[1]LISTA!$B:$C,2,0)</f>
        <v>MAYO</v>
      </c>
      <c r="C1800" s="1">
        <v>2025</v>
      </c>
      <c r="D1800" s="1" t="str">
        <f>IF($A1800&lt;=[1]RESULTADOS!$D$6,"YTD","YTG")</f>
        <v>YTD</v>
      </c>
      <c r="E1800" t="s">
        <v>688</v>
      </c>
      <c r="F1800" t="s">
        <v>667</v>
      </c>
      <c r="G1800" t="s">
        <v>667</v>
      </c>
      <c r="H1800" t="s">
        <v>668</v>
      </c>
      <c r="I1800" t="s">
        <v>76</v>
      </c>
      <c r="J1800" t="str">
        <f>IFERROR(VLOOKUP(I1800,[1]AUTOS!$C:$G,2,0),"")</f>
        <v>AVEO</v>
      </c>
      <c r="K1800">
        <f>IFERROR(VLOOKUP(I1800,[1]AUTOS!$C:$G,3,0),"")</f>
        <v>2018</v>
      </c>
      <c r="L1800" t="str">
        <f>IFERROR(VLOOKUP(I1800,[1]AUTOS!$C:$G,4,0),"")</f>
        <v>GRIS</v>
      </c>
      <c r="M1800" t="s">
        <v>43</v>
      </c>
      <c r="N1800" s="3">
        <v>-298.57</v>
      </c>
      <c r="O1800" s="3">
        <v>2500</v>
      </c>
      <c r="P1800" s="3">
        <v>2901.43</v>
      </c>
      <c r="Q1800" s="3">
        <v>143</v>
      </c>
    </row>
    <row r="1801" spans="1:17" hidden="1" x14ac:dyDescent="0.3">
      <c r="A1801">
        <v>21</v>
      </c>
      <c r="B1801" t="str">
        <f>VLOOKUP($A1801,[1]LISTA!$B:$C,2,0)</f>
        <v>MAYO</v>
      </c>
      <c r="C1801" s="1">
        <v>2025</v>
      </c>
      <c r="D1801" s="1" t="str">
        <f>IF($A1801&lt;=[1]RESULTADOS!$D$6,"YTD","YTG")</f>
        <v>YTD</v>
      </c>
      <c r="E1801" t="s">
        <v>692</v>
      </c>
      <c r="F1801" t="s">
        <v>667</v>
      </c>
      <c r="G1801" t="s">
        <v>667</v>
      </c>
      <c r="H1801" t="s">
        <v>668</v>
      </c>
      <c r="I1801" t="s">
        <v>82</v>
      </c>
      <c r="J1801" t="str">
        <f>IFERROR(VLOOKUP(I1801,[1]AUTOS!$C:$G,2,0),"")</f>
        <v>AVEO</v>
      </c>
      <c r="K1801">
        <f>IFERROR(VLOOKUP(I1801,[1]AUTOS!$C:$G,3,0),"")</f>
        <v>2019</v>
      </c>
      <c r="L1801" t="str">
        <f>IFERROR(VLOOKUP(I1801,[1]AUTOS!$C:$G,4,0),"")</f>
        <v>PLATA</v>
      </c>
      <c r="M1801" t="s">
        <v>43</v>
      </c>
      <c r="N1801" s="3">
        <v>2303.5500000000002</v>
      </c>
      <c r="O1801" s="3">
        <v>2500</v>
      </c>
      <c r="P1801" s="3">
        <v>2303.5500000000002</v>
      </c>
      <c r="Q1801" s="3">
        <v>500</v>
      </c>
    </row>
    <row r="1802" spans="1:17" hidden="1" x14ac:dyDescent="0.3">
      <c r="A1802">
        <v>21</v>
      </c>
      <c r="B1802" t="str">
        <f>VLOOKUP($A1802,[1]LISTA!$B:$C,2,0)</f>
        <v>MAYO</v>
      </c>
      <c r="C1802" s="1">
        <v>2025</v>
      </c>
      <c r="D1802" s="1" t="str">
        <f>IF($A1802&lt;=[1]RESULTADOS!$D$6,"YTD","YTG")</f>
        <v>YTD</v>
      </c>
      <c r="E1802" t="s">
        <v>403</v>
      </c>
      <c r="F1802" t="s">
        <v>667</v>
      </c>
      <c r="G1802" t="s">
        <v>667</v>
      </c>
      <c r="H1802" t="s">
        <v>668</v>
      </c>
      <c r="I1802" t="s">
        <v>51</v>
      </c>
      <c r="J1802" t="str">
        <f>IFERROR(VLOOKUP(I1802,[1]AUTOS!$C:$G,2,0),"")</f>
        <v>VENTO</v>
      </c>
      <c r="K1802">
        <f>IFERROR(VLOOKUP(I1802,[1]AUTOS!$C:$G,3,0),"")</f>
        <v>2017</v>
      </c>
      <c r="L1802" t="str">
        <f>IFERROR(VLOOKUP(I1802,[1]AUTOS!$C:$G,4,0),"")</f>
        <v>GRIS</v>
      </c>
      <c r="M1802" t="s">
        <v>43</v>
      </c>
      <c r="N1802" s="3">
        <v>2519.6799999999998</v>
      </c>
      <c r="O1802" s="3">
        <v>2300</v>
      </c>
      <c r="P1802" s="3">
        <v>2300</v>
      </c>
      <c r="Q1802" s="3">
        <v>0</v>
      </c>
    </row>
    <row r="1803" spans="1:17" hidden="1" x14ac:dyDescent="0.3">
      <c r="A1803">
        <v>21</v>
      </c>
      <c r="B1803" t="str">
        <f>VLOOKUP($A1803,[1]LISTA!$B:$C,2,0)</f>
        <v>MAYO</v>
      </c>
      <c r="C1803" s="1">
        <v>2025</v>
      </c>
      <c r="D1803" s="1" t="str">
        <f>IF($A1803&lt;=[1]RESULTADOS!$D$6,"YTD","YTG")</f>
        <v>YTD</v>
      </c>
      <c r="E1803" t="s">
        <v>470</v>
      </c>
      <c r="F1803" t="s">
        <v>667</v>
      </c>
      <c r="G1803" t="s">
        <v>667</v>
      </c>
      <c r="H1803" t="s">
        <v>668</v>
      </c>
      <c r="I1803" t="s">
        <v>59</v>
      </c>
      <c r="J1803" t="str">
        <f>IFERROR(VLOOKUP(I1803,[1]AUTOS!$C:$G,2,0),"")</f>
        <v>AVEO</v>
      </c>
      <c r="K1803">
        <f>IFERROR(VLOOKUP(I1803,[1]AUTOS!$C:$G,3,0),"")</f>
        <v>2019</v>
      </c>
      <c r="L1803" t="str">
        <f>IFERROR(VLOOKUP(I1803,[1]AUTOS!$C:$G,4,0),"")</f>
        <v>BLANCO</v>
      </c>
      <c r="M1803" t="s">
        <v>43</v>
      </c>
      <c r="N1803" s="3">
        <v>5466.51</v>
      </c>
      <c r="O1803" s="3">
        <v>2500</v>
      </c>
      <c r="P1803" s="3">
        <v>3600</v>
      </c>
      <c r="Q1803" s="3">
        <v>0</v>
      </c>
    </row>
    <row r="1804" spans="1:17" hidden="1" x14ac:dyDescent="0.3">
      <c r="A1804">
        <v>21</v>
      </c>
      <c r="B1804" t="str">
        <f>VLOOKUP($A1804,[1]LISTA!$B:$C,2,0)</f>
        <v>MAYO</v>
      </c>
      <c r="C1804" s="1">
        <v>2025</v>
      </c>
      <c r="D1804" s="1" t="str">
        <f>IF($A1804&lt;=[1]RESULTADOS!$D$6,"YTD","YTG")</f>
        <v>YTD</v>
      </c>
      <c r="E1804" t="s">
        <v>689</v>
      </c>
      <c r="F1804" t="s">
        <v>667</v>
      </c>
      <c r="G1804" t="s">
        <v>667</v>
      </c>
      <c r="H1804" t="s">
        <v>668</v>
      </c>
      <c r="I1804" t="s">
        <v>185</v>
      </c>
      <c r="J1804" t="str">
        <f>IFERROR(VLOOKUP(I1804,[1]AUTOS!$C:$G,2,0),"")</f>
        <v>MARCH</v>
      </c>
      <c r="K1804">
        <f>IFERROR(VLOOKUP(I1804,[1]AUTOS!$C:$G,3,0),"")</f>
        <v>2021</v>
      </c>
      <c r="L1804" t="str">
        <f>IFERROR(VLOOKUP(I1804,[1]AUTOS!$C:$G,4,0),"")</f>
        <v>ROJO</v>
      </c>
      <c r="M1804" t="s">
        <v>43</v>
      </c>
      <c r="N1804" s="3">
        <v>0</v>
      </c>
      <c r="O1804" s="3">
        <v>2500</v>
      </c>
      <c r="P1804" s="3">
        <v>2563</v>
      </c>
      <c r="Q1804" s="3">
        <v>0</v>
      </c>
    </row>
    <row r="1805" spans="1:17" hidden="1" x14ac:dyDescent="0.3">
      <c r="A1805">
        <v>22</v>
      </c>
      <c r="B1805" t="str">
        <f>VLOOKUP($A1805,[1]LISTA!$B:$C,2,0)</f>
        <v>MAYO</v>
      </c>
      <c r="C1805" s="1">
        <v>2025</v>
      </c>
      <c r="D1805" s="1" t="str">
        <f>IF($A1805&lt;=[1]RESULTADOS!$D$6,"YTD","YTG")</f>
        <v>YTD</v>
      </c>
      <c r="E1805" t="s">
        <v>492</v>
      </c>
      <c r="F1805" t="s">
        <v>667</v>
      </c>
      <c r="G1805" t="s">
        <v>667</v>
      </c>
      <c r="H1805" t="s">
        <v>668</v>
      </c>
      <c r="I1805" t="s">
        <v>116</v>
      </c>
      <c r="J1805" t="str">
        <f>IFERROR(VLOOKUP(I1805,[1]AUTOS!$C:$G,2,0),"")</f>
        <v>AVEO</v>
      </c>
      <c r="K1805">
        <f>IFERROR(VLOOKUP(I1805,[1]AUTOS!$C:$G,3,0),"")</f>
        <v>2022</v>
      </c>
      <c r="L1805" t="str">
        <f>IFERROR(VLOOKUP(I1805,[1]AUTOS!$C:$G,4,0),"")</f>
        <v>AZUL</v>
      </c>
      <c r="M1805" t="s">
        <v>43</v>
      </c>
      <c r="N1805" s="3">
        <v>-30</v>
      </c>
      <c r="O1805" s="3">
        <v>2500</v>
      </c>
      <c r="P1805" s="3">
        <v>3000</v>
      </c>
      <c r="Q1805" s="3">
        <v>0</v>
      </c>
    </row>
    <row r="1806" spans="1:17" hidden="1" x14ac:dyDescent="0.3">
      <c r="A1806">
        <v>22</v>
      </c>
      <c r="B1806" t="str">
        <f>VLOOKUP($A1806,[1]LISTA!$B:$C,2,0)</f>
        <v>MAYO</v>
      </c>
      <c r="C1806" s="1">
        <v>2025</v>
      </c>
      <c r="D1806" s="1" t="str">
        <f>IF($A1806&lt;=[1]RESULTADOS!$D$6,"YTD","YTG")</f>
        <v>YTD</v>
      </c>
      <c r="E1806" t="s">
        <v>693</v>
      </c>
      <c r="F1806" t="s">
        <v>667</v>
      </c>
      <c r="G1806" t="s">
        <v>667</v>
      </c>
      <c r="H1806" t="s">
        <v>668</v>
      </c>
      <c r="I1806" t="s">
        <v>162</v>
      </c>
      <c r="J1806" t="str">
        <f>IFERROR(VLOOKUP(I1806,[1]AUTOS!$C:$G,2,0),"")</f>
        <v>HYUNDAI</v>
      </c>
      <c r="K1806">
        <f>IFERROR(VLOOKUP(I1806,[1]AUTOS!$C:$G,3,0),"")</f>
        <v>2022</v>
      </c>
      <c r="L1806" t="str">
        <f>IFERROR(VLOOKUP(I1806,[1]AUTOS!$C:$G,4,0),"")</f>
        <v>PLATA</v>
      </c>
      <c r="M1806" t="s">
        <v>43</v>
      </c>
      <c r="N1806" s="3">
        <v>2370.7099999999991</v>
      </c>
      <c r="O1806" s="3">
        <v>2500</v>
      </c>
      <c r="P1806" s="3">
        <v>3322.7099999999991</v>
      </c>
      <c r="Q1806" s="3">
        <v>500</v>
      </c>
    </row>
    <row r="1807" spans="1:17" hidden="1" x14ac:dyDescent="0.3">
      <c r="A1807">
        <v>22</v>
      </c>
      <c r="B1807" t="str">
        <f>VLOOKUP($A1807,[1]LISTA!$B:$C,2,0)</f>
        <v>MAYO</v>
      </c>
      <c r="C1807" s="1">
        <v>2025</v>
      </c>
      <c r="D1807" s="1" t="str">
        <f>IF($A1807&lt;=[1]RESULTADOS!$D$6,"YTD","YTG")</f>
        <v>YTD</v>
      </c>
      <c r="E1807" t="s">
        <v>691</v>
      </c>
      <c r="F1807" t="s">
        <v>667</v>
      </c>
      <c r="G1807" t="s">
        <v>667</v>
      </c>
      <c r="H1807" t="s">
        <v>668</v>
      </c>
      <c r="I1807" t="s">
        <v>182</v>
      </c>
      <c r="J1807" t="str">
        <f>IFERROR(VLOOKUP(I1807,[1]AUTOS!$C:$G,2,0),"")</f>
        <v>AVEO</v>
      </c>
      <c r="K1807">
        <f>IFERROR(VLOOKUP(I1807,[1]AUTOS!$C:$G,3,0),"")</f>
        <v>2020</v>
      </c>
      <c r="L1807" t="str">
        <f>IFERROR(VLOOKUP(I1807,[1]AUTOS!$C:$G,4,0),"")</f>
        <v>AZUL</v>
      </c>
      <c r="M1807" t="s">
        <v>43</v>
      </c>
      <c r="N1807" s="3">
        <v>5429.8600000000006</v>
      </c>
      <c r="O1807" s="3">
        <v>2500</v>
      </c>
      <c r="P1807" s="3">
        <v>3000</v>
      </c>
      <c r="Q1807" s="3">
        <v>500</v>
      </c>
    </row>
    <row r="1808" spans="1:17" hidden="1" x14ac:dyDescent="0.3">
      <c r="A1808">
        <v>22</v>
      </c>
      <c r="B1808" t="str">
        <f>VLOOKUP($A1808,[1]LISTA!$B:$C,2,0)</f>
        <v>MAYO</v>
      </c>
      <c r="C1808" s="1">
        <v>2025</v>
      </c>
      <c r="D1808" s="1" t="str">
        <f>IF($A1808&lt;=[1]RESULTADOS!$D$6,"YTD","YTG")</f>
        <v>YTD</v>
      </c>
      <c r="E1808" t="s">
        <v>478</v>
      </c>
      <c r="F1808" t="s">
        <v>667</v>
      </c>
      <c r="G1808" t="s">
        <v>667</v>
      </c>
      <c r="H1808" t="s">
        <v>668</v>
      </c>
      <c r="I1808" t="s">
        <v>79</v>
      </c>
      <c r="J1808" t="str">
        <f>IFERROR(VLOOKUP(I1808,[1]AUTOS!$C:$G,2,0),"")</f>
        <v>AVEO</v>
      </c>
      <c r="K1808">
        <f>IFERROR(VLOOKUP(I1808,[1]AUTOS!$C:$G,3,0),"")</f>
        <v>2021</v>
      </c>
      <c r="L1808" t="str">
        <f>IFERROR(VLOOKUP(I1808,[1]AUTOS!$C:$G,4,0),"")</f>
        <v>OCRE</v>
      </c>
      <c r="M1808" t="s">
        <v>43</v>
      </c>
      <c r="N1808" s="3">
        <v>3067.9099999999989</v>
      </c>
      <c r="O1808" s="3">
        <v>2500</v>
      </c>
      <c r="P1808" s="3">
        <v>3000</v>
      </c>
      <c r="Q1808" s="3">
        <v>500</v>
      </c>
    </row>
    <row r="1809" spans="1:17" hidden="1" x14ac:dyDescent="0.3">
      <c r="A1809">
        <v>22</v>
      </c>
      <c r="B1809" t="str">
        <f>VLOOKUP($A1809,[1]LISTA!$B:$C,2,0)</f>
        <v>MAYO</v>
      </c>
      <c r="C1809" s="1">
        <v>2025</v>
      </c>
      <c r="D1809" s="1" t="str">
        <f>IF($A1809&lt;=[1]RESULTADOS!$D$6,"YTD","YTG")</f>
        <v>YTD</v>
      </c>
      <c r="E1809" t="s">
        <v>690</v>
      </c>
      <c r="F1809" t="s">
        <v>667</v>
      </c>
      <c r="G1809" t="s">
        <v>667</v>
      </c>
      <c r="H1809" t="s">
        <v>668</v>
      </c>
      <c r="I1809" t="s">
        <v>61</v>
      </c>
      <c r="J1809" t="str">
        <f>IFERROR(VLOOKUP(I1809,[1]AUTOS!$C:$G,2,0),"")</f>
        <v>KIA RIO</v>
      </c>
      <c r="K1809">
        <f>IFERROR(VLOOKUP(I1809,[1]AUTOS!$C:$G,3,0),"")</f>
        <v>2017</v>
      </c>
      <c r="L1809" t="str">
        <f>IFERROR(VLOOKUP(I1809,[1]AUTOS!$C:$G,4,0),"")</f>
        <v>ROJO</v>
      </c>
      <c r="M1809" t="s">
        <v>140</v>
      </c>
      <c r="N1809" s="3">
        <v>2249.869999999999</v>
      </c>
      <c r="O1809" s="3">
        <v>2500</v>
      </c>
      <c r="P1809" s="3">
        <v>2249.869999999999</v>
      </c>
      <c r="Q1809" s="3">
        <v>0</v>
      </c>
    </row>
    <row r="1810" spans="1:17" x14ac:dyDescent="0.3">
      <c r="A1810">
        <v>22</v>
      </c>
      <c r="B1810" t="str">
        <f>VLOOKUP($A1810,[1]LISTA!$B:$C,2,0)</f>
        <v>MAYO</v>
      </c>
      <c r="C1810" s="1">
        <v>2025</v>
      </c>
      <c r="D1810" s="1" t="str">
        <f>IF($A1810&lt;=[1]RESULTADOS!$D$6,"YTD","YTG")</f>
        <v>YTD</v>
      </c>
      <c r="E1810" t="s">
        <v>436</v>
      </c>
      <c r="F1810" t="s">
        <v>667</v>
      </c>
      <c r="G1810" t="s">
        <v>667</v>
      </c>
      <c r="H1810" t="s">
        <v>668</v>
      </c>
      <c r="I1810" t="s">
        <v>72</v>
      </c>
      <c r="J1810" t="str">
        <f>IFERROR(VLOOKUP(I1810,[1]AUTOS!$C:$G,2,0),"")</f>
        <v>VENTO</v>
      </c>
      <c r="K1810">
        <f>IFERROR(VLOOKUP(I1810,[1]AUTOS!$C:$G,3,0),"")</f>
        <v>2020</v>
      </c>
      <c r="L1810" t="str">
        <f>IFERROR(VLOOKUP(I1810,[1]AUTOS!$C:$G,4,0),"")</f>
        <v>GRIS</v>
      </c>
      <c r="M1810" t="s">
        <v>43</v>
      </c>
      <c r="N1810" s="3">
        <v>2454.2899999999991</v>
      </c>
      <c r="O1810" s="3">
        <v>2500</v>
      </c>
      <c r="P1810" s="3">
        <v>2454.2899999999991</v>
      </c>
      <c r="Q1810" s="3">
        <v>500</v>
      </c>
    </row>
    <row r="1811" spans="1:17" hidden="1" x14ac:dyDescent="0.3">
      <c r="A1811">
        <v>22</v>
      </c>
      <c r="B1811" t="str">
        <f>VLOOKUP($A1811,[1]LISTA!$B:$C,2,0)</f>
        <v>MAYO</v>
      </c>
      <c r="C1811" s="1">
        <v>2025</v>
      </c>
      <c r="D1811" s="1" t="str">
        <f>IF($A1811&lt;=[1]RESULTADOS!$D$6,"YTD","YTG")</f>
        <v>YTD</v>
      </c>
      <c r="E1811" t="s">
        <v>680</v>
      </c>
      <c r="F1811" t="s">
        <v>667</v>
      </c>
      <c r="G1811" t="s">
        <v>667</v>
      </c>
      <c r="H1811" t="s">
        <v>668</v>
      </c>
      <c r="I1811" t="s">
        <v>144</v>
      </c>
      <c r="J1811" t="str">
        <f>IFERROR(VLOOKUP(I1811,[1]AUTOS!$C:$G,2,0),"")</f>
        <v>VERSA</v>
      </c>
      <c r="K1811">
        <f>IFERROR(VLOOKUP(I1811,[1]AUTOS!$C:$G,3,0),"")</f>
        <v>2020</v>
      </c>
      <c r="L1811" t="str">
        <f>IFERROR(VLOOKUP(I1811,[1]AUTOS!$C:$G,4,0),"")</f>
        <v>ROJO</v>
      </c>
      <c r="M1811" t="s">
        <v>43</v>
      </c>
      <c r="N1811" s="3">
        <v>3469.4</v>
      </c>
      <c r="O1811" s="3">
        <v>0</v>
      </c>
      <c r="P1811" s="3">
        <v>0</v>
      </c>
      <c r="Q1811" s="3">
        <v>0</v>
      </c>
    </row>
    <row r="1812" spans="1:17" hidden="1" x14ac:dyDescent="0.3">
      <c r="A1812">
        <v>22</v>
      </c>
      <c r="B1812" t="str">
        <f>VLOOKUP($A1812,[1]LISTA!$B:$C,2,0)</f>
        <v>MAYO</v>
      </c>
      <c r="C1812" s="1">
        <v>2025</v>
      </c>
      <c r="D1812" s="1" t="str">
        <f>IF($A1812&lt;=[1]RESULTADOS!$D$6,"YTD","YTG")</f>
        <v>YTD</v>
      </c>
      <c r="E1812" t="s">
        <v>456</v>
      </c>
      <c r="F1812" t="s">
        <v>667</v>
      </c>
      <c r="G1812" t="s">
        <v>667</v>
      </c>
      <c r="H1812" t="s">
        <v>668</v>
      </c>
      <c r="I1812" t="s">
        <v>73</v>
      </c>
      <c r="J1812" t="str">
        <f>IFERROR(VLOOKUP(I1812,[1]AUTOS!$C:$G,2,0),"")</f>
        <v>VERSA</v>
      </c>
      <c r="K1812">
        <f>IFERROR(VLOOKUP(I1812,[1]AUTOS!$C:$G,3,0),"")</f>
        <v>2023</v>
      </c>
      <c r="L1812" t="str">
        <f>IFERROR(VLOOKUP(I1812,[1]AUTOS!$C:$G,4,0),"")</f>
        <v>PLATA</v>
      </c>
      <c r="M1812" t="s">
        <v>43</v>
      </c>
      <c r="N1812" s="3">
        <v>6192.2000000000044</v>
      </c>
      <c r="O1812" s="3">
        <v>2500</v>
      </c>
      <c r="P1812" s="3">
        <v>3280</v>
      </c>
      <c r="Q1812" s="3">
        <v>0</v>
      </c>
    </row>
    <row r="1813" spans="1:17" hidden="1" x14ac:dyDescent="0.3">
      <c r="A1813">
        <v>22</v>
      </c>
      <c r="B1813" t="str">
        <f>VLOOKUP($A1813,[1]LISTA!$B:$C,2,0)</f>
        <v>MAYO</v>
      </c>
      <c r="C1813" s="1">
        <v>2025</v>
      </c>
      <c r="D1813" s="1" t="str">
        <f>IF($A1813&lt;=[1]RESULTADOS!$D$6,"YTD","YTG")</f>
        <v>YTD</v>
      </c>
      <c r="E1813" t="s">
        <v>411</v>
      </c>
      <c r="F1813" t="s">
        <v>667</v>
      </c>
      <c r="G1813" t="s">
        <v>667</v>
      </c>
      <c r="H1813" t="s">
        <v>668</v>
      </c>
      <c r="I1813" t="s">
        <v>178</v>
      </c>
      <c r="J1813" t="str">
        <f>IFERROR(VLOOKUP(I1813,[1]AUTOS!$C:$G,2,0),"")</f>
        <v>VERSA</v>
      </c>
      <c r="K1813">
        <f>IFERROR(VLOOKUP(I1813,[1]AUTOS!$C:$G,3,0),"")</f>
        <v>2020</v>
      </c>
      <c r="L1813" t="str">
        <f>IFERROR(VLOOKUP(I1813,[1]AUTOS!$C:$G,4,0),"")</f>
        <v>BLANCO</v>
      </c>
      <c r="M1813" t="s">
        <v>43</v>
      </c>
      <c r="N1813" s="3">
        <v>5084.920000000001</v>
      </c>
      <c r="O1813" s="3">
        <v>2500</v>
      </c>
      <c r="P1813" s="3">
        <v>4000</v>
      </c>
      <c r="Q1813" s="3">
        <v>0</v>
      </c>
    </row>
    <row r="1814" spans="1:17" hidden="1" x14ac:dyDescent="0.3">
      <c r="A1814">
        <v>22</v>
      </c>
      <c r="B1814" t="str">
        <f>VLOOKUP($A1814,[1]LISTA!$B:$C,2,0)</f>
        <v>MAYO</v>
      </c>
      <c r="C1814" s="1">
        <v>2025</v>
      </c>
      <c r="D1814" s="1" t="str">
        <f>IF($A1814&lt;=[1]RESULTADOS!$D$6,"YTD","YTG")</f>
        <v>YTD</v>
      </c>
      <c r="E1814" t="s">
        <v>518</v>
      </c>
      <c r="F1814" t="s">
        <v>667</v>
      </c>
      <c r="G1814" t="s">
        <v>667</v>
      </c>
      <c r="H1814" t="s">
        <v>668</v>
      </c>
      <c r="I1814" t="s">
        <v>37</v>
      </c>
      <c r="J1814" t="str">
        <f>IFERROR(VLOOKUP(I1814,[1]AUTOS!$C:$G,2,0),"")</f>
        <v>BEAT</v>
      </c>
      <c r="K1814">
        <f>IFERROR(VLOOKUP(I1814,[1]AUTOS!$C:$G,3,0),"")</f>
        <v>2020</v>
      </c>
      <c r="L1814" t="str">
        <f>IFERROR(VLOOKUP(I1814,[1]AUTOS!$C:$G,4,0),"")</f>
        <v>GRIS</v>
      </c>
      <c r="M1814" t="s">
        <v>140</v>
      </c>
      <c r="N1814" s="3">
        <v>0</v>
      </c>
      <c r="O1814" s="3">
        <v>2500</v>
      </c>
      <c r="P1814" s="3">
        <v>2500</v>
      </c>
      <c r="Q1814" s="3">
        <v>0</v>
      </c>
    </row>
    <row r="1815" spans="1:17" hidden="1" x14ac:dyDescent="0.3">
      <c r="A1815">
        <v>22</v>
      </c>
      <c r="B1815" t="str">
        <f>VLOOKUP($A1815,[1]LISTA!$B:$C,2,0)</f>
        <v>MAYO</v>
      </c>
      <c r="C1815" s="1">
        <v>2025</v>
      </c>
      <c r="D1815" s="1" t="str">
        <f>IF($A1815&lt;=[1]RESULTADOS!$D$6,"YTD","YTG")</f>
        <v>YTD</v>
      </c>
      <c r="E1815" t="s">
        <v>526</v>
      </c>
      <c r="F1815" t="s">
        <v>667</v>
      </c>
      <c r="G1815" t="s">
        <v>667</v>
      </c>
      <c r="H1815" t="s">
        <v>668</v>
      </c>
      <c r="I1815" t="s">
        <v>67</v>
      </c>
      <c r="J1815" t="str">
        <f>IFERROR(VLOOKUP(I1815,[1]AUTOS!$C:$G,2,0),"")</f>
        <v>KIA RIO</v>
      </c>
      <c r="K1815">
        <f>IFERROR(VLOOKUP(I1815,[1]AUTOS!$C:$G,3,0),"")</f>
        <v>2020</v>
      </c>
      <c r="L1815" t="str">
        <f>IFERROR(VLOOKUP(I1815,[1]AUTOS!$C:$G,4,0),"")</f>
        <v>GRIS</v>
      </c>
      <c r="M1815" t="s">
        <v>43</v>
      </c>
      <c r="N1815" s="3">
        <v>5826.0899999999992</v>
      </c>
      <c r="O1815" s="3">
        <v>2500</v>
      </c>
      <c r="P1815" s="3">
        <v>2500</v>
      </c>
      <c r="Q1815" s="3">
        <v>0</v>
      </c>
    </row>
    <row r="1816" spans="1:17" hidden="1" x14ac:dyDescent="0.3">
      <c r="A1816">
        <v>22</v>
      </c>
      <c r="B1816" t="str">
        <f>VLOOKUP($A1816,[1]LISTA!$B:$C,2,0)</f>
        <v>MAYO</v>
      </c>
      <c r="C1816" s="1">
        <v>2025</v>
      </c>
      <c r="D1816" s="1" t="str">
        <f>IF($A1816&lt;=[1]RESULTADOS!$D$6,"YTD","YTG")</f>
        <v>YTD</v>
      </c>
      <c r="E1816" t="s">
        <v>694</v>
      </c>
      <c r="F1816" t="s">
        <v>667</v>
      </c>
      <c r="G1816" t="s">
        <v>667</v>
      </c>
      <c r="H1816" t="s">
        <v>668</v>
      </c>
      <c r="I1816" t="s">
        <v>42</v>
      </c>
      <c r="J1816" t="str">
        <f>IFERROR(VLOOKUP(I1816,[1]AUTOS!$C:$G,2,0),"")</f>
        <v>VENTO</v>
      </c>
      <c r="K1816">
        <f>IFERROR(VLOOKUP(I1816,[1]AUTOS!$C:$G,3,0),"")</f>
        <v>2018</v>
      </c>
      <c r="L1816" t="str">
        <f>IFERROR(VLOOKUP(I1816,[1]AUTOS!$C:$G,4,0),"")</f>
        <v>AMARILLO</v>
      </c>
      <c r="M1816" t="s">
        <v>43</v>
      </c>
      <c r="N1816" s="3">
        <v>2941.4199999999992</v>
      </c>
      <c r="O1816" s="3">
        <v>0</v>
      </c>
      <c r="P1816" s="3">
        <v>0</v>
      </c>
      <c r="Q1816" s="3">
        <v>0</v>
      </c>
    </row>
    <row r="1817" spans="1:17" hidden="1" x14ac:dyDescent="0.3">
      <c r="A1817">
        <v>22</v>
      </c>
      <c r="B1817" t="str">
        <f>VLOOKUP($A1817,[1]LISTA!$B:$C,2,0)</f>
        <v>MAYO</v>
      </c>
      <c r="C1817" s="1">
        <v>2025</v>
      </c>
      <c r="D1817" s="1" t="str">
        <f>IF($A1817&lt;=[1]RESULTADOS!$D$6,"YTD","YTG")</f>
        <v>YTD</v>
      </c>
      <c r="E1817" t="s">
        <v>674</v>
      </c>
      <c r="F1817" t="s">
        <v>667</v>
      </c>
      <c r="G1817" t="s">
        <v>667</v>
      </c>
      <c r="H1817" t="s">
        <v>668</v>
      </c>
      <c r="I1817" t="s">
        <v>46</v>
      </c>
      <c r="J1817" t="str">
        <f>IFERROR(VLOOKUP(I1817,[1]AUTOS!$C:$G,2,0),"")</f>
        <v>MARCH</v>
      </c>
      <c r="K1817">
        <f>IFERROR(VLOOKUP(I1817,[1]AUTOS!$C:$G,3,0),"")</f>
        <v>2020</v>
      </c>
      <c r="L1817" t="str">
        <f>IFERROR(VLOOKUP(I1817,[1]AUTOS!$C:$G,4,0),"")</f>
        <v>TURQ</v>
      </c>
      <c r="M1817" t="s">
        <v>43</v>
      </c>
      <c r="N1817" s="3">
        <v>1892.6299999999994</v>
      </c>
      <c r="O1817" s="3">
        <v>2500</v>
      </c>
      <c r="P1817" s="3">
        <v>1892.6299999999994</v>
      </c>
      <c r="Q1817" s="3">
        <v>0</v>
      </c>
    </row>
    <row r="1818" spans="1:17" hidden="1" x14ac:dyDescent="0.3">
      <c r="A1818">
        <v>22</v>
      </c>
      <c r="B1818" t="str">
        <f>VLOOKUP($A1818,[1]LISTA!$B:$C,2,0)</f>
        <v>MAYO</v>
      </c>
      <c r="C1818" s="1">
        <v>2025</v>
      </c>
      <c r="D1818" s="1" t="str">
        <f>IF($A1818&lt;=[1]RESULTADOS!$D$6,"YTD","YTG")</f>
        <v>YTD</v>
      </c>
      <c r="E1818" t="s">
        <v>681</v>
      </c>
      <c r="F1818" t="s">
        <v>667</v>
      </c>
      <c r="G1818" t="s">
        <v>667</v>
      </c>
      <c r="H1818" t="s">
        <v>668</v>
      </c>
      <c r="I1818" t="s">
        <v>102</v>
      </c>
      <c r="J1818" t="str">
        <f>IFERROR(VLOOKUP(I1818,[1]AUTOS!$C:$G,2,0),"")</f>
        <v>AVEO</v>
      </c>
      <c r="K1818">
        <f>IFERROR(VLOOKUP(I1818,[1]AUTOS!$C:$G,3,0),"")</f>
        <v>2022</v>
      </c>
      <c r="L1818" t="str">
        <f>IFERROR(VLOOKUP(I1818,[1]AUTOS!$C:$G,4,0),"")</f>
        <v>AZUL</v>
      </c>
      <c r="M1818" t="s">
        <v>43</v>
      </c>
      <c r="N1818" s="3">
        <v>4470.4999999999991</v>
      </c>
      <c r="O1818" s="3">
        <v>2500</v>
      </c>
      <c r="P1818" s="3">
        <v>2500</v>
      </c>
      <c r="Q1818" s="3">
        <v>0</v>
      </c>
    </row>
    <row r="1819" spans="1:17" hidden="1" x14ac:dyDescent="0.3">
      <c r="A1819">
        <v>22</v>
      </c>
      <c r="B1819" t="str">
        <f>VLOOKUP($A1819,[1]LISTA!$B:$C,2,0)</f>
        <v>MAYO</v>
      </c>
      <c r="C1819" s="1">
        <v>2025</v>
      </c>
      <c r="D1819" s="1" t="str">
        <f>IF($A1819&lt;=[1]RESULTADOS!$D$6,"YTD","YTG")</f>
        <v>YTD</v>
      </c>
      <c r="E1819" t="s">
        <v>675</v>
      </c>
      <c r="F1819" t="s">
        <v>667</v>
      </c>
      <c r="G1819" t="s">
        <v>667</v>
      </c>
      <c r="H1819" t="s">
        <v>668</v>
      </c>
      <c r="I1819" t="s">
        <v>40</v>
      </c>
      <c r="J1819" t="str">
        <f>IFERROR(VLOOKUP(I1819,[1]AUTOS!$C:$G,2,0),"")</f>
        <v>VERSA</v>
      </c>
      <c r="K1819">
        <f>IFERROR(VLOOKUP(I1819,[1]AUTOS!$C:$G,3,0),"")</f>
        <v>2017</v>
      </c>
      <c r="L1819" t="str">
        <f>IFERROR(VLOOKUP(I1819,[1]AUTOS!$C:$G,4,0),"")</f>
        <v>ACERO</v>
      </c>
      <c r="M1819" t="s">
        <v>140</v>
      </c>
      <c r="N1819" s="3">
        <v>1213.6299999999999</v>
      </c>
      <c r="O1819" s="3">
        <v>2500</v>
      </c>
      <c r="P1819" s="3">
        <v>1213.6299999999999</v>
      </c>
      <c r="Q1819" s="3">
        <v>0</v>
      </c>
    </row>
    <row r="1820" spans="1:17" hidden="1" x14ac:dyDescent="0.3">
      <c r="A1820">
        <v>22</v>
      </c>
      <c r="B1820" t="str">
        <f>VLOOKUP($A1820,[1]LISTA!$B:$C,2,0)</f>
        <v>MAYO</v>
      </c>
      <c r="C1820" s="1">
        <v>2025</v>
      </c>
      <c r="D1820" s="1" t="str">
        <f>IF($A1820&lt;=[1]RESULTADOS!$D$6,"YTD","YTG")</f>
        <v>YTD</v>
      </c>
      <c r="E1820" t="s">
        <v>695</v>
      </c>
      <c r="F1820" t="s">
        <v>667</v>
      </c>
      <c r="G1820" t="s">
        <v>667</v>
      </c>
      <c r="H1820" t="s">
        <v>668</v>
      </c>
      <c r="I1820" t="s">
        <v>34</v>
      </c>
      <c r="J1820" t="str">
        <f>IFERROR(VLOOKUP(I1820,[1]AUTOS!$C:$G,2,0),"")</f>
        <v>AVEO</v>
      </c>
      <c r="K1820">
        <f>IFERROR(VLOOKUP(I1820,[1]AUTOS!$C:$G,3,0),"")</f>
        <v>2018</v>
      </c>
      <c r="L1820" t="str">
        <f>IFERROR(VLOOKUP(I1820,[1]AUTOS!$C:$G,4,0),"")</f>
        <v>ROJO</v>
      </c>
      <c r="M1820" t="s">
        <v>140</v>
      </c>
      <c r="N1820" s="3">
        <v>1955.17</v>
      </c>
      <c r="O1820" s="3">
        <v>2142</v>
      </c>
      <c r="P1820" s="3">
        <v>2655.17</v>
      </c>
      <c r="Q1820" s="3">
        <v>500</v>
      </c>
    </row>
    <row r="1821" spans="1:17" hidden="1" x14ac:dyDescent="0.3">
      <c r="A1821">
        <v>22</v>
      </c>
      <c r="B1821" t="str">
        <f>VLOOKUP($A1821,[1]LISTA!$B:$C,2,0)</f>
        <v>MAYO</v>
      </c>
      <c r="C1821" s="1">
        <v>2025</v>
      </c>
      <c r="D1821" s="1" t="str">
        <f>IF($A1821&lt;=[1]RESULTADOS!$D$6,"YTD","YTG")</f>
        <v>YTD</v>
      </c>
      <c r="E1821" t="s">
        <v>688</v>
      </c>
      <c r="F1821" t="s">
        <v>667</v>
      </c>
      <c r="G1821" t="s">
        <v>667</v>
      </c>
      <c r="H1821" t="s">
        <v>668</v>
      </c>
      <c r="I1821" t="s">
        <v>76</v>
      </c>
      <c r="J1821" t="str">
        <f>IFERROR(VLOOKUP(I1821,[1]AUTOS!$C:$G,2,0),"")</f>
        <v>AVEO</v>
      </c>
      <c r="K1821">
        <f>IFERROR(VLOOKUP(I1821,[1]AUTOS!$C:$G,3,0),"")</f>
        <v>2018</v>
      </c>
      <c r="L1821" t="str">
        <f>IFERROR(VLOOKUP(I1821,[1]AUTOS!$C:$G,4,0),"")</f>
        <v>GRIS</v>
      </c>
      <c r="M1821" t="s">
        <v>43</v>
      </c>
      <c r="N1821" s="3">
        <v>-200.23</v>
      </c>
      <c r="O1821" s="3">
        <v>2500</v>
      </c>
      <c r="P1821" s="3">
        <v>2299.77</v>
      </c>
      <c r="Q1821" s="3">
        <v>0</v>
      </c>
    </row>
    <row r="1822" spans="1:17" hidden="1" x14ac:dyDescent="0.3">
      <c r="A1822">
        <v>22</v>
      </c>
      <c r="B1822" t="str">
        <f>VLOOKUP($A1822,[1]LISTA!$B:$C,2,0)</f>
        <v>MAYO</v>
      </c>
      <c r="C1822" s="1">
        <v>2025</v>
      </c>
      <c r="D1822" s="1" t="str">
        <f>IF($A1822&lt;=[1]RESULTADOS!$D$6,"YTD","YTG")</f>
        <v>YTD</v>
      </c>
      <c r="E1822" t="s">
        <v>692</v>
      </c>
      <c r="F1822" t="s">
        <v>667</v>
      </c>
      <c r="G1822" t="s">
        <v>667</v>
      </c>
      <c r="H1822" t="s">
        <v>668</v>
      </c>
      <c r="I1822" t="s">
        <v>82</v>
      </c>
      <c r="J1822" t="str">
        <f>IFERROR(VLOOKUP(I1822,[1]AUTOS!$C:$G,2,0),"")</f>
        <v>AVEO</v>
      </c>
      <c r="K1822">
        <f>IFERROR(VLOOKUP(I1822,[1]AUTOS!$C:$G,3,0),"")</f>
        <v>2019</v>
      </c>
      <c r="L1822" t="str">
        <f>IFERROR(VLOOKUP(I1822,[1]AUTOS!$C:$G,4,0),"")</f>
        <v>PLATA</v>
      </c>
      <c r="M1822" t="s">
        <v>43</v>
      </c>
      <c r="N1822" s="3">
        <v>2979.7500000000009</v>
      </c>
      <c r="O1822" s="3">
        <v>2500</v>
      </c>
      <c r="P1822" s="3">
        <v>3613.7500000000009</v>
      </c>
      <c r="Q1822" s="3">
        <v>500</v>
      </c>
    </row>
    <row r="1823" spans="1:17" hidden="1" x14ac:dyDescent="0.3">
      <c r="A1823">
        <v>22</v>
      </c>
      <c r="B1823" t="str">
        <f>VLOOKUP($A1823,[1]LISTA!$B:$C,2,0)</f>
        <v>MAYO</v>
      </c>
      <c r="C1823" s="1">
        <v>2025</v>
      </c>
      <c r="D1823" s="1" t="str">
        <f>IF($A1823&lt;=[1]RESULTADOS!$D$6,"YTD","YTG")</f>
        <v>YTD</v>
      </c>
      <c r="E1823" t="s">
        <v>403</v>
      </c>
      <c r="F1823" t="s">
        <v>667</v>
      </c>
      <c r="G1823" t="s">
        <v>667</v>
      </c>
      <c r="H1823" t="s">
        <v>668</v>
      </c>
      <c r="I1823" t="s">
        <v>51</v>
      </c>
      <c r="J1823" t="str">
        <f>IFERROR(VLOOKUP(I1823,[1]AUTOS!$C:$G,2,0),"")</f>
        <v>VENTO</v>
      </c>
      <c r="K1823">
        <f>IFERROR(VLOOKUP(I1823,[1]AUTOS!$C:$G,3,0),"")</f>
        <v>2017</v>
      </c>
      <c r="L1823" t="str">
        <f>IFERROR(VLOOKUP(I1823,[1]AUTOS!$C:$G,4,0),"")</f>
        <v>GRIS</v>
      </c>
      <c r="M1823" t="s">
        <v>43</v>
      </c>
      <c r="N1823" s="3">
        <v>3747.9000000000005</v>
      </c>
      <c r="O1823" s="3">
        <v>2500</v>
      </c>
      <c r="P1823" s="3">
        <v>2500</v>
      </c>
      <c r="Q1823" s="3">
        <v>0</v>
      </c>
    </row>
    <row r="1824" spans="1:17" hidden="1" x14ac:dyDescent="0.3">
      <c r="A1824">
        <v>22</v>
      </c>
      <c r="B1824" t="str">
        <f>VLOOKUP($A1824,[1]LISTA!$B:$C,2,0)</f>
        <v>MAYO</v>
      </c>
      <c r="C1824" s="1">
        <v>2025</v>
      </c>
      <c r="D1824" s="1" t="str">
        <f>IF($A1824&lt;=[1]RESULTADOS!$D$6,"YTD","YTG")</f>
        <v>YTD</v>
      </c>
      <c r="E1824" t="s">
        <v>470</v>
      </c>
      <c r="F1824" t="s">
        <v>667</v>
      </c>
      <c r="G1824" t="s">
        <v>667</v>
      </c>
      <c r="H1824" t="s">
        <v>668</v>
      </c>
      <c r="I1824" t="s">
        <v>59</v>
      </c>
      <c r="J1824" t="str">
        <f>IFERROR(VLOOKUP(I1824,[1]AUTOS!$C:$G,2,0),"")</f>
        <v>AVEO</v>
      </c>
      <c r="K1824">
        <f>IFERROR(VLOOKUP(I1824,[1]AUTOS!$C:$G,3,0),"")</f>
        <v>2019</v>
      </c>
      <c r="L1824" t="str">
        <f>IFERROR(VLOOKUP(I1824,[1]AUTOS!$C:$G,4,0),"")</f>
        <v>BLANCO</v>
      </c>
      <c r="M1824" t="s">
        <v>43</v>
      </c>
      <c r="N1824" s="3">
        <v>5060.550000000002</v>
      </c>
      <c r="O1824" s="3">
        <v>0</v>
      </c>
      <c r="P1824" s="3">
        <v>0</v>
      </c>
      <c r="Q1824" s="3">
        <v>0</v>
      </c>
    </row>
    <row r="1825" spans="1:17" hidden="1" x14ac:dyDescent="0.3">
      <c r="A1825">
        <v>22</v>
      </c>
      <c r="B1825" t="str">
        <f>VLOOKUP($A1825,[1]LISTA!$B:$C,2,0)</f>
        <v>MAYO</v>
      </c>
      <c r="C1825" s="1">
        <v>2025</v>
      </c>
      <c r="D1825" s="1" t="str">
        <f>IF($A1825&lt;=[1]RESULTADOS!$D$6,"YTD","YTG")</f>
        <v>YTD</v>
      </c>
      <c r="E1825" t="s">
        <v>689</v>
      </c>
      <c r="F1825" t="s">
        <v>667</v>
      </c>
      <c r="G1825" t="s">
        <v>667</v>
      </c>
      <c r="H1825" t="s">
        <v>668</v>
      </c>
      <c r="I1825" t="s">
        <v>185</v>
      </c>
      <c r="J1825" t="str">
        <f>IFERROR(VLOOKUP(I1825,[1]AUTOS!$C:$G,2,0),"")</f>
        <v>MARCH</v>
      </c>
      <c r="K1825">
        <f>IFERROR(VLOOKUP(I1825,[1]AUTOS!$C:$G,3,0),"")</f>
        <v>2021</v>
      </c>
      <c r="L1825" t="str">
        <f>IFERROR(VLOOKUP(I1825,[1]AUTOS!$C:$G,4,0),"")</f>
        <v>ROJO</v>
      </c>
      <c r="M1825" t="s">
        <v>43</v>
      </c>
      <c r="N1825" s="3">
        <v>0</v>
      </c>
      <c r="O1825" s="3">
        <v>2500</v>
      </c>
      <c r="P1825" s="3">
        <v>2500</v>
      </c>
      <c r="Q1825" s="3">
        <v>0</v>
      </c>
    </row>
    <row r="1826" spans="1:17" hidden="1" x14ac:dyDescent="0.3">
      <c r="A1826">
        <v>23</v>
      </c>
      <c r="B1826" t="str">
        <f>VLOOKUP($A1826,[1]LISTA!$B:$C,2,0)</f>
        <v>JUNIO</v>
      </c>
      <c r="C1826" s="1">
        <v>2025</v>
      </c>
      <c r="D1826" s="1" t="str">
        <f>IF($A1826&lt;=[1]RESULTADOS!$D$6,"YTD","YTG")</f>
        <v>YTD</v>
      </c>
      <c r="E1826" t="s">
        <v>492</v>
      </c>
      <c r="F1826" t="s">
        <v>667</v>
      </c>
      <c r="G1826" t="s">
        <v>667</v>
      </c>
      <c r="H1826" t="s">
        <v>668</v>
      </c>
      <c r="I1826" t="s">
        <v>116</v>
      </c>
      <c r="J1826" t="str">
        <f>IFERROR(VLOOKUP(I1826,[1]AUTOS!$C:$G,2,0),"")</f>
        <v>AVEO</v>
      </c>
      <c r="K1826">
        <f>IFERROR(VLOOKUP(I1826,[1]AUTOS!$C:$G,3,0),"")</f>
        <v>2022</v>
      </c>
      <c r="L1826" t="str">
        <f>IFERROR(VLOOKUP(I1826,[1]AUTOS!$C:$G,4,0),"")</f>
        <v>AZUL</v>
      </c>
      <c r="M1826" t="s">
        <v>43</v>
      </c>
      <c r="N1826" s="3">
        <v>-35</v>
      </c>
      <c r="O1826" s="3">
        <v>2500</v>
      </c>
      <c r="P1826" s="3">
        <v>3000</v>
      </c>
      <c r="Q1826" s="3">
        <v>0</v>
      </c>
    </row>
    <row r="1827" spans="1:17" hidden="1" x14ac:dyDescent="0.3">
      <c r="A1827">
        <v>23</v>
      </c>
      <c r="B1827" t="str">
        <f>VLOOKUP($A1827,[1]LISTA!$B:$C,2,0)</f>
        <v>JUNIO</v>
      </c>
      <c r="C1827" s="1">
        <v>2025</v>
      </c>
      <c r="D1827" s="1" t="str">
        <f>IF($A1827&lt;=[1]RESULTADOS!$D$6,"YTD","YTG")</f>
        <v>YTD</v>
      </c>
      <c r="E1827" t="s">
        <v>693</v>
      </c>
      <c r="F1827" t="s">
        <v>667</v>
      </c>
      <c r="G1827" t="s">
        <v>667</v>
      </c>
      <c r="H1827" t="s">
        <v>668</v>
      </c>
      <c r="I1827" t="s">
        <v>162</v>
      </c>
      <c r="J1827" t="str">
        <f>IFERROR(VLOOKUP(I1827,[1]AUTOS!$C:$G,2,0),"")</f>
        <v>HYUNDAI</v>
      </c>
      <c r="K1827">
        <f>IFERROR(VLOOKUP(I1827,[1]AUTOS!$C:$G,3,0),"")</f>
        <v>2022</v>
      </c>
      <c r="L1827" t="str">
        <f>IFERROR(VLOOKUP(I1827,[1]AUTOS!$C:$G,4,0),"")</f>
        <v>PLATA</v>
      </c>
      <c r="M1827" t="s">
        <v>43</v>
      </c>
      <c r="N1827" s="3">
        <v>1639.97</v>
      </c>
      <c r="O1827" s="3">
        <v>2500</v>
      </c>
      <c r="P1827" s="3">
        <v>2699.9700000000003</v>
      </c>
      <c r="Q1827" s="3">
        <v>500</v>
      </c>
    </row>
    <row r="1828" spans="1:17" hidden="1" x14ac:dyDescent="0.3">
      <c r="A1828">
        <v>23</v>
      </c>
      <c r="B1828" t="str">
        <f>VLOOKUP($A1828,[1]LISTA!$B:$C,2,0)</f>
        <v>JUNIO</v>
      </c>
      <c r="C1828" s="1">
        <v>2025</v>
      </c>
      <c r="D1828" s="1" t="str">
        <f>IF($A1828&lt;=[1]RESULTADOS!$D$6,"YTD","YTG")</f>
        <v>YTD</v>
      </c>
      <c r="E1828" t="s">
        <v>691</v>
      </c>
      <c r="F1828" t="s">
        <v>667</v>
      </c>
      <c r="G1828" t="s">
        <v>667</v>
      </c>
      <c r="H1828" t="s">
        <v>668</v>
      </c>
      <c r="I1828" t="s">
        <v>182</v>
      </c>
      <c r="J1828" t="str">
        <f>IFERROR(VLOOKUP(I1828,[1]AUTOS!$C:$G,2,0),"")</f>
        <v>AVEO</v>
      </c>
      <c r="K1828">
        <f>IFERROR(VLOOKUP(I1828,[1]AUTOS!$C:$G,3,0),"")</f>
        <v>2020</v>
      </c>
      <c r="L1828" t="str">
        <f>IFERROR(VLOOKUP(I1828,[1]AUTOS!$C:$G,4,0),"")</f>
        <v>AZUL</v>
      </c>
      <c r="M1828" t="s">
        <v>43</v>
      </c>
      <c r="N1828" s="3">
        <v>2252.64</v>
      </c>
      <c r="O1828" s="3">
        <v>1250</v>
      </c>
      <c r="P1828" s="3">
        <v>1750</v>
      </c>
      <c r="Q1828" s="3">
        <v>500</v>
      </c>
    </row>
    <row r="1829" spans="1:17" hidden="1" x14ac:dyDescent="0.3">
      <c r="A1829">
        <v>23</v>
      </c>
      <c r="B1829" t="str">
        <f>VLOOKUP($A1829,[1]LISTA!$B:$C,2,0)</f>
        <v>JUNIO</v>
      </c>
      <c r="C1829" s="1">
        <v>2025</v>
      </c>
      <c r="D1829" s="1" t="str">
        <f>IF($A1829&lt;=[1]RESULTADOS!$D$6,"YTD","YTG")</f>
        <v>YTD</v>
      </c>
      <c r="E1829" t="s">
        <v>691</v>
      </c>
      <c r="F1829" t="s">
        <v>667</v>
      </c>
      <c r="G1829" t="s">
        <v>667</v>
      </c>
      <c r="H1829" t="s">
        <v>668</v>
      </c>
      <c r="I1829" t="s">
        <v>139</v>
      </c>
      <c r="J1829" t="str">
        <f>IFERROR(VLOOKUP(I1829,[1]AUTOS!$C:$G,2,0),"")</f>
        <v>SWIFT</v>
      </c>
      <c r="K1829">
        <f>IFERROR(VLOOKUP(I1829,[1]AUTOS!$C:$G,3,0),"")</f>
        <v>2017</v>
      </c>
      <c r="L1829" t="str">
        <f>IFERROR(VLOOKUP(I1829,[1]AUTOS!$C:$G,4,0),"")</f>
        <v>ROJO</v>
      </c>
      <c r="M1829" t="s">
        <v>140</v>
      </c>
      <c r="N1829" s="3">
        <v>2515.52</v>
      </c>
      <c r="O1829" s="3">
        <v>1250</v>
      </c>
      <c r="P1829" s="3">
        <v>1250</v>
      </c>
      <c r="Q1829" s="3">
        <v>0</v>
      </c>
    </row>
    <row r="1830" spans="1:17" hidden="1" x14ac:dyDescent="0.3">
      <c r="A1830">
        <v>23</v>
      </c>
      <c r="B1830" t="str">
        <f>VLOOKUP($A1830,[1]LISTA!$B:$C,2,0)</f>
        <v>JUNIO</v>
      </c>
      <c r="C1830" s="1">
        <v>2025</v>
      </c>
      <c r="D1830" s="1" t="str">
        <f>IF($A1830&lt;=[1]RESULTADOS!$D$6,"YTD","YTG")</f>
        <v>YTD</v>
      </c>
      <c r="E1830" t="s">
        <v>478</v>
      </c>
      <c r="F1830" t="s">
        <v>667</v>
      </c>
      <c r="G1830" t="s">
        <v>667</v>
      </c>
      <c r="H1830" t="s">
        <v>668</v>
      </c>
      <c r="I1830" t="s">
        <v>79</v>
      </c>
      <c r="J1830" t="str">
        <f>IFERROR(VLOOKUP(I1830,[1]AUTOS!$C:$G,2,0),"")</f>
        <v>AVEO</v>
      </c>
      <c r="K1830">
        <f>IFERROR(VLOOKUP(I1830,[1]AUTOS!$C:$G,3,0),"")</f>
        <v>2021</v>
      </c>
      <c r="L1830" t="str">
        <f>IFERROR(VLOOKUP(I1830,[1]AUTOS!$C:$G,4,0),"")</f>
        <v>OCRE</v>
      </c>
      <c r="M1830" t="s">
        <v>43</v>
      </c>
      <c r="N1830" s="3">
        <v>1458.2999999999997</v>
      </c>
      <c r="O1830" s="3">
        <v>2500</v>
      </c>
      <c r="P1830" s="3">
        <v>3000.2999999999997</v>
      </c>
      <c r="Q1830" s="3">
        <v>500</v>
      </c>
    </row>
    <row r="1831" spans="1:17" hidden="1" x14ac:dyDescent="0.3">
      <c r="A1831">
        <v>23</v>
      </c>
      <c r="B1831" t="str">
        <f>VLOOKUP($A1831,[1]LISTA!$B:$C,2,0)</f>
        <v>JUNIO</v>
      </c>
      <c r="C1831" s="1">
        <v>2025</v>
      </c>
      <c r="D1831" s="1" t="str">
        <f>IF($A1831&lt;=[1]RESULTADOS!$D$6,"YTD","YTG")</f>
        <v>YTD</v>
      </c>
      <c r="E1831" t="s">
        <v>690</v>
      </c>
      <c r="F1831" t="s">
        <v>667</v>
      </c>
      <c r="G1831" t="s">
        <v>667</v>
      </c>
      <c r="H1831" t="s">
        <v>668</v>
      </c>
      <c r="I1831" t="s">
        <v>61</v>
      </c>
      <c r="J1831" t="str">
        <f>IFERROR(VLOOKUP(I1831,[1]AUTOS!$C:$G,2,0),"")</f>
        <v>KIA RIO</v>
      </c>
      <c r="K1831">
        <f>IFERROR(VLOOKUP(I1831,[1]AUTOS!$C:$G,3,0),"")</f>
        <v>2017</v>
      </c>
      <c r="L1831" t="str">
        <f>IFERROR(VLOOKUP(I1831,[1]AUTOS!$C:$G,4,0),"")</f>
        <v>ROJO</v>
      </c>
      <c r="M1831" t="s">
        <v>140</v>
      </c>
      <c r="N1831" s="3">
        <v>2866.2599999999989</v>
      </c>
      <c r="O1831" s="3">
        <v>2500</v>
      </c>
      <c r="P1831" s="3">
        <v>2866.2599999999989</v>
      </c>
      <c r="Q1831" s="3">
        <v>500</v>
      </c>
    </row>
    <row r="1832" spans="1:17" x14ac:dyDescent="0.3">
      <c r="A1832">
        <v>23</v>
      </c>
      <c r="B1832" t="str">
        <f>VLOOKUP($A1832,[1]LISTA!$B:$C,2,0)</f>
        <v>JUNIO</v>
      </c>
      <c r="C1832" s="1">
        <v>2025</v>
      </c>
      <c r="D1832" s="1" t="str">
        <f>IF($A1832&lt;=[1]RESULTADOS!$D$6,"YTD","YTG")</f>
        <v>YTD</v>
      </c>
      <c r="E1832" t="s">
        <v>436</v>
      </c>
      <c r="F1832" t="s">
        <v>667</v>
      </c>
      <c r="G1832" t="s">
        <v>667</v>
      </c>
      <c r="H1832" t="s">
        <v>668</v>
      </c>
      <c r="I1832" t="s">
        <v>72</v>
      </c>
      <c r="J1832" t="str">
        <f>IFERROR(VLOOKUP(I1832,[1]AUTOS!$C:$G,2,0),"")</f>
        <v>VENTO</v>
      </c>
      <c r="K1832">
        <f>IFERROR(VLOOKUP(I1832,[1]AUTOS!$C:$G,3,0),"")</f>
        <v>2020</v>
      </c>
      <c r="L1832" t="str">
        <f>IFERROR(VLOOKUP(I1832,[1]AUTOS!$C:$G,4,0),"")</f>
        <v>GRIS</v>
      </c>
      <c r="M1832" t="s">
        <v>43</v>
      </c>
      <c r="N1832" s="3">
        <v>1369.53</v>
      </c>
      <c r="O1832" s="3">
        <v>2500</v>
      </c>
      <c r="P1832" s="3">
        <v>2769.5299999999997</v>
      </c>
      <c r="Q1832" s="3">
        <v>500</v>
      </c>
    </row>
    <row r="1833" spans="1:17" hidden="1" x14ac:dyDescent="0.3">
      <c r="A1833">
        <v>23</v>
      </c>
      <c r="B1833" t="str">
        <f>VLOOKUP($A1833,[1]LISTA!$B:$C,2,0)</f>
        <v>JUNIO</v>
      </c>
      <c r="C1833" s="1">
        <v>2025</v>
      </c>
      <c r="D1833" s="1" t="str">
        <f>IF($A1833&lt;=[1]RESULTADOS!$D$6,"YTD","YTG")</f>
        <v>YTD</v>
      </c>
      <c r="E1833" t="s">
        <v>680</v>
      </c>
      <c r="F1833" t="s">
        <v>667</v>
      </c>
      <c r="G1833" t="s">
        <v>667</v>
      </c>
      <c r="H1833" t="s">
        <v>668</v>
      </c>
      <c r="I1833" t="s">
        <v>144</v>
      </c>
      <c r="J1833" t="str">
        <f>IFERROR(VLOOKUP(I1833,[1]AUTOS!$C:$G,2,0),"")</f>
        <v>VERSA</v>
      </c>
      <c r="K1833">
        <f>IFERROR(VLOOKUP(I1833,[1]AUTOS!$C:$G,3,0),"")</f>
        <v>2020</v>
      </c>
      <c r="L1833" t="str">
        <f>IFERROR(VLOOKUP(I1833,[1]AUTOS!$C:$G,4,0),"")</f>
        <v>ROJO</v>
      </c>
      <c r="M1833" t="s">
        <v>43</v>
      </c>
      <c r="N1833" s="3">
        <v>3032.5699999999997</v>
      </c>
      <c r="O1833" s="3">
        <v>0</v>
      </c>
      <c r="P1833" s="3">
        <v>0</v>
      </c>
      <c r="Q1833" s="3">
        <v>0</v>
      </c>
    </row>
    <row r="1834" spans="1:17" hidden="1" x14ac:dyDescent="0.3">
      <c r="A1834">
        <v>23</v>
      </c>
      <c r="B1834" t="str">
        <f>VLOOKUP($A1834,[1]LISTA!$B:$C,2,0)</f>
        <v>JUNIO</v>
      </c>
      <c r="C1834" s="1">
        <v>2025</v>
      </c>
      <c r="D1834" s="1" t="str">
        <f>IF($A1834&lt;=[1]RESULTADOS!$D$6,"YTD","YTG")</f>
        <v>YTD</v>
      </c>
      <c r="E1834" t="s">
        <v>456</v>
      </c>
      <c r="F1834" t="s">
        <v>667</v>
      </c>
      <c r="G1834" t="s">
        <v>667</v>
      </c>
      <c r="H1834" t="s">
        <v>668</v>
      </c>
      <c r="I1834" t="s">
        <v>73</v>
      </c>
      <c r="J1834" t="str">
        <f>IFERROR(VLOOKUP(I1834,[1]AUTOS!$C:$G,2,0),"")</f>
        <v>VERSA</v>
      </c>
      <c r="K1834">
        <f>IFERROR(VLOOKUP(I1834,[1]AUTOS!$C:$G,3,0),"")</f>
        <v>2023</v>
      </c>
      <c r="L1834" t="str">
        <f>IFERROR(VLOOKUP(I1834,[1]AUTOS!$C:$G,4,0),"")</f>
        <v>PLATA</v>
      </c>
      <c r="M1834" t="s">
        <v>43</v>
      </c>
      <c r="N1834" s="3">
        <v>5881.02</v>
      </c>
      <c r="O1834" s="3">
        <v>2142</v>
      </c>
      <c r="P1834" s="3">
        <v>4022</v>
      </c>
      <c r="Q1834" s="3">
        <v>0</v>
      </c>
    </row>
    <row r="1835" spans="1:17" hidden="1" x14ac:dyDescent="0.3">
      <c r="A1835">
        <v>23</v>
      </c>
      <c r="B1835" t="str">
        <f>VLOOKUP($A1835,[1]LISTA!$B:$C,2,0)</f>
        <v>JUNIO</v>
      </c>
      <c r="C1835" s="1">
        <v>2025</v>
      </c>
      <c r="D1835" s="1" t="str">
        <f>IF($A1835&lt;=[1]RESULTADOS!$D$6,"YTD","YTG")</f>
        <v>YTD</v>
      </c>
      <c r="E1835" t="s">
        <v>456</v>
      </c>
      <c r="F1835" t="s">
        <v>667</v>
      </c>
      <c r="G1835" t="s">
        <v>667</v>
      </c>
      <c r="H1835" t="s">
        <v>668</v>
      </c>
      <c r="I1835" t="s">
        <v>146</v>
      </c>
      <c r="J1835" t="str">
        <f>IFERROR(VLOOKUP(I1835,[1]AUTOS!$C:$G,2,0),"")</f>
        <v>KIA RIO</v>
      </c>
      <c r="K1835">
        <f>IFERROR(VLOOKUP(I1835,[1]AUTOS!$C:$G,3,0),"")</f>
        <v>2023</v>
      </c>
      <c r="L1835" t="str">
        <f>IFERROR(VLOOKUP(I1835,[1]AUTOS!$C:$G,4,0),"")</f>
        <v>ROJO</v>
      </c>
      <c r="M1835" t="s">
        <v>140</v>
      </c>
      <c r="N1835" s="3">
        <v>1341.7500000000002</v>
      </c>
      <c r="O1835" s="3">
        <v>358</v>
      </c>
      <c r="P1835" s="3">
        <v>358</v>
      </c>
      <c r="Q1835" s="3">
        <v>0</v>
      </c>
    </row>
    <row r="1836" spans="1:17" hidden="1" x14ac:dyDescent="0.3">
      <c r="A1836">
        <v>23</v>
      </c>
      <c r="B1836" t="str">
        <f>VLOOKUP($A1836,[1]LISTA!$B:$C,2,0)</f>
        <v>JUNIO</v>
      </c>
      <c r="C1836" s="1">
        <v>2025</v>
      </c>
      <c r="D1836" s="1" t="str">
        <f>IF($A1836&lt;=[1]RESULTADOS!$D$6,"YTD","YTG")</f>
        <v>YTD</v>
      </c>
      <c r="E1836" t="s">
        <v>411</v>
      </c>
      <c r="F1836" t="s">
        <v>667</v>
      </c>
      <c r="G1836" t="s">
        <v>667</v>
      </c>
      <c r="H1836" t="s">
        <v>668</v>
      </c>
      <c r="I1836" t="s">
        <v>178</v>
      </c>
      <c r="J1836" t="str">
        <f>IFERROR(VLOOKUP(I1836,[1]AUTOS!$C:$G,2,0),"")</f>
        <v>VERSA</v>
      </c>
      <c r="K1836">
        <f>IFERROR(VLOOKUP(I1836,[1]AUTOS!$C:$G,3,0),"")</f>
        <v>2020</v>
      </c>
      <c r="L1836" t="str">
        <f>IFERROR(VLOOKUP(I1836,[1]AUTOS!$C:$G,4,0),"")</f>
        <v>BLANCO</v>
      </c>
      <c r="M1836" t="s">
        <v>43</v>
      </c>
      <c r="N1836" s="3">
        <v>4438.5599999999986</v>
      </c>
      <c r="O1836" s="3">
        <v>2500</v>
      </c>
      <c r="P1836" s="3">
        <v>2500</v>
      </c>
      <c r="Q1836" s="3">
        <v>0</v>
      </c>
    </row>
    <row r="1837" spans="1:17" hidden="1" x14ac:dyDescent="0.3">
      <c r="A1837">
        <v>23</v>
      </c>
      <c r="B1837" t="str">
        <f>VLOOKUP($A1837,[1]LISTA!$B:$C,2,0)</f>
        <v>JUNIO</v>
      </c>
      <c r="C1837" s="1">
        <v>2025</v>
      </c>
      <c r="D1837" s="1" t="str">
        <f>IF($A1837&lt;=[1]RESULTADOS!$D$6,"YTD","YTG")</f>
        <v>YTD</v>
      </c>
      <c r="E1837" t="s">
        <v>518</v>
      </c>
      <c r="F1837" t="s">
        <v>667</v>
      </c>
      <c r="G1837" t="s">
        <v>667</v>
      </c>
      <c r="H1837" t="s">
        <v>668</v>
      </c>
      <c r="I1837" t="s">
        <v>37</v>
      </c>
      <c r="J1837" t="str">
        <f>IFERROR(VLOOKUP(I1837,[1]AUTOS!$C:$G,2,0),"")</f>
        <v>BEAT</v>
      </c>
      <c r="K1837">
        <f>IFERROR(VLOOKUP(I1837,[1]AUTOS!$C:$G,3,0),"")</f>
        <v>2020</v>
      </c>
      <c r="L1837" t="str">
        <f>IFERROR(VLOOKUP(I1837,[1]AUTOS!$C:$G,4,0),"")</f>
        <v>GRIS</v>
      </c>
      <c r="M1837" t="s">
        <v>140</v>
      </c>
      <c r="N1837" s="3">
        <v>0</v>
      </c>
      <c r="O1837" s="3">
        <v>2500</v>
      </c>
      <c r="P1837" s="3">
        <v>2500</v>
      </c>
      <c r="Q1837" s="3">
        <v>0</v>
      </c>
    </row>
    <row r="1838" spans="1:17" hidden="1" x14ac:dyDescent="0.3">
      <c r="A1838">
        <v>23</v>
      </c>
      <c r="B1838" t="str">
        <f>VLOOKUP($A1838,[1]LISTA!$B:$C,2,0)</f>
        <v>JUNIO</v>
      </c>
      <c r="C1838" s="1">
        <v>2025</v>
      </c>
      <c r="D1838" s="1" t="str">
        <f>IF($A1838&lt;=[1]RESULTADOS!$D$6,"YTD","YTG")</f>
        <v>YTD</v>
      </c>
      <c r="E1838" t="s">
        <v>526</v>
      </c>
      <c r="F1838" t="s">
        <v>667</v>
      </c>
      <c r="G1838" t="s">
        <v>667</v>
      </c>
      <c r="H1838" t="s">
        <v>668</v>
      </c>
      <c r="I1838" t="s">
        <v>67</v>
      </c>
      <c r="J1838" t="str">
        <f>IFERROR(VLOOKUP(I1838,[1]AUTOS!$C:$G,2,0),"")</f>
        <v>KIA RIO</v>
      </c>
      <c r="K1838">
        <f>IFERROR(VLOOKUP(I1838,[1]AUTOS!$C:$G,3,0),"")</f>
        <v>2020</v>
      </c>
      <c r="L1838" t="str">
        <f>IFERROR(VLOOKUP(I1838,[1]AUTOS!$C:$G,4,0),"")</f>
        <v>GRIS</v>
      </c>
      <c r="M1838" t="s">
        <v>43</v>
      </c>
      <c r="N1838" s="3">
        <v>5387.7800000000007</v>
      </c>
      <c r="O1838" s="3">
        <v>2500</v>
      </c>
      <c r="P1838" s="3">
        <v>2500</v>
      </c>
      <c r="Q1838" s="3">
        <v>0</v>
      </c>
    </row>
    <row r="1839" spans="1:17" hidden="1" x14ac:dyDescent="0.3">
      <c r="A1839">
        <v>23</v>
      </c>
      <c r="B1839" t="str">
        <f>VLOOKUP($A1839,[1]LISTA!$B:$C,2,0)</f>
        <v>JUNIO</v>
      </c>
      <c r="C1839" s="1">
        <v>2025</v>
      </c>
      <c r="D1839" s="1" t="str">
        <f>IF($A1839&lt;=[1]RESULTADOS!$D$6,"YTD","YTG")</f>
        <v>YTD</v>
      </c>
      <c r="E1839" t="s">
        <v>694</v>
      </c>
      <c r="F1839" t="s">
        <v>667</v>
      </c>
      <c r="G1839" t="s">
        <v>667</v>
      </c>
      <c r="H1839" t="s">
        <v>668</v>
      </c>
      <c r="I1839" t="s">
        <v>42</v>
      </c>
      <c r="J1839" t="str">
        <f>IFERROR(VLOOKUP(I1839,[1]AUTOS!$C:$G,2,0),"")</f>
        <v>VENTO</v>
      </c>
      <c r="K1839">
        <f>IFERROR(VLOOKUP(I1839,[1]AUTOS!$C:$G,3,0),"")</f>
        <v>2018</v>
      </c>
      <c r="L1839" t="str">
        <f>IFERROR(VLOOKUP(I1839,[1]AUTOS!$C:$G,4,0),"")</f>
        <v>AMARILLO</v>
      </c>
      <c r="M1839" t="s">
        <v>43</v>
      </c>
      <c r="N1839" s="3">
        <v>1109.6000000000001</v>
      </c>
      <c r="O1839" s="3">
        <v>1785</v>
      </c>
      <c r="P1839" s="3">
        <v>5924.6</v>
      </c>
      <c r="Q1839" s="3">
        <v>0</v>
      </c>
    </row>
    <row r="1840" spans="1:17" hidden="1" x14ac:dyDescent="0.3">
      <c r="A1840">
        <v>23</v>
      </c>
      <c r="B1840" t="str">
        <f>VLOOKUP($A1840,[1]LISTA!$B:$C,2,0)</f>
        <v>JUNIO</v>
      </c>
      <c r="C1840" s="1">
        <v>2025</v>
      </c>
      <c r="D1840" s="1" t="str">
        <f>IF($A1840&lt;=[1]RESULTADOS!$D$6,"YTD","YTG")</f>
        <v>YTD</v>
      </c>
      <c r="E1840" t="s">
        <v>694</v>
      </c>
      <c r="F1840" t="s">
        <v>667</v>
      </c>
      <c r="G1840" t="s">
        <v>667</v>
      </c>
      <c r="H1840" t="s">
        <v>668</v>
      </c>
      <c r="I1840" t="s">
        <v>139</v>
      </c>
      <c r="J1840" t="str">
        <f>IFERROR(VLOOKUP(I1840,[1]AUTOS!$C:$G,2,0),"")</f>
        <v>SWIFT</v>
      </c>
      <c r="K1840">
        <f>IFERROR(VLOOKUP(I1840,[1]AUTOS!$C:$G,3,0),"")</f>
        <v>2017</v>
      </c>
      <c r="L1840" t="str">
        <f>IFERROR(VLOOKUP(I1840,[1]AUTOS!$C:$G,4,0),"")</f>
        <v>ROJO</v>
      </c>
      <c r="M1840" t="s">
        <v>140</v>
      </c>
      <c r="N1840" s="3">
        <v>1529.6499999999996</v>
      </c>
      <c r="O1840" s="3">
        <v>715</v>
      </c>
      <c r="P1840" s="3">
        <v>715</v>
      </c>
      <c r="Q1840" s="3">
        <v>0</v>
      </c>
    </row>
    <row r="1841" spans="1:17" hidden="1" x14ac:dyDescent="0.3">
      <c r="A1841">
        <v>23</v>
      </c>
      <c r="B1841" t="str">
        <f>VLOOKUP($A1841,[1]LISTA!$B:$C,2,0)</f>
        <v>JUNIO</v>
      </c>
      <c r="C1841" s="1">
        <v>2025</v>
      </c>
      <c r="D1841" s="1" t="str">
        <f>IF($A1841&lt;=[1]RESULTADOS!$D$6,"YTD","YTG")</f>
        <v>YTD</v>
      </c>
      <c r="E1841" t="s">
        <v>674</v>
      </c>
      <c r="F1841" t="s">
        <v>667</v>
      </c>
      <c r="G1841" t="s">
        <v>667</v>
      </c>
      <c r="H1841" t="s">
        <v>668</v>
      </c>
      <c r="I1841" t="s">
        <v>46</v>
      </c>
      <c r="J1841" t="str">
        <f>IFERROR(VLOOKUP(I1841,[1]AUTOS!$C:$G,2,0),"")</f>
        <v>MARCH</v>
      </c>
      <c r="K1841">
        <f>IFERROR(VLOOKUP(I1841,[1]AUTOS!$C:$G,3,0),"")</f>
        <v>2020</v>
      </c>
      <c r="L1841" t="str">
        <f>IFERROR(VLOOKUP(I1841,[1]AUTOS!$C:$G,4,0),"")</f>
        <v>TURQ</v>
      </c>
      <c r="M1841" t="s">
        <v>43</v>
      </c>
      <c r="N1841" s="3">
        <v>3088.55</v>
      </c>
      <c r="O1841" s="3">
        <v>2500</v>
      </c>
      <c r="P1841" s="3">
        <v>3088.55</v>
      </c>
      <c r="Q1841" s="3">
        <v>0</v>
      </c>
    </row>
    <row r="1842" spans="1:17" hidden="1" x14ac:dyDescent="0.3">
      <c r="A1842">
        <v>23</v>
      </c>
      <c r="B1842" t="str">
        <f>VLOOKUP($A1842,[1]LISTA!$B:$C,2,0)</f>
        <v>JUNIO</v>
      </c>
      <c r="C1842" s="1">
        <v>2025</v>
      </c>
      <c r="D1842" s="1" t="str">
        <f>IF($A1842&lt;=[1]RESULTADOS!$D$6,"YTD","YTG")</f>
        <v>YTD</v>
      </c>
      <c r="E1842" t="s">
        <v>681</v>
      </c>
      <c r="F1842" t="s">
        <v>667</v>
      </c>
      <c r="G1842" t="s">
        <v>667</v>
      </c>
      <c r="H1842" t="s">
        <v>668</v>
      </c>
      <c r="I1842" t="s">
        <v>102</v>
      </c>
      <c r="J1842" t="str">
        <f>IFERROR(VLOOKUP(I1842,[1]AUTOS!$C:$G,2,0),"")</f>
        <v>AVEO</v>
      </c>
      <c r="K1842">
        <f>IFERROR(VLOOKUP(I1842,[1]AUTOS!$C:$G,3,0),"")</f>
        <v>2022</v>
      </c>
      <c r="L1842" t="str">
        <f>IFERROR(VLOOKUP(I1842,[1]AUTOS!$C:$G,4,0),"")</f>
        <v>AZUL</v>
      </c>
      <c r="M1842" t="s">
        <v>43</v>
      </c>
      <c r="N1842" s="3">
        <v>6214.57</v>
      </c>
      <c r="O1842" s="3">
        <v>2500</v>
      </c>
      <c r="P1842" s="3">
        <v>2500</v>
      </c>
      <c r="Q1842" s="3">
        <v>0</v>
      </c>
    </row>
    <row r="1843" spans="1:17" hidden="1" x14ac:dyDescent="0.3">
      <c r="A1843">
        <v>23</v>
      </c>
      <c r="B1843" t="str">
        <f>VLOOKUP($A1843,[1]LISTA!$B:$C,2,0)</f>
        <v>JUNIO</v>
      </c>
      <c r="C1843" s="1">
        <v>2025</v>
      </c>
      <c r="D1843" s="1" t="str">
        <f>IF($A1843&lt;=[1]RESULTADOS!$D$6,"YTD","YTG")</f>
        <v>YTD</v>
      </c>
      <c r="E1843" t="s">
        <v>675</v>
      </c>
      <c r="F1843" t="s">
        <v>667</v>
      </c>
      <c r="G1843" t="s">
        <v>667</v>
      </c>
      <c r="H1843" t="s">
        <v>668</v>
      </c>
      <c r="I1843" t="s">
        <v>40</v>
      </c>
      <c r="J1843" t="str">
        <f>IFERROR(VLOOKUP(I1843,[1]AUTOS!$C:$G,2,0),"")</f>
        <v>VERSA</v>
      </c>
      <c r="K1843">
        <f>IFERROR(VLOOKUP(I1843,[1]AUTOS!$C:$G,3,0),"")</f>
        <v>2017</v>
      </c>
      <c r="L1843" t="str">
        <f>IFERROR(VLOOKUP(I1843,[1]AUTOS!$C:$G,4,0),"")</f>
        <v>ACERO</v>
      </c>
      <c r="M1843" t="s">
        <v>140</v>
      </c>
      <c r="N1843" s="3">
        <v>2064.64</v>
      </c>
      <c r="O1843" s="3">
        <v>2500</v>
      </c>
      <c r="P1843" s="3">
        <v>4164.6399999999994</v>
      </c>
      <c r="Q1843" s="3">
        <v>0</v>
      </c>
    </row>
    <row r="1844" spans="1:17" hidden="1" x14ac:dyDescent="0.3">
      <c r="A1844">
        <v>23</v>
      </c>
      <c r="B1844" t="str">
        <f>VLOOKUP($A1844,[1]LISTA!$B:$C,2,0)</f>
        <v>JUNIO</v>
      </c>
      <c r="C1844" s="1">
        <v>2025</v>
      </c>
      <c r="D1844" s="1" t="str">
        <f>IF($A1844&lt;=[1]RESULTADOS!$D$6,"YTD","YTG")</f>
        <v>YTD</v>
      </c>
      <c r="E1844" t="s">
        <v>695</v>
      </c>
      <c r="F1844" t="s">
        <v>667</v>
      </c>
      <c r="G1844" t="s">
        <v>667</v>
      </c>
      <c r="H1844" t="s">
        <v>668</v>
      </c>
      <c r="I1844" t="s">
        <v>34</v>
      </c>
      <c r="J1844" t="str">
        <f>IFERROR(VLOOKUP(I1844,[1]AUTOS!$C:$G,2,0),"")</f>
        <v>AVEO</v>
      </c>
      <c r="K1844">
        <f>IFERROR(VLOOKUP(I1844,[1]AUTOS!$C:$G,3,0),"")</f>
        <v>2018</v>
      </c>
      <c r="L1844" t="str">
        <f>IFERROR(VLOOKUP(I1844,[1]AUTOS!$C:$G,4,0),"")</f>
        <v>ROJO</v>
      </c>
      <c r="M1844" t="s">
        <v>140</v>
      </c>
      <c r="N1844" s="3">
        <v>1219.6999999999998</v>
      </c>
      <c r="O1844" s="3">
        <v>1611</v>
      </c>
      <c r="P1844" s="3">
        <v>1219.6999999999998</v>
      </c>
      <c r="Q1844" s="3">
        <v>500</v>
      </c>
    </row>
    <row r="1845" spans="1:17" hidden="1" x14ac:dyDescent="0.3">
      <c r="A1845">
        <v>23</v>
      </c>
      <c r="B1845" t="str">
        <f>VLOOKUP($A1845,[1]LISTA!$B:$C,2,0)</f>
        <v>JUNIO</v>
      </c>
      <c r="C1845" s="1">
        <v>2025</v>
      </c>
      <c r="D1845" s="1" t="str">
        <f>IF($A1845&lt;=[1]RESULTADOS!$D$6,"YTD","YTG")</f>
        <v>YTD</v>
      </c>
      <c r="E1845" t="s">
        <v>688</v>
      </c>
      <c r="F1845" t="s">
        <v>667</v>
      </c>
      <c r="G1845" t="s">
        <v>667</v>
      </c>
      <c r="H1845" t="s">
        <v>668</v>
      </c>
      <c r="I1845" t="s">
        <v>76</v>
      </c>
      <c r="J1845" t="str">
        <f>IFERROR(VLOOKUP(I1845,[1]AUTOS!$C:$G,2,0),"")</f>
        <v>AVEO</v>
      </c>
      <c r="K1845">
        <f>IFERROR(VLOOKUP(I1845,[1]AUTOS!$C:$G,3,0),"")</f>
        <v>2018</v>
      </c>
      <c r="L1845" t="str">
        <f>IFERROR(VLOOKUP(I1845,[1]AUTOS!$C:$G,4,0),"")</f>
        <v>GRIS</v>
      </c>
      <c r="M1845" t="s">
        <v>43</v>
      </c>
      <c r="N1845" s="3">
        <v>-184.10000000000002</v>
      </c>
      <c r="O1845" s="3">
        <v>2500</v>
      </c>
      <c r="P1845" s="3">
        <v>2315.9</v>
      </c>
      <c r="Q1845" s="3">
        <v>0</v>
      </c>
    </row>
    <row r="1846" spans="1:17" hidden="1" x14ac:dyDescent="0.3">
      <c r="A1846">
        <v>23</v>
      </c>
      <c r="B1846" t="str">
        <f>VLOOKUP($A1846,[1]LISTA!$B:$C,2,0)</f>
        <v>JUNIO</v>
      </c>
      <c r="C1846" s="1">
        <v>2025</v>
      </c>
      <c r="D1846" s="1" t="str">
        <f>IF($A1846&lt;=[1]RESULTADOS!$D$6,"YTD","YTG")</f>
        <v>YTD</v>
      </c>
      <c r="E1846" t="s">
        <v>692</v>
      </c>
      <c r="F1846" t="s">
        <v>667</v>
      </c>
      <c r="G1846" t="s">
        <v>667</v>
      </c>
      <c r="H1846" t="s">
        <v>668</v>
      </c>
      <c r="I1846" t="s">
        <v>82</v>
      </c>
      <c r="J1846" t="str">
        <f>IFERROR(VLOOKUP(I1846,[1]AUTOS!$C:$G,2,0),"")</f>
        <v>AVEO</v>
      </c>
      <c r="K1846">
        <f>IFERROR(VLOOKUP(I1846,[1]AUTOS!$C:$G,3,0),"")</f>
        <v>2019</v>
      </c>
      <c r="L1846" t="str">
        <f>IFERROR(VLOOKUP(I1846,[1]AUTOS!$C:$G,4,0),"")</f>
        <v>PLATA</v>
      </c>
      <c r="M1846" t="s">
        <v>43</v>
      </c>
      <c r="N1846" s="3">
        <v>2141.15</v>
      </c>
      <c r="O1846" s="3">
        <v>2500</v>
      </c>
      <c r="P1846" s="3">
        <v>3000.15</v>
      </c>
      <c r="Q1846" s="3">
        <v>500</v>
      </c>
    </row>
    <row r="1847" spans="1:17" hidden="1" x14ac:dyDescent="0.3">
      <c r="A1847">
        <v>23</v>
      </c>
      <c r="B1847" t="str">
        <f>VLOOKUP($A1847,[1]LISTA!$B:$C,2,0)</f>
        <v>JUNIO</v>
      </c>
      <c r="C1847" s="1">
        <v>2025</v>
      </c>
      <c r="D1847" s="1" t="str">
        <f>IF($A1847&lt;=[1]RESULTADOS!$D$6,"YTD","YTG")</f>
        <v>YTD</v>
      </c>
      <c r="E1847" t="s">
        <v>403</v>
      </c>
      <c r="F1847" t="s">
        <v>667</v>
      </c>
      <c r="G1847" t="s">
        <v>667</v>
      </c>
      <c r="H1847" t="s">
        <v>668</v>
      </c>
      <c r="I1847" t="s">
        <v>51</v>
      </c>
      <c r="J1847" t="str">
        <f>IFERROR(VLOOKUP(I1847,[1]AUTOS!$C:$G,2,0),"")</f>
        <v>VENTO</v>
      </c>
      <c r="K1847">
        <f>IFERROR(VLOOKUP(I1847,[1]AUTOS!$C:$G,3,0),"")</f>
        <v>2017</v>
      </c>
      <c r="L1847" t="str">
        <f>IFERROR(VLOOKUP(I1847,[1]AUTOS!$C:$G,4,0),"")</f>
        <v>GRIS</v>
      </c>
      <c r="M1847" t="s">
        <v>43</v>
      </c>
      <c r="N1847" s="3">
        <v>3572.0599999999995</v>
      </c>
      <c r="O1847" s="3">
        <v>2100</v>
      </c>
      <c r="P1847" s="3">
        <v>2100</v>
      </c>
      <c r="Q1847" s="3">
        <v>0</v>
      </c>
    </row>
    <row r="1848" spans="1:17" hidden="1" x14ac:dyDescent="0.3">
      <c r="A1848">
        <v>23</v>
      </c>
      <c r="B1848" t="str">
        <f>VLOOKUP($A1848,[1]LISTA!$B:$C,2,0)</f>
        <v>JUNIO</v>
      </c>
      <c r="C1848" s="1">
        <v>2025</v>
      </c>
      <c r="D1848" s="1" t="str">
        <f>IF($A1848&lt;=[1]RESULTADOS!$D$6,"YTD","YTG")</f>
        <v>YTD</v>
      </c>
      <c r="E1848" t="s">
        <v>470</v>
      </c>
      <c r="F1848" t="s">
        <v>667</v>
      </c>
      <c r="G1848" t="s">
        <v>667</v>
      </c>
      <c r="H1848" t="s">
        <v>668</v>
      </c>
      <c r="I1848" t="s">
        <v>59</v>
      </c>
      <c r="J1848" t="str">
        <f>IFERROR(VLOOKUP(I1848,[1]AUTOS!$C:$G,2,0),"")</f>
        <v>AVEO</v>
      </c>
      <c r="K1848">
        <f>IFERROR(VLOOKUP(I1848,[1]AUTOS!$C:$G,3,0),"")</f>
        <v>2019</v>
      </c>
      <c r="L1848" t="str">
        <f>IFERROR(VLOOKUP(I1848,[1]AUTOS!$C:$G,4,0),"")</f>
        <v>BLANCO</v>
      </c>
      <c r="M1848" t="s">
        <v>43</v>
      </c>
      <c r="N1848" s="3">
        <v>3384.51</v>
      </c>
      <c r="O1848" s="3">
        <v>0</v>
      </c>
      <c r="P1848" s="3">
        <v>0</v>
      </c>
      <c r="Q1848" s="3">
        <v>0</v>
      </c>
    </row>
    <row r="1849" spans="1:17" hidden="1" x14ac:dyDescent="0.3">
      <c r="A1849">
        <v>23</v>
      </c>
      <c r="B1849" t="str">
        <f>VLOOKUP($A1849,[1]LISTA!$B:$C,2,0)</f>
        <v>JUNIO</v>
      </c>
      <c r="C1849" s="1">
        <v>2025</v>
      </c>
      <c r="D1849" s="1" t="str">
        <f>IF($A1849&lt;=[1]RESULTADOS!$D$6,"YTD","YTG")</f>
        <v>YTD</v>
      </c>
      <c r="E1849" t="s">
        <v>696</v>
      </c>
      <c r="F1849" t="s">
        <v>667</v>
      </c>
      <c r="G1849" t="s">
        <v>667</v>
      </c>
      <c r="H1849" t="s">
        <v>668</v>
      </c>
      <c r="I1849" t="s">
        <v>131</v>
      </c>
      <c r="J1849" t="str">
        <f>IFERROR(VLOOKUP(I1849,[1]AUTOS!$C:$G,2,0),"")</f>
        <v>AVEO</v>
      </c>
      <c r="K1849">
        <f>IFERROR(VLOOKUP(I1849,[1]AUTOS!$C:$G,3,0),"")</f>
        <v>2024</v>
      </c>
      <c r="L1849" t="str">
        <f>IFERROR(VLOOKUP(I1849,[1]AUTOS!$C:$G,4,0),"")</f>
        <v>GRIS</v>
      </c>
      <c r="M1849" t="s">
        <v>43</v>
      </c>
      <c r="N1849" s="3">
        <v>0</v>
      </c>
      <c r="O1849" s="3">
        <v>1250</v>
      </c>
      <c r="P1849" s="3">
        <v>1250</v>
      </c>
      <c r="Q1849" s="3">
        <v>0</v>
      </c>
    </row>
    <row r="1850" spans="1:17" hidden="1" x14ac:dyDescent="0.3">
      <c r="A1850">
        <v>23</v>
      </c>
      <c r="B1850" t="str">
        <f>VLOOKUP($A1850,[1]LISTA!$B:$C,2,0)</f>
        <v>JUNIO</v>
      </c>
      <c r="C1850" s="1">
        <v>2025</v>
      </c>
      <c r="D1850" s="1" t="str">
        <f>IF($A1850&lt;=[1]RESULTADOS!$D$6,"YTD","YTG")</f>
        <v>YTD</v>
      </c>
      <c r="E1850" t="s">
        <v>689</v>
      </c>
      <c r="F1850" t="s">
        <v>667</v>
      </c>
      <c r="G1850" t="s">
        <v>667</v>
      </c>
      <c r="H1850" t="s">
        <v>668</v>
      </c>
      <c r="I1850" t="s">
        <v>185</v>
      </c>
      <c r="J1850" t="str">
        <f>IFERROR(VLOOKUP(I1850,[1]AUTOS!$C:$G,2,0),"")</f>
        <v>MARCH</v>
      </c>
      <c r="K1850">
        <f>IFERROR(VLOOKUP(I1850,[1]AUTOS!$C:$G,3,0),"")</f>
        <v>2021</v>
      </c>
      <c r="L1850" t="str">
        <f>IFERROR(VLOOKUP(I1850,[1]AUTOS!$C:$G,4,0),"")</f>
        <v>ROJO</v>
      </c>
      <c r="M1850" t="s">
        <v>43</v>
      </c>
      <c r="N1850" s="3">
        <v>-737.51</v>
      </c>
      <c r="O1850" s="3">
        <v>2500</v>
      </c>
      <c r="P1850" s="3">
        <v>2762.49</v>
      </c>
      <c r="Q1850" s="3">
        <v>0</v>
      </c>
    </row>
    <row r="1851" spans="1:17" hidden="1" x14ac:dyDescent="0.3">
      <c r="A1851">
        <v>24</v>
      </c>
      <c r="B1851" t="str">
        <f>VLOOKUP($A1851,[1]LISTA!$B:$C,2,0)</f>
        <v>JUNIO</v>
      </c>
      <c r="C1851" s="1">
        <v>2025</v>
      </c>
      <c r="D1851" s="1" t="str">
        <f>IF($A1851&lt;=[1]RESULTADOS!$D$6,"YTD","YTG")</f>
        <v>YTD</v>
      </c>
      <c r="E1851" t="s">
        <v>492</v>
      </c>
      <c r="F1851" t="s">
        <v>667</v>
      </c>
      <c r="G1851" t="s">
        <v>667</v>
      </c>
      <c r="H1851" t="s">
        <v>668</v>
      </c>
      <c r="I1851" t="s">
        <v>116</v>
      </c>
      <c r="J1851" t="str">
        <f>IFERROR(VLOOKUP(I1851,[1]AUTOS!$C:$G,2,0),"")</f>
        <v>AVEO</v>
      </c>
      <c r="K1851">
        <f>IFERROR(VLOOKUP(I1851,[1]AUTOS!$C:$G,3,0),"")</f>
        <v>2022</v>
      </c>
      <c r="L1851" t="str">
        <f>IFERROR(VLOOKUP(I1851,[1]AUTOS!$C:$G,4,0),"")</f>
        <v>AZUL</v>
      </c>
      <c r="M1851" t="s">
        <v>43</v>
      </c>
      <c r="N1851" s="3">
        <v>-23</v>
      </c>
      <c r="O1851" s="3">
        <v>1071</v>
      </c>
      <c r="P1851" s="3">
        <v>1571</v>
      </c>
      <c r="Q1851" s="3">
        <v>0</v>
      </c>
    </row>
    <row r="1852" spans="1:17" hidden="1" x14ac:dyDescent="0.3">
      <c r="A1852">
        <v>24</v>
      </c>
      <c r="B1852" t="str">
        <f>VLOOKUP($A1852,[1]LISTA!$B:$C,2,0)</f>
        <v>JUNIO</v>
      </c>
      <c r="C1852" s="1">
        <v>2025</v>
      </c>
      <c r="D1852" s="1" t="str">
        <f>IF($A1852&lt;=[1]RESULTADOS!$D$6,"YTD","YTG")</f>
        <v>YTD</v>
      </c>
      <c r="E1852" t="s">
        <v>697</v>
      </c>
      <c r="F1852" t="s">
        <v>667</v>
      </c>
      <c r="G1852" t="s">
        <v>667</v>
      </c>
      <c r="H1852" t="s">
        <v>668</v>
      </c>
      <c r="I1852" t="s">
        <v>79</v>
      </c>
      <c r="J1852" t="str">
        <f>IFERROR(VLOOKUP(I1852,[1]AUTOS!$C:$G,2,0),"")</f>
        <v>AVEO</v>
      </c>
      <c r="K1852">
        <f>IFERROR(VLOOKUP(I1852,[1]AUTOS!$C:$G,3,0),"")</f>
        <v>2021</v>
      </c>
      <c r="L1852" t="str">
        <f>IFERROR(VLOOKUP(I1852,[1]AUTOS!$C:$G,4,0),"")</f>
        <v>OCRE</v>
      </c>
      <c r="M1852" t="s">
        <v>43</v>
      </c>
      <c r="N1852" s="3">
        <v>1707.31</v>
      </c>
      <c r="O1852" s="3">
        <v>1072</v>
      </c>
      <c r="P1852" s="3">
        <v>1488</v>
      </c>
      <c r="Q1852" s="3">
        <v>216</v>
      </c>
    </row>
    <row r="1853" spans="1:17" hidden="1" x14ac:dyDescent="0.3">
      <c r="A1853">
        <v>24</v>
      </c>
      <c r="B1853" t="str">
        <f>VLOOKUP($A1853,[1]LISTA!$B:$C,2,0)</f>
        <v>JUNIO</v>
      </c>
      <c r="C1853" s="1">
        <v>2025</v>
      </c>
      <c r="D1853" s="1" t="str">
        <f>IF($A1853&lt;=[1]RESULTADOS!$D$6,"YTD","YTG")</f>
        <v>YTD</v>
      </c>
      <c r="E1853" t="s">
        <v>697</v>
      </c>
      <c r="F1853" t="s">
        <v>667</v>
      </c>
      <c r="G1853" t="s">
        <v>667</v>
      </c>
      <c r="H1853" t="s">
        <v>668</v>
      </c>
      <c r="I1853" t="s">
        <v>61</v>
      </c>
      <c r="J1853" t="str">
        <f>IFERROR(VLOOKUP(I1853,[1]AUTOS!$C:$G,2,0),"")</f>
        <v>KIA RIO</v>
      </c>
      <c r="K1853">
        <f>IFERROR(VLOOKUP(I1853,[1]AUTOS!$C:$G,3,0),"")</f>
        <v>2017</v>
      </c>
      <c r="L1853" t="str">
        <f>IFERROR(VLOOKUP(I1853,[1]AUTOS!$C:$G,4,0),"")</f>
        <v>ROJO</v>
      </c>
      <c r="M1853" t="s">
        <v>140</v>
      </c>
      <c r="N1853" s="3">
        <v>664.68</v>
      </c>
      <c r="O1853" s="3">
        <v>357</v>
      </c>
      <c r="P1853" s="3">
        <v>429</v>
      </c>
      <c r="Q1853" s="3">
        <v>72</v>
      </c>
    </row>
    <row r="1854" spans="1:17" hidden="1" x14ac:dyDescent="0.3">
      <c r="A1854">
        <v>24</v>
      </c>
      <c r="B1854" t="str">
        <f>VLOOKUP($A1854,[1]LISTA!$B:$C,2,0)</f>
        <v>JUNIO</v>
      </c>
      <c r="C1854" s="1">
        <v>2025</v>
      </c>
      <c r="D1854" s="1" t="str">
        <f>IF($A1854&lt;=[1]RESULTADOS!$D$6,"YTD","YTG")</f>
        <v>YTD</v>
      </c>
      <c r="E1854" t="s">
        <v>693</v>
      </c>
      <c r="F1854" t="s">
        <v>667</v>
      </c>
      <c r="G1854" t="s">
        <v>667</v>
      </c>
      <c r="H1854" t="s">
        <v>668</v>
      </c>
      <c r="I1854" t="s">
        <v>162</v>
      </c>
      <c r="J1854" t="str">
        <f>IFERROR(VLOOKUP(I1854,[1]AUTOS!$C:$G,2,0),"")</f>
        <v>HYUNDAI</v>
      </c>
      <c r="K1854">
        <f>IFERROR(VLOOKUP(I1854,[1]AUTOS!$C:$G,3,0),"")</f>
        <v>2022</v>
      </c>
      <c r="L1854" t="str">
        <f>IFERROR(VLOOKUP(I1854,[1]AUTOS!$C:$G,4,0),"")</f>
        <v>PLATA</v>
      </c>
      <c r="M1854" t="s">
        <v>43</v>
      </c>
      <c r="N1854" s="3">
        <v>3090.84</v>
      </c>
      <c r="O1854" s="3">
        <v>2500</v>
      </c>
      <c r="P1854" s="3">
        <v>3599.84</v>
      </c>
      <c r="Q1854" s="3">
        <v>500</v>
      </c>
    </row>
    <row r="1855" spans="1:17" hidden="1" x14ac:dyDescent="0.3">
      <c r="A1855">
        <v>24</v>
      </c>
      <c r="B1855" t="str">
        <f>VLOOKUP($A1855,[1]LISTA!$B:$C,2,0)</f>
        <v>JUNIO</v>
      </c>
      <c r="C1855" s="1">
        <v>2025</v>
      </c>
      <c r="D1855" s="1" t="str">
        <f>IF($A1855&lt;=[1]RESULTADOS!$D$6,"YTD","YTG")</f>
        <v>YTD</v>
      </c>
      <c r="E1855" t="s">
        <v>691</v>
      </c>
      <c r="F1855" t="s">
        <v>667</v>
      </c>
      <c r="G1855" t="s">
        <v>667</v>
      </c>
      <c r="H1855" t="s">
        <v>668</v>
      </c>
      <c r="I1855" t="s">
        <v>139</v>
      </c>
      <c r="J1855" t="str">
        <f>IFERROR(VLOOKUP(I1855,[1]AUTOS!$C:$G,2,0),"")</f>
        <v>SWIFT</v>
      </c>
      <c r="K1855">
        <f>IFERROR(VLOOKUP(I1855,[1]AUTOS!$C:$G,3,0),"")</f>
        <v>2017</v>
      </c>
      <c r="L1855" t="str">
        <f>IFERROR(VLOOKUP(I1855,[1]AUTOS!$C:$G,4,0),"")</f>
        <v>ROJO</v>
      </c>
      <c r="M1855" t="s">
        <v>43</v>
      </c>
      <c r="N1855" s="3">
        <v>1131.67</v>
      </c>
      <c r="O1855" s="3">
        <v>2142</v>
      </c>
      <c r="P1855" s="3">
        <v>1755.67</v>
      </c>
      <c r="Q1855" s="3">
        <v>500</v>
      </c>
    </row>
    <row r="1856" spans="1:17" hidden="1" x14ac:dyDescent="0.3">
      <c r="A1856">
        <v>24</v>
      </c>
      <c r="B1856" t="str">
        <f>VLOOKUP($A1856,[1]LISTA!$B:$C,2,0)</f>
        <v>JUNIO</v>
      </c>
      <c r="C1856" s="1">
        <v>2025</v>
      </c>
      <c r="D1856" s="1" t="str">
        <f>IF($A1856&lt;=[1]RESULTADOS!$D$6,"YTD","YTG")</f>
        <v>YTD</v>
      </c>
      <c r="E1856" t="s">
        <v>691</v>
      </c>
      <c r="F1856" t="s">
        <v>667</v>
      </c>
      <c r="G1856" t="s">
        <v>667</v>
      </c>
      <c r="H1856" t="s">
        <v>668</v>
      </c>
      <c r="I1856" t="s">
        <v>139</v>
      </c>
      <c r="J1856" t="str">
        <f>IFERROR(VLOOKUP(I1856,[1]AUTOS!$C:$G,2,0),"")</f>
        <v>SWIFT</v>
      </c>
      <c r="K1856">
        <f>IFERROR(VLOOKUP(I1856,[1]AUTOS!$C:$G,3,0),"")</f>
        <v>2017</v>
      </c>
      <c r="L1856" t="str">
        <f>IFERROR(VLOOKUP(I1856,[1]AUTOS!$C:$G,4,0),"")</f>
        <v>ROJO</v>
      </c>
      <c r="M1856" t="s">
        <v>140</v>
      </c>
      <c r="N1856" s="3">
        <v>982.43000000000006</v>
      </c>
      <c r="O1856" s="3">
        <v>358</v>
      </c>
      <c r="P1856" s="3">
        <v>358</v>
      </c>
      <c r="Q1856" s="3">
        <v>0</v>
      </c>
    </row>
    <row r="1857" spans="1:17" hidden="1" x14ac:dyDescent="0.3">
      <c r="A1857">
        <v>24</v>
      </c>
      <c r="B1857" t="str">
        <f>VLOOKUP($A1857,[1]LISTA!$B:$C,2,0)</f>
        <v>JUNIO</v>
      </c>
      <c r="C1857" s="1">
        <v>2025</v>
      </c>
      <c r="D1857" s="1" t="str">
        <f>IF($A1857&lt;=[1]RESULTADOS!$D$6,"YTD","YTG")</f>
        <v>YTD</v>
      </c>
      <c r="E1857" t="s">
        <v>478</v>
      </c>
      <c r="F1857" t="s">
        <v>667</v>
      </c>
      <c r="G1857" t="s">
        <v>667</v>
      </c>
      <c r="H1857" t="s">
        <v>668</v>
      </c>
      <c r="I1857" t="s">
        <v>76</v>
      </c>
      <c r="J1857" t="str">
        <f>IFERROR(VLOOKUP(I1857,[1]AUTOS!$C:$G,2,0),"")</f>
        <v>AVEO</v>
      </c>
      <c r="K1857">
        <f>IFERROR(VLOOKUP(I1857,[1]AUTOS!$C:$G,3,0),"")</f>
        <v>2018</v>
      </c>
      <c r="L1857" t="str">
        <f>IFERROR(VLOOKUP(I1857,[1]AUTOS!$C:$G,4,0),"")</f>
        <v>GRIS</v>
      </c>
      <c r="M1857" t="s">
        <v>43</v>
      </c>
      <c r="N1857" s="3">
        <v>3546.67</v>
      </c>
      <c r="O1857" s="3">
        <v>2500</v>
      </c>
      <c r="P1857" s="3">
        <v>3000</v>
      </c>
      <c r="Q1857" s="3">
        <v>500</v>
      </c>
    </row>
    <row r="1858" spans="1:17" hidden="1" x14ac:dyDescent="0.3">
      <c r="A1858">
        <v>24</v>
      </c>
      <c r="B1858" t="str">
        <f>VLOOKUP($A1858,[1]LISTA!$B:$C,2,0)</f>
        <v>JUNIO</v>
      </c>
      <c r="C1858" s="1">
        <v>2025</v>
      </c>
      <c r="D1858" s="1" t="str">
        <f>IF($A1858&lt;=[1]RESULTADOS!$D$6,"YTD","YTG")</f>
        <v>YTD</v>
      </c>
      <c r="E1858" t="s">
        <v>690</v>
      </c>
      <c r="F1858" t="s">
        <v>667</v>
      </c>
      <c r="G1858" t="s">
        <v>667</v>
      </c>
      <c r="H1858" t="s">
        <v>668</v>
      </c>
      <c r="I1858" t="s">
        <v>61</v>
      </c>
      <c r="J1858" t="str">
        <f>IFERROR(VLOOKUP(I1858,[1]AUTOS!$C:$G,2,0),"")</f>
        <v>KIA RIO</v>
      </c>
      <c r="K1858">
        <f>IFERROR(VLOOKUP(I1858,[1]AUTOS!$C:$G,3,0),"")</f>
        <v>2017</v>
      </c>
      <c r="L1858" t="str">
        <f>IFERROR(VLOOKUP(I1858,[1]AUTOS!$C:$G,4,0),"")</f>
        <v>ROJO</v>
      </c>
      <c r="M1858" t="s">
        <v>35</v>
      </c>
      <c r="N1858" s="3">
        <v>568.77</v>
      </c>
      <c r="O1858" s="3">
        <v>0</v>
      </c>
      <c r="P1858" s="3">
        <v>568.77</v>
      </c>
      <c r="Q1858" s="3">
        <v>0</v>
      </c>
    </row>
    <row r="1859" spans="1:17" x14ac:dyDescent="0.3">
      <c r="A1859">
        <v>24</v>
      </c>
      <c r="B1859" t="str">
        <f>VLOOKUP($A1859,[1]LISTA!$B:$C,2,0)</f>
        <v>JUNIO</v>
      </c>
      <c r="C1859" s="1">
        <v>2025</v>
      </c>
      <c r="D1859" s="1" t="str">
        <f>IF($A1859&lt;=[1]RESULTADOS!$D$6,"YTD","YTG")</f>
        <v>YTD</v>
      </c>
      <c r="E1859" t="s">
        <v>436</v>
      </c>
      <c r="F1859" t="s">
        <v>667</v>
      </c>
      <c r="G1859" t="s">
        <v>667</v>
      </c>
      <c r="H1859" t="s">
        <v>668</v>
      </c>
      <c r="I1859" t="s">
        <v>72</v>
      </c>
      <c r="J1859" t="str">
        <f>IFERROR(VLOOKUP(I1859,[1]AUTOS!$C:$G,2,0),"")</f>
        <v>VENTO</v>
      </c>
      <c r="K1859">
        <f>IFERROR(VLOOKUP(I1859,[1]AUTOS!$C:$G,3,0),"")</f>
        <v>2020</v>
      </c>
      <c r="L1859" t="str">
        <f>IFERROR(VLOOKUP(I1859,[1]AUTOS!$C:$G,4,0),"")</f>
        <v>GRIS</v>
      </c>
      <c r="M1859" t="s">
        <v>43</v>
      </c>
      <c r="N1859" s="3">
        <v>3234.5200000000004</v>
      </c>
      <c r="O1859" s="3">
        <v>2500</v>
      </c>
      <c r="P1859" s="3">
        <v>3234.5200000000004</v>
      </c>
      <c r="Q1859" s="3">
        <v>500</v>
      </c>
    </row>
    <row r="1860" spans="1:17" hidden="1" x14ac:dyDescent="0.3">
      <c r="A1860">
        <v>24</v>
      </c>
      <c r="B1860" t="str">
        <f>VLOOKUP($A1860,[1]LISTA!$B:$C,2,0)</f>
        <v>JUNIO</v>
      </c>
      <c r="C1860" s="1">
        <v>2025</v>
      </c>
      <c r="D1860" s="1" t="str">
        <f>IF($A1860&lt;=[1]RESULTADOS!$D$6,"YTD","YTG")</f>
        <v>YTD</v>
      </c>
      <c r="E1860" t="s">
        <v>680</v>
      </c>
      <c r="F1860" t="s">
        <v>667</v>
      </c>
      <c r="G1860" t="s">
        <v>667</v>
      </c>
      <c r="H1860" t="s">
        <v>668</v>
      </c>
      <c r="I1860" t="s">
        <v>144</v>
      </c>
      <c r="J1860" t="str">
        <f>IFERROR(VLOOKUP(I1860,[1]AUTOS!$C:$G,2,0),"")</f>
        <v>VERSA</v>
      </c>
      <c r="K1860">
        <f>IFERROR(VLOOKUP(I1860,[1]AUTOS!$C:$G,3,0),"")</f>
        <v>2020</v>
      </c>
      <c r="L1860" t="str">
        <f>IFERROR(VLOOKUP(I1860,[1]AUTOS!$C:$G,4,0),"")</f>
        <v>ROJO</v>
      </c>
      <c r="M1860" t="s">
        <v>43</v>
      </c>
      <c r="N1860" s="3">
        <v>3971.1000000000004</v>
      </c>
      <c r="O1860" s="3">
        <v>2500</v>
      </c>
      <c r="P1860" s="3">
        <v>3000</v>
      </c>
      <c r="Q1860" s="3">
        <v>0</v>
      </c>
    </row>
    <row r="1861" spans="1:17" hidden="1" x14ac:dyDescent="0.3">
      <c r="A1861">
        <v>24</v>
      </c>
      <c r="B1861" t="str">
        <f>VLOOKUP($A1861,[1]LISTA!$B:$C,2,0)</f>
        <v>JUNIO</v>
      </c>
      <c r="C1861" s="1">
        <v>2025</v>
      </c>
      <c r="D1861" s="1" t="str">
        <f>IF($A1861&lt;=[1]RESULTADOS!$D$6,"YTD","YTG")</f>
        <v>YTD</v>
      </c>
      <c r="E1861" t="s">
        <v>456</v>
      </c>
      <c r="F1861" t="s">
        <v>667</v>
      </c>
      <c r="G1861" t="s">
        <v>667</v>
      </c>
      <c r="H1861" t="s">
        <v>668</v>
      </c>
      <c r="I1861" t="s">
        <v>146</v>
      </c>
      <c r="J1861" t="str">
        <f>IFERROR(VLOOKUP(I1861,[1]AUTOS!$C:$G,2,0),"")</f>
        <v>KIA RIO</v>
      </c>
      <c r="K1861">
        <f>IFERROR(VLOOKUP(I1861,[1]AUTOS!$C:$G,3,0),"")</f>
        <v>2023</v>
      </c>
      <c r="L1861" t="str">
        <f>IFERROR(VLOOKUP(I1861,[1]AUTOS!$C:$G,4,0),"")</f>
        <v>ROJO</v>
      </c>
      <c r="M1861" t="s">
        <v>140</v>
      </c>
      <c r="N1861" s="3">
        <v>5392.88</v>
      </c>
      <c r="O1861" s="3">
        <v>2500</v>
      </c>
      <c r="P1861" s="3">
        <v>3188</v>
      </c>
      <c r="Q1861" s="3">
        <v>0</v>
      </c>
    </row>
    <row r="1862" spans="1:17" hidden="1" x14ac:dyDescent="0.3">
      <c r="A1862">
        <v>24</v>
      </c>
      <c r="B1862" t="str">
        <f>VLOOKUP($A1862,[1]LISTA!$B:$C,2,0)</f>
        <v>JUNIO</v>
      </c>
      <c r="C1862" s="1">
        <v>2025</v>
      </c>
      <c r="D1862" s="1" t="str">
        <f>IF($A1862&lt;=[1]RESULTADOS!$D$6,"YTD","YTG")</f>
        <v>YTD</v>
      </c>
      <c r="E1862" t="s">
        <v>411</v>
      </c>
      <c r="F1862" t="s">
        <v>667</v>
      </c>
      <c r="G1862" t="s">
        <v>667</v>
      </c>
      <c r="H1862" t="s">
        <v>668</v>
      </c>
      <c r="I1862" t="s">
        <v>178</v>
      </c>
      <c r="J1862" t="str">
        <f>IFERROR(VLOOKUP(I1862,[1]AUTOS!$C:$G,2,0),"")</f>
        <v>VERSA</v>
      </c>
      <c r="K1862">
        <f>IFERROR(VLOOKUP(I1862,[1]AUTOS!$C:$G,3,0),"")</f>
        <v>2020</v>
      </c>
      <c r="L1862" t="str">
        <f>IFERROR(VLOOKUP(I1862,[1]AUTOS!$C:$G,4,0),"")</f>
        <v>BLANCO</v>
      </c>
      <c r="M1862" t="s">
        <v>43</v>
      </c>
      <c r="N1862" s="3">
        <v>6713.27</v>
      </c>
      <c r="O1862" s="3">
        <v>2500</v>
      </c>
      <c r="P1862" s="3">
        <v>2561</v>
      </c>
      <c r="Q1862" s="3">
        <v>0</v>
      </c>
    </row>
    <row r="1863" spans="1:17" hidden="1" x14ac:dyDescent="0.3">
      <c r="A1863">
        <v>24</v>
      </c>
      <c r="B1863" t="str">
        <f>VLOOKUP($A1863,[1]LISTA!$B:$C,2,0)</f>
        <v>JUNIO</v>
      </c>
      <c r="C1863" s="1">
        <v>2025</v>
      </c>
      <c r="D1863" s="1" t="str">
        <f>IF($A1863&lt;=[1]RESULTADOS!$D$6,"YTD","YTG")</f>
        <v>YTD</v>
      </c>
      <c r="E1863" t="s">
        <v>518</v>
      </c>
      <c r="F1863" t="s">
        <v>667</v>
      </c>
      <c r="G1863" t="s">
        <v>667</v>
      </c>
      <c r="H1863" t="s">
        <v>668</v>
      </c>
      <c r="I1863" t="s">
        <v>37</v>
      </c>
      <c r="J1863" t="str">
        <f>IFERROR(VLOOKUP(I1863,[1]AUTOS!$C:$G,2,0),"")</f>
        <v>BEAT</v>
      </c>
      <c r="K1863">
        <f>IFERROR(VLOOKUP(I1863,[1]AUTOS!$C:$G,3,0),"")</f>
        <v>2020</v>
      </c>
      <c r="L1863" t="str">
        <f>IFERROR(VLOOKUP(I1863,[1]AUTOS!$C:$G,4,0),"")</f>
        <v>GRIS</v>
      </c>
      <c r="M1863" t="s">
        <v>140</v>
      </c>
      <c r="N1863" s="3">
        <v>0</v>
      </c>
      <c r="O1863" s="3">
        <v>2500</v>
      </c>
      <c r="P1863" s="3">
        <v>2500</v>
      </c>
      <c r="Q1863" s="3">
        <v>0</v>
      </c>
    </row>
    <row r="1864" spans="1:17" hidden="1" x14ac:dyDescent="0.3">
      <c r="A1864">
        <v>24</v>
      </c>
      <c r="B1864" t="str">
        <f>VLOOKUP($A1864,[1]LISTA!$B:$C,2,0)</f>
        <v>JUNIO</v>
      </c>
      <c r="C1864" s="1">
        <v>2025</v>
      </c>
      <c r="D1864" s="1" t="str">
        <f>IF($A1864&lt;=[1]RESULTADOS!$D$6,"YTD","YTG")</f>
        <v>YTD</v>
      </c>
      <c r="E1864" t="s">
        <v>526</v>
      </c>
      <c r="F1864" t="s">
        <v>667</v>
      </c>
      <c r="G1864" t="s">
        <v>667</v>
      </c>
      <c r="H1864" t="s">
        <v>668</v>
      </c>
      <c r="I1864" t="s">
        <v>67</v>
      </c>
      <c r="J1864" t="str">
        <f>IFERROR(VLOOKUP(I1864,[1]AUTOS!$C:$G,2,0),"")</f>
        <v>KIA RIO</v>
      </c>
      <c r="K1864">
        <f>IFERROR(VLOOKUP(I1864,[1]AUTOS!$C:$G,3,0),"")</f>
        <v>2020</v>
      </c>
      <c r="L1864" t="str">
        <f>IFERROR(VLOOKUP(I1864,[1]AUTOS!$C:$G,4,0),"")</f>
        <v>GRIS</v>
      </c>
      <c r="M1864" t="s">
        <v>43</v>
      </c>
      <c r="N1864" s="3">
        <v>6922.4599999999991</v>
      </c>
      <c r="O1864" s="3">
        <v>2500</v>
      </c>
      <c r="P1864" s="3">
        <v>2500</v>
      </c>
      <c r="Q1864" s="3">
        <v>0</v>
      </c>
    </row>
    <row r="1865" spans="1:17" hidden="1" x14ac:dyDescent="0.3">
      <c r="A1865">
        <v>24</v>
      </c>
      <c r="B1865" t="str">
        <f>VLOOKUP($A1865,[1]LISTA!$B:$C,2,0)</f>
        <v>JUNIO</v>
      </c>
      <c r="C1865" s="1">
        <v>2025</v>
      </c>
      <c r="D1865" s="1" t="str">
        <f>IF($A1865&lt;=[1]RESULTADOS!$D$6,"YTD","YTG")</f>
        <v>YTD</v>
      </c>
      <c r="E1865" t="s">
        <v>694</v>
      </c>
      <c r="F1865" t="s">
        <v>667</v>
      </c>
      <c r="G1865" t="s">
        <v>667</v>
      </c>
      <c r="H1865" t="s">
        <v>668</v>
      </c>
      <c r="I1865" t="s">
        <v>42</v>
      </c>
      <c r="J1865" t="str">
        <f>IFERROR(VLOOKUP(I1865,[1]AUTOS!$C:$G,2,0),"")</f>
        <v>VENTO</v>
      </c>
      <c r="K1865">
        <f>IFERROR(VLOOKUP(I1865,[1]AUTOS!$C:$G,3,0),"")</f>
        <v>2018</v>
      </c>
      <c r="L1865" t="str">
        <f>IFERROR(VLOOKUP(I1865,[1]AUTOS!$C:$G,4,0),"")</f>
        <v>AMARILLO</v>
      </c>
      <c r="M1865" t="s">
        <v>43</v>
      </c>
      <c r="N1865" s="3">
        <v>1177.1999999999998</v>
      </c>
      <c r="O1865" s="3">
        <v>2500</v>
      </c>
      <c r="P1865" s="3">
        <v>2672.2</v>
      </c>
      <c r="Q1865" s="3">
        <v>500</v>
      </c>
    </row>
    <row r="1866" spans="1:17" hidden="1" x14ac:dyDescent="0.3">
      <c r="A1866">
        <v>24</v>
      </c>
      <c r="B1866" t="str">
        <f>VLOOKUP($A1866,[1]LISTA!$B:$C,2,0)</f>
        <v>JUNIO</v>
      </c>
      <c r="C1866" s="1">
        <v>2025</v>
      </c>
      <c r="D1866" s="1" t="str">
        <f>IF($A1866&lt;=[1]RESULTADOS!$D$6,"YTD","YTG")</f>
        <v>YTD</v>
      </c>
      <c r="E1866" t="s">
        <v>674</v>
      </c>
      <c r="F1866" t="s">
        <v>667</v>
      </c>
      <c r="G1866" t="s">
        <v>667</v>
      </c>
      <c r="H1866" t="s">
        <v>668</v>
      </c>
      <c r="I1866" t="s">
        <v>46</v>
      </c>
      <c r="J1866" t="str">
        <f>IFERROR(VLOOKUP(I1866,[1]AUTOS!$C:$G,2,0),"")</f>
        <v>MARCH</v>
      </c>
      <c r="K1866">
        <f>IFERROR(VLOOKUP(I1866,[1]AUTOS!$C:$G,3,0),"")</f>
        <v>2020</v>
      </c>
      <c r="L1866" t="str">
        <f>IFERROR(VLOOKUP(I1866,[1]AUTOS!$C:$G,4,0),"")</f>
        <v>TURQ</v>
      </c>
      <c r="M1866" t="s">
        <v>43</v>
      </c>
      <c r="N1866" s="3">
        <v>2278.9100000000003</v>
      </c>
      <c r="O1866" s="3">
        <v>2500</v>
      </c>
      <c r="P1866" s="3">
        <v>2517.9100000000003</v>
      </c>
      <c r="Q1866" s="3">
        <v>0</v>
      </c>
    </row>
    <row r="1867" spans="1:17" hidden="1" x14ac:dyDescent="0.3">
      <c r="A1867">
        <v>24</v>
      </c>
      <c r="B1867" t="str">
        <f>VLOOKUP($A1867,[1]LISTA!$B:$C,2,0)</f>
        <v>JUNIO</v>
      </c>
      <c r="C1867" s="1">
        <v>2025</v>
      </c>
      <c r="D1867" s="1" t="str">
        <f>IF($A1867&lt;=[1]RESULTADOS!$D$6,"YTD","YTG")</f>
        <v>YTD</v>
      </c>
      <c r="E1867" t="s">
        <v>681</v>
      </c>
      <c r="F1867" t="s">
        <v>667</v>
      </c>
      <c r="G1867" t="s">
        <v>667</v>
      </c>
      <c r="H1867" t="s">
        <v>668</v>
      </c>
      <c r="I1867" t="s">
        <v>102</v>
      </c>
      <c r="J1867" t="str">
        <f>IFERROR(VLOOKUP(I1867,[1]AUTOS!$C:$G,2,0),"")</f>
        <v>AVEO</v>
      </c>
      <c r="K1867">
        <f>IFERROR(VLOOKUP(I1867,[1]AUTOS!$C:$G,3,0),"")</f>
        <v>2022</v>
      </c>
      <c r="L1867" t="str">
        <f>IFERROR(VLOOKUP(I1867,[1]AUTOS!$C:$G,4,0),"")</f>
        <v>AZUL</v>
      </c>
      <c r="M1867" t="s">
        <v>43</v>
      </c>
      <c r="N1867" s="3">
        <v>4566.1200000000008</v>
      </c>
      <c r="O1867" s="3">
        <v>2500</v>
      </c>
      <c r="P1867" s="3">
        <v>2515</v>
      </c>
      <c r="Q1867" s="3">
        <v>0</v>
      </c>
    </row>
    <row r="1868" spans="1:17" hidden="1" x14ac:dyDescent="0.3">
      <c r="A1868">
        <v>24</v>
      </c>
      <c r="B1868" t="str">
        <f>VLOOKUP($A1868,[1]LISTA!$B:$C,2,0)</f>
        <v>JUNIO</v>
      </c>
      <c r="C1868" s="1">
        <v>2025</v>
      </c>
      <c r="D1868" s="1" t="str">
        <f>IF($A1868&lt;=[1]RESULTADOS!$D$6,"YTD","YTG")</f>
        <v>YTD</v>
      </c>
      <c r="E1868" t="s">
        <v>675</v>
      </c>
      <c r="F1868" t="s">
        <v>667</v>
      </c>
      <c r="G1868" t="s">
        <v>667</v>
      </c>
      <c r="H1868" t="s">
        <v>668</v>
      </c>
      <c r="I1868" t="s">
        <v>40</v>
      </c>
      <c r="J1868" t="str">
        <f>IFERROR(VLOOKUP(I1868,[1]AUTOS!$C:$G,2,0),"")</f>
        <v>VERSA</v>
      </c>
      <c r="K1868">
        <f>IFERROR(VLOOKUP(I1868,[1]AUTOS!$C:$G,3,0),"")</f>
        <v>2017</v>
      </c>
      <c r="L1868" t="str">
        <f>IFERROR(VLOOKUP(I1868,[1]AUTOS!$C:$G,4,0),"")</f>
        <v>ACERO</v>
      </c>
      <c r="M1868" t="s">
        <v>140</v>
      </c>
      <c r="N1868" s="3">
        <v>1857.79</v>
      </c>
      <c r="O1868" s="3">
        <v>2500</v>
      </c>
      <c r="P1868" s="3">
        <v>2467.79</v>
      </c>
      <c r="Q1868" s="3">
        <v>0</v>
      </c>
    </row>
    <row r="1869" spans="1:17" hidden="1" x14ac:dyDescent="0.3">
      <c r="A1869">
        <v>24</v>
      </c>
      <c r="B1869" t="str">
        <f>VLOOKUP($A1869,[1]LISTA!$B:$C,2,0)</f>
        <v>JUNIO</v>
      </c>
      <c r="C1869" s="1">
        <v>2025</v>
      </c>
      <c r="D1869" s="1" t="str">
        <f>IF($A1869&lt;=[1]RESULTADOS!$D$6,"YTD","YTG")</f>
        <v>YTD</v>
      </c>
      <c r="E1869" t="s">
        <v>695</v>
      </c>
      <c r="F1869" t="s">
        <v>667</v>
      </c>
      <c r="G1869" t="s">
        <v>667</v>
      </c>
      <c r="H1869" t="s">
        <v>668</v>
      </c>
      <c r="I1869" t="s">
        <v>34</v>
      </c>
      <c r="J1869" t="str">
        <f>IFERROR(VLOOKUP(I1869,[1]AUTOS!$C:$G,2,0),"")</f>
        <v>AVEO</v>
      </c>
      <c r="K1869">
        <f>IFERROR(VLOOKUP(I1869,[1]AUTOS!$C:$G,3,0),"")</f>
        <v>2018</v>
      </c>
      <c r="L1869" t="str">
        <f>IFERROR(VLOOKUP(I1869,[1]AUTOS!$C:$G,4,0),"")</f>
        <v>ROJO</v>
      </c>
      <c r="M1869" t="s">
        <v>140</v>
      </c>
      <c r="N1869" s="3">
        <v>1846.8899999999999</v>
      </c>
      <c r="O1869" s="3">
        <v>2500</v>
      </c>
      <c r="P1869" s="3">
        <v>3846.89</v>
      </c>
      <c r="Q1869" s="3">
        <v>500</v>
      </c>
    </row>
    <row r="1870" spans="1:17" hidden="1" x14ac:dyDescent="0.3">
      <c r="A1870">
        <v>24</v>
      </c>
      <c r="B1870" t="str">
        <f>VLOOKUP($A1870,[1]LISTA!$B:$C,2,0)</f>
        <v>JUNIO</v>
      </c>
      <c r="C1870" s="1">
        <v>2025</v>
      </c>
      <c r="D1870" s="1" t="str">
        <f>IF($A1870&lt;=[1]RESULTADOS!$D$6,"YTD","YTG")</f>
        <v>YTD</v>
      </c>
      <c r="E1870" t="s">
        <v>688</v>
      </c>
      <c r="F1870" t="s">
        <v>667</v>
      </c>
      <c r="G1870" t="s">
        <v>667</v>
      </c>
      <c r="H1870" t="s">
        <v>668</v>
      </c>
      <c r="I1870" t="s">
        <v>76</v>
      </c>
      <c r="J1870" t="str">
        <f>IFERROR(VLOOKUP(I1870,[1]AUTOS!$C:$G,2,0),"")</f>
        <v>AVEO</v>
      </c>
      <c r="K1870">
        <f>IFERROR(VLOOKUP(I1870,[1]AUTOS!$C:$G,3,0),"")</f>
        <v>2018</v>
      </c>
      <c r="L1870" t="str">
        <f>IFERROR(VLOOKUP(I1870,[1]AUTOS!$C:$G,4,0),"")</f>
        <v>GRIS</v>
      </c>
      <c r="M1870" t="s">
        <v>43</v>
      </c>
      <c r="N1870" s="3">
        <v>-620</v>
      </c>
      <c r="O1870" s="3">
        <v>0</v>
      </c>
      <c r="P1870" s="3">
        <v>-620</v>
      </c>
      <c r="Q1870" s="3">
        <v>0</v>
      </c>
    </row>
    <row r="1871" spans="1:17" hidden="1" x14ac:dyDescent="0.3">
      <c r="A1871">
        <v>24</v>
      </c>
      <c r="B1871" t="str">
        <f>VLOOKUP($A1871,[1]LISTA!$B:$C,2,0)</f>
        <v>JUNIO</v>
      </c>
      <c r="C1871" s="1">
        <v>2025</v>
      </c>
      <c r="D1871" s="1" t="str">
        <f>IF($A1871&lt;=[1]RESULTADOS!$D$6,"YTD","YTG")</f>
        <v>YTD</v>
      </c>
      <c r="E1871" t="s">
        <v>692</v>
      </c>
      <c r="F1871" t="s">
        <v>667</v>
      </c>
      <c r="G1871" t="s">
        <v>667</v>
      </c>
      <c r="H1871" t="s">
        <v>668</v>
      </c>
      <c r="I1871" t="s">
        <v>82</v>
      </c>
      <c r="J1871" t="str">
        <f>IFERROR(VLOOKUP(I1871,[1]AUTOS!$C:$G,2,0),"")</f>
        <v>AVEO</v>
      </c>
      <c r="K1871">
        <f>IFERROR(VLOOKUP(I1871,[1]AUTOS!$C:$G,3,0),"")</f>
        <v>2019</v>
      </c>
      <c r="L1871" t="str">
        <f>IFERROR(VLOOKUP(I1871,[1]AUTOS!$C:$G,4,0),"")</f>
        <v>PLATA</v>
      </c>
      <c r="M1871" t="s">
        <v>43</v>
      </c>
      <c r="N1871" s="3">
        <v>2716.6</v>
      </c>
      <c r="O1871" s="3">
        <v>2500</v>
      </c>
      <c r="P1871" s="3">
        <v>2716.6</v>
      </c>
      <c r="Q1871" s="3">
        <v>500</v>
      </c>
    </row>
    <row r="1872" spans="1:17" hidden="1" x14ac:dyDescent="0.3">
      <c r="A1872">
        <v>24</v>
      </c>
      <c r="B1872" t="str">
        <f>VLOOKUP($A1872,[1]LISTA!$B:$C,2,0)</f>
        <v>JUNIO</v>
      </c>
      <c r="C1872" s="1">
        <v>2025</v>
      </c>
      <c r="D1872" s="1" t="str">
        <f>IF($A1872&lt;=[1]RESULTADOS!$D$6,"YTD","YTG")</f>
        <v>YTD</v>
      </c>
      <c r="E1872" t="s">
        <v>403</v>
      </c>
      <c r="F1872" t="s">
        <v>667</v>
      </c>
      <c r="G1872" t="s">
        <v>667</v>
      </c>
      <c r="H1872" t="s">
        <v>668</v>
      </c>
      <c r="I1872" t="s">
        <v>51</v>
      </c>
      <c r="J1872" t="str">
        <f>IFERROR(VLOOKUP(I1872,[1]AUTOS!$C:$G,2,0),"")</f>
        <v>VENTO</v>
      </c>
      <c r="K1872">
        <f>IFERROR(VLOOKUP(I1872,[1]AUTOS!$C:$G,3,0),"")</f>
        <v>2017</v>
      </c>
      <c r="L1872" t="str">
        <f>IFERROR(VLOOKUP(I1872,[1]AUTOS!$C:$G,4,0),"")</f>
        <v>GRIS</v>
      </c>
      <c r="M1872" t="s">
        <v>43</v>
      </c>
      <c r="N1872" s="3">
        <v>2253.6099999999997</v>
      </c>
      <c r="O1872" s="3">
        <v>2300</v>
      </c>
      <c r="P1872" s="3">
        <v>2300.6099999999997</v>
      </c>
      <c r="Q1872" s="3">
        <v>0</v>
      </c>
    </row>
    <row r="1873" spans="1:17" hidden="1" x14ac:dyDescent="0.3">
      <c r="A1873">
        <v>24</v>
      </c>
      <c r="B1873" t="str">
        <f>VLOOKUP($A1873,[1]LISTA!$B:$C,2,0)</f>
        <v>JUNIO</v>
      </c>
      <c r="C1873" s="1">
        <v>2025</v>
      </c>
      <c r="D1873" s="1" t="str">
        <f>IF($A1873&lt;=[1]RESULTADOS!$D$6,"YTD","YTG")</f>
        <v>YTD</v>
      </c>
      <c r="E1873" t="s">
        <v>470</v>
      </c>
      <c r="F1873" t="s">
        <v>667</v>
      </c>
      <c r="G1873" t="s">
        <v>667</v>
      </c>
      <c r="H1873" t="s">
        <v>668</v>
      </c>
      <c r="I1873" t="s">
        <v>59</v>
      </c>
      <c r="J1873" t="str">
        <f>IFERROR(VLOOKUP(I1873,[1]AUTOS!$C:$G,2,0),"")</f>
        <v>AVEO</v>
      </c>
      <c r="K1873">
        <f>IFERROR(VLOOKUP(I1873,[1]AUTOS!$C:$G,3,0),"")</f>
        <v>2019</v>
      </c>
      <c r="L1873" t="str">
        <f>IFERROR(VLOOKUP(I1873,[1]AUTOS!$C:$G,4,0),"")</f>
        <v>BLANCO</v>
      </c>
      <c r="M1873" t="s">
        <v>43</v>
      </c>
      <c r="N1873" s="3">
        <v>5125.92</v>
      </c>
      <c r="O1873" s="3">
        <v>2500</v>
      </c>
      <c r="P1873" s="3">
        <v>3000</v>
      </c>
      <c r="Q1873" s="3">
        <v>0</v>
      </c>
    </row>
    <row r="1874" spans="1:17" hidden="1" x14ac:dyDescent="0.3">
      <c r="A1874">
        <v>24</v>
      </c>
      <c r="B1874" t="str">
        <f>VLOOKUP($A1874,[1]LISTA!$B:$C,2,0)</f>
        <v>JUNIO</v>
      </c>
      <c r="C1874" s="1">
        <v>2025</v>
      </c>
      <c r="D1874" s="1" t="str">
        <f>IF($A1874&lt;=[1]RESULTADOS!$D$6,"YTD","YTG")</f>
        <v>YTD</v>
      </c>
      <c r="E1874" t="s">
        <v>689</v>
      </c>
      <c r="F1874" t="s">
        <v>667</v>
      </c>
      <c r="G1874" t="s">
        <v>667</v>
      </c>
      <c r="H1874" t="s">
        <v>668</v>
      </c>
      <c r="I1874" t="s">
        <v>185</v>
      </c>
      <c r="J1874" t="str">
        <f>IFERROR(VLOOKUP(I1874,[1]AUTOS!$C:$G,2,0),"")</f>
        <v>MARCH</v>
      </c>
      <c r="K1874">
        <f>IFERROR(VLOOKUP(I1874,[1]AUTOS!$C:$G,3,0),"")</f>
        <v>2021</v>
      </c>
      <c r="L1874" t="str">
        <f>IFERROR(VLOOKUP(I1874,[1]AUTOS!$C:$G,4,0),"")</f>
        <v>ROJO</v>
      </c>
      <c r="M1874" t="s">
        <v>43</v>
      </c>
      <c r="N1874" s="3">
        <v>-1188.02</v>
      </c>
      <c r="O1874" s="3">
        <v>2500</v>
      </c>
      <c r="P1874" s="3">
        <v>1311.98</v>
      </c>
      <c r="Q1874" s="3">
        <v>0</v>
      </c>
    </row>
    <row r="1875" spans="1:17" hidden="1" x14ac:dyDescent="0.3">
      <c r="A1875">
        <v>25</v>
      </c>
      <c r="B1875" t="str">
        <f>VLOOKUP($A1875,[1]LISTA!$B:$C,2,0)</f>
        <v>JUNIO</v>
      </c>
      <c r="C1875" s="1">
        <v>2025</v>
      </c>
      <c r="D1875" s="1" t="str">
        <f>IF($A1875&lt;=[1]RESULTADOS!$D$6,"YTD","YTG")</f>
        <v>YTD</v>
      </c>
      <c r="E1875" t="s">
        <v>492</v>
      </c>
      <c r="F1875" t="s">
        <v>667</v>
      </c>
      <c r="G1875" t="s">
        <v>667</v>
      </c>
      <c r="H1875" t="s">
        <v>668</v>
      </c>
      <c r="I1875" t="s">
        <v>116</v>
      </c>
      <c r="J1875" t="str">
        <f>IFERROR(VLOOKUP(I1875,[1]AUTOS!$C:$G,2,0),"")</f>
        <v>AVEO</v>
      </c>
      <c r="K1875">
        <f>IFERROR(VLOOKUP(I1875,[1]AUTOS!$C:$G,3,0),"")</f>
        <v>2022</v>
      </c>
      <c r="L1875" t="str">
        <f>IFERROR(VLOOKUP(I1875,[1]AUTOS!$C:$G,4,0),"")</f>
        <v>AZUL</v>
      </c>
      <c r="M1875" t="s">
        <v>43</v>
      </c>
      <c r="N1875" s="3">
        <v>129.41</v>
      </c>
      <c r="O1875" s="3">
        <v>2500</v>
      </c>
      <c r="P1875" s="3">
        <v>3000.41</v>
      </c>
      <c r="Q1875" s="3">
        <v>0</v>
      </c>
    </row>
    <row r="1876" spans="1:17" hidden="1" x14ac:dyDescent="0.3">
      <c r="A1876">
        <v>25</v>
      </c>
      <c r="B1876" t="str">
        <f>VLOOKUP($A1876,[1]LISTA!$B:$C,2,0)</f>
        <v>JUNIO</v>
      </c>
      <c r="C1876" s="1">
        <v>2025</v>
      </c>
      <c r="D1876" s="1" t="str">
        <f>IF($A1876&lt;=[1]RESULTADOS!$D$6,"YTD","YTG")</f>
        <v>YTD</v>
      </c>
      <c r="E1876" t="s">
        <v>697</v>
      </c>
      <c r="F1876" t="s">
        <v>667</v>
      </c>
      <c r="G1876" t="s">
        <v>667</v>
      </c>
      <c r="H1876" t="s">
        <v>668</v>
      </c>
      <c r="I1876" t="s">
        <v>79</v>
      </c>
      <c r="J1876" t="str">
        <f>IFERROR(VLOOKUP(I1876,[1]AUTOS!$C:$G,2,0),"")</f>
        <v>AVEO</v>
      </c>
      <c r="K1876">
        <f>IFERROR(VLOOKUP(I1876,[1]AUTOS!$C:$G,3,0),"")</f>
        <v>2021</v>
      </c>
      <c r="L1876" t="str">
        <f>IFERROR(VLOOKUP(I1876,[1]AUTOS!$C:$G,4,0),"")</f>
        <v>OCRE</v>
      </c>
      <c r="M1876" t="s">
        <v>43</v>
      </c>
      <c r="N1876" s="3">
        <v>1392.13</v>
      </c>
      <c r="O1876" s="3">
        <v>714</v>
      </c>
      <c r="P1876" s="3">
        <v>1256</v>
      </c>
      <c r="Q1876" s="3">
        <v>142</v>
      </c>
    </row>
    <row r="1877" spans="1:17" hidden="1" x14ac:dyDescent="0.3">
      <c r="A1877">
        <v>25</v>
      </c>
      <c r="B1877" t="str">
        <f>VLOOKUP($A1877,[1]LISTA!$B:$C,2,0)</f>
        <v>JUNIO</v>
      </c>
      <c r="C1877" s="1">
        <v>2025</v>
      </c>
      <c r="D1877" s="1" t="str">
        <f>IF($A1877&lt;=[1]RESULTADOS!$D$6,"YTD","YTG")</f>
        <v>YTD</v>
      </c>
      <c r="E1877" t="s">
        <v>693</v>
      </c>
      <c r="F1877" t="s">
        <v>667</v>
      </c>
      <c r="G1877" t="s">
        <v>667</v>
      </c>
      <c r="H1877" t="s">
        <v>668</v>
      </c>
      <c r="I1877" t="s">
        <v>162</v>
      </c>
      <c r="J1877" t="str">
        <f>IFERROR(VLOOKUP(I1877,[1]AUTOS!$C:$G,2,0),"")</f>
        <v>HYUNDAI</v>
      </c>
      <c r="K1877">
        <f>IFERROR(VLOOKUP(I1877,[1]AUTOS!$C:$G,3,0),"")</f>
        <v>2022</v>
      </c>
      <c r="L1877" t="str">
        <f>IFERROR(VLOOKUP(I1877,[1]AUTOS!$C:$G,4,0),"")</f>
        <v>PLATA</v>
      </c>
      <c r="M1877" t="s">
        <v>43</v>
      </c>
      <c r="N1877" s="3">
        <v>3108.29</v>
      </c>
      <c r="O1877" s="3">
        <v>2500</v>
      </c>
      <c r="P1877" s="3">
        <v>3000</v>
      </c>
      <c r="Q1877" s="3">
        <v>500</v>
      </c>
    </row>
    <row r="1878" spans="1:17" hidden="1" x14ac:dyDescent="0.3">
      <c r="A1878">
        <v>25</v>
      </c>
      <c r="B1878" t="str">
        <f>VLOOKUP($A1878,[1]LISTA!$B:$C,2,0)</f>
        <v>JUNIO</v>
      </c>
      <c r="C1878" s="1">
        <v>2025</v>
      </c>
      <c r="D1878" s="1" t="str">
        <f>IF($A1878&lt;=[1]RESULTADOS!$D$6,"YTD","YTG")</f>
        <v>YTD</v>
      </c>
      <c r="E1878" t="s">
        <v>691</v>
      </c>
      <c r="F1878" t="s">
        <v>667</v>
      </c>
      <c r="G1878" t="s">
        <v>667</v>
      </c>
      <c r="H1878" t="s">
        <v>668</v>
      </c>
      <c r="I1878" t="s">
        <v>139</v>
      </c>
      <c r="J1878" t="str">
        <f>IFERROR(VLOOKUP(I1878,[1]AUTOS!$C:$G,2,0),"")</f>
        <v>SWIFT</v>
      </c>
      <c r="K1878">
        <f>IFERROR(VLOOKUP(I1878,[1]AUTOS!$C:$G,3,0),"")</f>
        <v>2017</v>
      </c>
      <c r="L1878" t="str">
        <f>IFERROR(VLOOKUP(I1878,[1]AUTOS!$C:$G,4,0),"")</f>
        <v>ROJO</v>
      </c>
      <c r="M1878" t="s">
        <v>43</v>
      </c>
      <c r="N1878" s="3">
        <v>3859.75</v>
      </c>
      <c r="O1878" s="3">
        <v>1964</v>
      </c>
      <c r="P1878" s="3">
        <v>3350</v>
      </c>
      <c r="Q1878" s="3">
        <v>500</v>
      </c>
    </row>
    <row r="1879" spans="1:17" hidden="1" x14ac:dyDescent="0.3">
      <c r="A1879">
        <v>25</v>
      </c>
      <c r="B1879" t="str">
        <f>VLOOKUP($A1879,[1]LISTA!$B:$C,2,0)</f>
        <v>JUNIO</v>
      </c>
      <c r="C1879" s="1">
        <v>2025</v>
      </c>
      <c r="D1879" s="1" t="str">
        <f>IF($A1879&lt;=[1]RESULTADOS!$D$6,"YTD","YTG")</f>
        <v>YTD</v>
      </c>
      <c r="E1879" t="s">
        <v>478</v>
      </c>
      <c r="F1879" t="s">
        <v>667</v>
      </c>
      <c r="G1879" t="s">
        <v>667</v>
      </c>
      <c r="H1879" t="s">
        <v>668</v>
      </c>
      <c r="I1879" t="s">
        <v>76</v>
      </c>
      <c r="J1879" t="str">
        <f>IFERROR(VLOOKUP(I1879,[1]AUTOS!$C:$G,2,0),"")</f>
        <v>AVEO</v>
      </c>
      <c r="K1879">
        <f>IFERROR(VLOOKUP(I1879,[1]AUTOS!$C:$G,3,0),"")</f>
        <v>2018</v>
      </c>
      <c r="L1879" t="str">
        <f>IFERROR(VLOOKUP(I1879,[1]AUTOS!$C:$G,4,0),"")</f>
        <v>GRIS</v>
      </c>
      <c r="M1879" t="s">
        <v>43</v>
      </c>
      <c r="N1879" s="3">
        <v>2998.96</v>
      </c>
      <c r="O1879" s="3">
        <v>2500</v>
      </c>
      <c r="P1879" s="3">
        <v>2915</v>
      </c>
      <c r="Q1879" s="3">
        <v>500</v>
      </c>
    </row>
    <row r="1880" spans="1:17" hidden="1" x14ac:dyDescent="0.3">
      <c r="A1880">
        <v>25</v>
      </c>
      <c r="B1880" t="str">
        <f>VLOOKUP($A1880,[1]LISTA!$B:$C,2,0)</f>
        <v>JUNIO</v>
      </c>
      <c r="C1880" s="1">
        <v>2025</v>
      </c>
      <c r="D1880" s="1" t="str">
        <f>IF($A1880&lt;=[1]RESULTADOS!$D$6,"YTD","YTG")</f>
        <v>YTD</v>
      </c>
      <c r="E1880" t="s">
        <v>690</v>
      </c>
      <c r="F1880" t="s">
        <v>667</v>
      </c>
      <c r="G1880" t="s">
        <v>667</v>
      </c>
      <c r="H1880" t="s">
        <v>668</v>
      </c>
      <c r="I1880" t="s">
        <v>61</v>
      </c>
      <c r="J1880" t="str">
        <f>IFERROR(VLOOKUP(I1880,[1]AUTOS!$C:$G,2,0),"")</f>
        <v>KIA RIO</v>
      </c>
      <c r="K1880">
        <f>IFERROR(VLOOKUP(I1880,[1]AUTOS!$C:$G,3,0),"")</f>
        <v>2017</v>
      </c>
      <c r="L1880" t="str">
        <f>IFERROR(VLOOKUP(I1880,[1]AUTOS!$C:$G,4,0),"")</f>
        <v>ROJO</v>
      </c>
      <c r="M1880" t="s">
        <v>35</v>
      </c>
      <c r="N1880" s="3">
        <v>0</v>
      </c>
      <c r="O1880" s="3">
        <v>0</v>
      </c>
      <c r="P1880" s="3">
        <v>0</v>
      </c>
      <c r="Q1880" s="3">
        <v>0</v>
      </c>
    </row>
    <row r="1881" spans="1:17" x14ac:dyDescent="0.3">
      <c r="A1881">
        <v>25</v>
      </c>
      <c r="B1881" t="str">
        <f>VLOOKUP($A1881,[1]LISTA!$B:$C,2,0)</f>
        <v>JUNIO</v>
      </c>
      <c r="C1881" s="1">
        <v>2025</v>
      </c>
      <c r="D1881" s="1" t="str">
        <f>IF($A1881&lt;=[1]RESULTADOS!$D$6,"YTD","YTG")</f>
        <v>YTD</v>
      </c>
      <c r="E1881" t="s">
        <v>436</v>
      </c>
      <c r="F1881" t="s">
        <v>667</v>
      </c>
      <c r="G1881" t="s">
        <v>667</v>
      </c>
      <c r="H1881" t="s">
        <v>668</v>
      </c>
      <c r="I1881" t="s">
        <v>72</v>
      </c>
      <c r="J1881" t="str">
        <f>IFERROR(VLOOKUP(I1881,[1]AUTOS!$C:$G,2,0),"")</f>
        <v>VENTO</v>
      </c>
      <c r="K1881">
        <f>IFERROR(VLOOKUP(I1881,[1]AUTOS!$C:$G,3,0),"")</f>
        <v>2020</v>
      </c>
      <c r="L1881" t="str">
        <f>IFERROR(VLOOKUP(I1881,[1]AUTOS!$C:$G,4,0),"")</f>
        <v>GRIS</v>
      </c>
      <c r="M1881" t="s">
        <v>43</v>
      </c>
      <c r="N1881" s="3">
        <v>2872.6799999999994</v>
      </c>
      <c r="O1881" s="3">
        <v>2500</v>
      </c>
      <c r="P1881" s="3">
        <v>2999.6799999999994</v>
      </c>
      <c r="Q1881" s="3">
        <v>500</v>
      </c>
    </row>
    <row r="1882" spans="1:17" hidden="1" x14ac:dyDescent="0.3">
      <c r="A1882">
        <v>25</v>
      </c>
      <c r="B1882" t="str">
        <f>VLOOKUP($A1882,[1]LISTA!$B:$C,2,0)</f>
        <v>JUNIO</v>
      </c>
      <c r="C1882" s="1">
        <v>2025</v>
      </c>
      <c r="D1882" s="1" t="str">
        <f>IF($A1882&lt;=[1]RESULTADOS!$D$6,"YTD","YTG")</f>
        <v>YTD</v>
      </c>
      <c r="E1882" t="s">
        <v>680</v>
      </c>
      <c r="F1882" t="s">
        <v>667</v>
      </c>
      <c r="G1882" t="s">
        <v>667</v>
      </c>
      <c r="H1882" t="s">
        <v>668</v>
      </c>
      <c r="I1882" t="s">
        <v>144</v>
      </c>
      <c r="J1882" t="str">
        <f>IFERROR(VLOOKUP(I1882,[1]AUTOS!$C:$G,2,0),"")</f>
        <v>VERSA</v>
      </c>
      <c r="K1882">
        <f>IFERROR(VLOOKUP(I1882,[1]AUTOS!$C:$G,3,0),"")</f>
        <v>2020</v>
      </c>
      <c r="L1882" t="str">
        <f>IFERROR(VLOOKUP(I1882,[1]AUTOS!$C:$G,4,0),"")</f>
        <v>ROJO</v>
      </c>
      <c r="M1882" t="s">
        <v>43</v>
      </c>
      <c r="N1882" s="3">
        <v>3925.39</v>
      </c>
      <c r="O1882" s="3">
        <v>2500</v>
      </c>
      <c r="P1882" s="3">
        <v>3000</v>
      </c>
      <c r="Q1882" s="3">
        <v>0</v>
      </c>
    </row>
    <row r="1883" spans="1:17" hidden="1" x14ac:dyDescent="0.3">
      <c r="A1883">
        <v>25</v>
      </c>
      <c r="B1883" t="str">
        <f>VLOOKUP($A1883,[1]LISTA!$B:$C,2,0)</f>
        <v>JUNIO</v>
      </c>
      <c r="C1883" s="1">
        <v>2025</v>
      </c>
      <c r="D1883" s="1" t="str">
        <f>IF($A1883&lt;=[1]RESULTADOS!$D$6,"YTD","YTG")</f>
        <v>YTD</v>
      </c>
      <c r="E1883" t="s">
        <v>456</v>
      </c>
      <c r="F1883" t="s">
        <v>667</v>
      </c>
      <c r="G1883" t="s">
        <v>667</v>
      </c>
      <c r="H1883" t="s">
        <v>668</v>
      </c>
      <c r="I1883" t="s">
        <v>146</v>
      </c>
      <c r="J1883" t="str">
        <f>IFERROR(VLOOKUP(I1883,[1]AUTOS!$C:$G,2,0),"")</f>
        <v>KIA RIO</v>
      </c>
      <c r="K1883">
        <f>IFERROR(VLOOKUP(I1883,[1]AUTOS!$C:$G,3,0),"")</f>
        <v>2023</v>
      </c>
      <c r="L1883" t="str">
        <f>IFERROR(VLOOKUP(I1883,[1]AUTOS!$C:$G,4,0),"")</f>
        <v>ROJO</v>
      </c>
      <c r="M1883" t="s">
        <v>140</v>
      </c>
      <c r="N1883" s="3">
        <v>3627.88</v>
      </c>
      <c r="O1883" s="3">
        <v>2500</v>
      </c>
      <c r="P1883" s="3">
        <v>3627.88</v>
      </c>
      <c r="Q1883" s="3">
        <v>0</v>
      </c>
    </row>
    <row r="1884" spans="1:17" hidden="1" x14ac:dyDescent="0.3">
      <c r="A1884">
        <v>25</v>
      </c>
      <c r="B1884" t="str">
        <f>VLOOKUP($A1884,[1]LISTA!$B:$C,2,0)</f>
        <v>JUNIO</v>
      </c>
      <c r="C1884" s="1">
        <v>2025</v>
      </c>
      <c r="D1884" s="1" t="str">
        <f>IF($A1884&lt;=[1]RESULTADOS!$D$6,"YTD","YTG")</f>
        <v>YTD</v>
      </c>
      <c r="E1884" t="s">
        <v>411</v>
      </c>
      <c r="F1884" t="s">
        <v>667</v>
      </c>
      <c r="G1884" t="s">
        <v>667</v>
      </c>
      <c r="H1884" t="s">
        <v>668</v>
      </c>
      <c r="I1884" t="s">
        <v>178</v>
      </c>
      <c r="J1884" t="str">
        <f>IFERROR(VLOOKUP(I1884,[1]AUTOS!$C:$G,2,0),"")</f>
        <v>VERSA</v>
      </c>
      <c r="K1884">
        <f>IFERROR(VLOOKUP(I1884,[1]AUTOS!$C:$G,3,0),"")</f>
        <v>2020</v>
      </c>
      <c r="L1884" t="str">
        <f>IFERROR(VLOOKUP(I1884,[1]AUTOS!$C:$G,4,0),"")</f>
        <v>BLANCO</v>
      </c>
      <c r="M1884" t="s">
        <v>43</v>
      </c>
      <c r="N1884" s="3">
        <v>4904.4799999999996</v>
      </c>
      <c r="O1884" s="3">
        <v>2500</v>
      </c>
      <c r="P1884" s="3">
        <v>2500</v>
      </c>
      <c r="Q1884" s="3">
        <v>0</v>
      </c>
    </row>
    <row r="1885" spans="1:17" hidden="1" x14ac:dyDescent="0.3">
      <c r="A1885">
        <v>25</v>
      </c>
      <c r="B1885" t="str">
        <f>VLOOKUP($A1885,[1]LISTA!$B:$C,2,0)</f>
        <v>JUNIO</v>
      </c>
      <c r="C1885" s="1">
        <v>2025</v>
      </c>
      <c r="D1885" s="1" t="str">
        <f>IF($A1885&lt;=[1]RESULTADOS!$D$6,"YTD","YTG")</f>
        <v>YTD</v>
      </c>
      <c r="E1885" t="s">
        <v>518</v>
      </c>
      <c r="F1885" t="s">
        <v>667</v>
      </c>
      <c r="G1885" t="s">
        <v>667</v>
      </c>
      <c r="H1885" t="s">
        <v>668</v>
      </c>
      <c r="I1885" t="s">
        <v>37</v>
      </c>
      <c r="J1885" t="str">
        <f>IFERROR(VLOOKUP(I1885,[1]AUTOS!$C:$G,2,0),"")</f>
        <v>BEAT</v>
      </c>
      <c r="K1885">
        <f>IFERROR(VLOOKUP(I1885,[1]AUTOS!$C:$G,3,0),"")</f>
        <v>2020</v>
      </c>
      <c r="L1885" t="str">
        <f>IFERROR(VLOOKUP(I1885,[1]AUTOS!$C:$G,4,0),"")</f>
        <v>GRIS</v>
      </c>
      <c r="M1885" t="s">
        <v>140</v>
      </c>
      <c r="N1885" s="3">
        <v>0</v>
      </c>
      <c r="O1885" s="3">
        <v>2500</v>
      </c>
      <c r="P1885" s="3">
        <v>0</v>
      </c>
      <c r="Q1885" s="3">
        <v>0</v>
      </c>
    </row>
    <row r="1886" spans="1:17" hidden="1" x14ac:dyDescent="0.3">
      <c r="A1886">
        <v>25</v>
      </c>
      <c r="B1886" t="str">
        <f>VLOOKUP($A1886,[1]LISTA!$B:$C,2,0)</f>
        <v>JUNIO</v>
      </c>
      <c r="C1886" s="1">
        <v>2025</v>
      </c>
      <c r="D1886" s="1" t="str">
        <f>IF($A1886&lt;=[1]RESULTADOS!$D$6,"YTD","YTG")</f>
        <v>YTD</v>
      </c>
      <c r="E1886" t="s">
        <v>526</v>
      </c>
      <c r="F1886" t="s">
        <v>667</v>
      </c>
      <c r="G1886" t="s">
        <v>667</v>
      </c>
      <c r="H1886" t="s">
        <v>668</v>
      </c>
      <c r="I1886" t="s">
        <v>67</v>
      </c>
      <c r="J1886" t="str">
        <f>IFERROR(VLOOKUP(I1886,[1]AUTOS!$C:$G,2,0),"")</f>
        <v>KIA RIO</v>
      </c>
      <c r="K1886">
        <f>IFERROR(VLOOKUP(I1886,[1]AUTOS!$C:$G,3,0),"")</f>
        <v>2020</v>
      </c>
      <c r="L1886" t="str">
        <f>IFERROR(VLOOKUP(I1886,[1]AUTOS!$C:$G,4,0),"")</f>
        <v>GRIS</v>
      </c>
      <c r="M1886" t="s">
        <v>43</v>
      </c>
      <c r="N1886" s="3">
        <v>5000.21</v>
      </c>
      <c r="O1886" s="3">
        <v>2500</v>
      </c>
      <c r="P1886" s="3">
        <v>2500</v>
      </c>
      <c r="Q1886" s="3">
        <v>0</v>
      </c>
    </row>
    <row r="1887" spans="1:17" hidden="1" x14ac:dyDescent="0.3">
      <c r="A1887">
        <v>25</v>
      </c>
      <c r="B1887" t="str">
        <f>VLOOKUP($A1887,[1]LISTA!$B:$C,2,0)</f>
        <v>JUNIO</v>
      </c>
      <c r="C1887" s="1">
        <v>2025</v>
      </c>
      <c r="D1887" s="1" t="str">
        <f>IF($A1887&lt;=[1]RESULTADOS!$D$6,"YTD","YTG")</f>
        <v>YTD</v>
      </c>
      <c r="E1887" t="s">
        <v>694</v>
      </c>
      <c r="F1887" t="s">
        <v>667</v>
      </c>
      <c r="G1887" t="s">
        <v>667</v>
      </c>
      <c r="H1887" t="s">
        <v>668</v>
      </c>
      <c r="I1887" t="s">
        <v>42</v>
      </c>
      <c r="J1887" t="str">
        <f>IFERROR(VLOOKUP(I1887,[1]AUTOS!$C:$G,2,0),"")</f>
        <v>VENTO</v>
      </c>
      <c r="K1887">
        <f>IFERROR(VLOOKUP(I1887,[1]AUTOS!$C:$G,3,0),"")</f>
        <v>2018</v>
      </c>
      <c r="L1887" t="str">
        <f>IFERROR(VLOOKUP(I1887,[1]AUTOS!$C:$G,4,0),"")</f>
        <v>AMARILLO</v>
      </c>
      <c r="M1887" t="s">
        <v>43</v>
      </c>
      <c r="N1887" s="3">
        <v>1498.19</v>
      </c>
      <c r="O1887" s="3">
        <v>2500</v>
      </c>
      <c r="P1887" s="3">
        <v>2498.19</v>
      </c>
      <c r="Q1887" s="3">
        <v>500</v>
      </c>
    </row>
    <row r="1888" spans="1:17" hidden="1" x14ac:dyDescent="0.3">
      <c r="A1888">
        <v>25</v>
      </c>
      <c r="B1888" t="str">
        <f>VLOOKUP($A1888,[1]LISTA!$B:$C,2,0)</f>
        <v>JUNIO</v>
      </c>
      <c r="C1888" s="1">
        <v>2025</v>
      </c>
      <c r="D1888" s="1" t="str">
        <f>IF($A1888&lt;=[1]RESULTADOS!$D$6,"YTD","YTG")</f>
        <v>YTD</v>
      </c>
      <c r="E1888" t="s">
        <v>674</v>
      </c>
      <c r="F1888" t="s">
        <v>667</v>
      </c>
      <c r="G1888" t="s">
        <v>667</v>
      </c>
      <c r="H1888" t="s">
        <v>668</v>
      </c>
      <c r="I1888" t="s">
        <v>46</v>
      </c>
      <c r="J1888" t="str">
        <f>IFERROR(VLOOKUP(I1888,[1]AUTOS!$C:$G,2,0),"")</f>
        <v>MARCH</v>
      </c>
      <c r="K1888">
        <f>IFERROR(VLOOKUP(I1888,[1]AUTOS!$C:$G,3,0),"")</f>
        <v>2020</v>
      </c>
      <c r="L1888" t="str">
        <f>IFERROR(VLOOKUP(I1888,[1]AUTOS!$C:$G,4,0),"")</f>
        <v>TURQ</v>
      </c>
      <c r="M1888" t="s">
        <v>43</v>
      </c>
      <c r="N1888" s="3">
        <v>1885.8</v>
      </c>
      <c r="O1888" s="3">
        <v>2500</v>
      </c>
      <c r="P1888" s="3">
        <v>1885.8</v>
      </c>
      <c r="Q1888" s="3">
        <v>0</v>
      </c>
    </row>
    <row r="1889" spans="1:17" hidden="1" x14ac:dyDescent="0.3">
      <c r="A1889">
        <v>25</v>
      </c>
      <c r="B1889" t="str">
        <f>VLOOKUP($A1889,[1]LISTA!$B:$C,2,0)</f>
        <v>JUNIO</v>
      </c>
      <c r="C1889" s="1">
        <v>2025</v>
      </c>
      <c r="D1889" s="1" t="str">
        <f>IF($A1889&lt;=[1]RESULTADOS!$D$6,"YTD","YTG")</f>
        <v>YTD</v>
      </c>
      <c r="E1889" t="s">
        <v>681</v>
      </c>
      <c r="F1889" t="s">
        <v>667</v>
      </c>
      <c r="G1889" t="s">
        <v>667</v>
      </c>
      <c r="H1889" t="s">
        <v>668</v>
      </c>
      <c r="I1889" t="s">
        <v>102</v>
      </c>
      <c r="J1889" t="str">
        <f>IFERROR(VLOOKUP(I1889,[1]AUTOS!$C:$G,2,0),"")</f>
        <v>AVEO</v>
      </c>
      <c r="K1889">
        <f>IFERROR(VLOOKUP(I1889,[1]AUTOS!$C:$G,3,0),"")</f>
        <v>2022</v>
      </c>
      <c r="L1889" t="str">
        <f>IFERROR(VLOOKUP(I1889,[1]AUTOS!$C:$G,4,0),"")</f>
        <v>AZUL</v>
      </c>
      <c r="M1889" t="s">
        <v>43</v>
      </c>
      <c r="N1889" s="3">
        <v>3985.9</v>
      </c>
      <c r="O1889" s="3">
        <v>2500</v>
      </c>
      <c r="P1889" s="3">
        <v>2549</v>
      </c>
      <c r="Q1889" s="3">
        <v>0</v>
      </c>
    </row>
    <row r="1890" spans="1:17" hidden="1" x14ac:dyDescent="0.3">
      <c r="A1890">
        <v>25</v>
      </c>
      <c r="B1890" t="str">
        <f>VLOOKUP($A1890,[1]LISTA!$B:$C,2,0)</f>
        <v>JUNIO</v>
      </c>
      <c r="C1890" s="1">
        <v>2025</v>
      </c>
      <c r="D1890" s="1" t="str">
        <f>IF($A1890&lt;=[1]RESULTADOS!$D$6,"YTD","YTG")</f>
        <v>YTD</v>
      </c>
      <c r="E1890" t="s">
        <v>675</v>
      </c>
      <c r="F1890" t="s">
        <v>667</v>
      </c>
      <c r="G1890" t="s">
        <v>667</v>
      </c>
      <c r="H1890" t="s">
        <v>668</v>
      </c>
      <c r="I1890" t="s">
        <v>40</v>
      </c>
      <c r="J1890" t="str">
        <f>IFERROR(VLOOKUP(I1890,[1]AUTOS!$C:$G,2,0),"")</f>
        <v>VERSA</v>
      </c>
      <c r="K1890">
        <f>IFERROR(VLOOKUP(I1890,[1]AUTOS!$C:$G,3,0),"")</f>
        <v>2017</v>
      </c>
      <c r="L1890" t="str">
        <f>IFERROR(VLOOKUP(I1890,[1]AUTOS!$C:$G,4,0),"")</f>
        <v>ACERO</v>
      </c>
      <c r="M1890" t="s">
        <v>140</v>
      </c>
      <c r="N1890" s="3">
        <v>621.8900000000001</v>
      </c>
      <c r="O1890" s="3">
        <v>2500</v>
      </c>
      <c r="P1890" s="3">
        <v>2421.8900000000003</v>
      </c>
      <c r="Q1890" s="3">
        <v>0</v>
      </c>
    </row>
    <row r="1891" spans="1:17" hidden="1" x14ac:dyDescent="0.3">
      <c r="A1891">
        <v>25</v>
      </c>
      <c r="B1891" t="str">
        <f>VLOOKUP($A1891,[1]LISTA!$B:$C,2,0)</f>
        <v>JUNIO</v>
      </c>
      <c r="C1891" s="1">
        <v>2025</v>
      </c>
      <c r="D1891" s="1" t="str">
        <f>IF($A1891&lt;=[1]RESULTADOS!$D$6,"YTD","YTG")</f>
        <v>YTD</v>
      </c>
      <c r="E1891" t="s">
        <v>695</v>
      </c>
      <c r="F1891" t="s">
        <v>667</v>
      </c>
      <c r="G1891" t="s">
        <v>667</v>
      </c>
      <c r="H1891" t="s">
        <v>668</v>
      </c>
      <c r="I1891" t="s">
        <v>34</v>
      </c>
      <c r="J1891" t="str">
        <f>IFERROR(VLOOKUP(I1891,[1]AUTOS!$C:$G,2,0),"")</f>
        <v>AVEO</v>
      </c>
      <c r="K1891">
        <f>IFERROR(VLOOKUP(I1891,[1]AUTOS!$C:$G,3,0),"")</f>
        <v>2018</v>
      </c>
      <c r="L1891" t="str">
        <f>IFERROR(VLOOKUP(I1891,[1]AUTOS!$C:$G,4,0),"")</f>
        <v>ROJO</v>
      </c>
      <c r="M1891" t="s">
        <v>140</v>
      </c>
      <c r="N1891" s="3">
        <v>2067.1999999999998</v>
      </c>
      <c r="O1891" s="3">
        <v>2500</v>
      </c>
      <c r="P1891" s="3">
        <v>2067.1999999999998</v>
      </c>
      <c r="Q1891" s="3">
        <v>500</v>
      </c>
    </row>
    <row r="1892" spans="1:17" hidden="1" x14ac:dyDescent="0.3">
      <c r="A1892">
        <v>25</v>
      </c>
      <c r="B1892" t="str">
        <f>VLOOKUP($A1892,[1]LISTA!$B:$C,2,0)</f>
        <v>JUNIO</v>
      </c>
      <c r="C1892" s="1">
        <v>2025</v>
      </c>
      <c r="D1892" s="1" t="str">
        <f>IF($A1892&lt;=[1]RESULTADOS!$D$6,"YTD","YTG")</f>
        <v>YTD</v>
      </c>
      <c r="E1892" t="s">
        <v>688</v>
      </c>
      <c r="F1892" t="s">
        <v>667</v>
      </c>
      <c r="G1892" t="s">
        <v>667</v>
      </c>
      <c r="H1892" t="s">
        <v>668</v>
      </c>
      <c r="I1892" t="s">
        <v>76</v>
      </c>
      <c r="J1892" t="str">
        <f>IFERROR(VLOOKUP(I1892,[1]AUTOS!$C:$G,2,0),"")</f>
        <v>AVEO</v>
      </c>
      <c r="K1892">
        <f>IFERROR(VLOOKUP(I1892,[1]AUTOS!$C:$G,3,0),"")</f>
        <v>2018</v>
      </c>
      <c r="L1892" t="str">
        <f>IFERROR(VLOOKUP(I1892,[1]AUTOS!$C:$G,4,0),"")</f>
        <v>GRIS</v>
      </c>
      <c r="M1892" t="s">
        <v>43</v>
      </c>
      <c r="N1892" s="3">
        <v>0</v>
      </c>
      <c r="O1892" s="3">
        <v>0</v>
      </c>
      <c r="P1892" s="3">
        <v>0</v>
      </c>
      <c r="Q1892" s="3">
        <v>-2152</v>
      </c>
    </row>
    <row r="1893" spans="1:17" hidden="1" x14ac:dyDescent="0.3">
      <c r="A1893">
        <v>25</v>
      </c>
      <c r="B1893" t="str">
        <f>VLOOKUP($A1893,[1]LISTA!$B:$C,2,0)</f>
        <v>JUNIO</v>
      </c>
      <c r="C1893" s="1">
        <v>2025</v>
      </c>
      <c r="D1893" s="1" t="str">
        <f>IF($A1893&lt;=[1]RESULTADOS!$D$6,"YTD","YTG")</f>
        <v>YTD</v>
      </c>
      <c r="E1893" t="s">
        <v>692</v>
      </c>
      <c r="F1893" t="s">
        <v>667</v>
      </c>
      <c r="G1893" t="s">
        <v>667</v>
      </c>
      <c r="H1893" t="s">
        <v>668</v>
      </c>
      <c r="I1893" t="s">
        <v>82</v>
      </c>
      <c r="J1893" t="str">
        <f>IFERROR(VLOOKUP(I1893,[1]AUTOS!$C:$G,2,0),"")</f>
        <v>AVEO</v>
      </c>
      <c r="K1893">
        <f>IFERROR(VLOOKUP(I1893,[1]AUTOS!$C:$G,3,0),"")</f>
        <v>2019</v>
      </c>
      <c r="L1893" t="str">
        <f>IFERROR(VLOOKUP(I1893,[1]AUTOS!$C:$G,4,0),"")</f>
        <v>PLATA</v>
      </c>
      <c r="M1893" t="s">
        <v>43</v>
      </c>
      <c r="N1893" s="3">
        <v>1004.62</v>
      </c>
      <c r="O1893" s="3">
        <v>0</v>
      </c>
      <c r="P1893" s="3">
        <v>263</v>
      </c>
      <c r="Q1893" s="3">
        <v>0</v>
      </c>
    </row>
    <row r="1894" spans="1:17" hidden="1" x14ac:dyDescent="0.3">
      <c r="A1894">
        <v>25</v>
      </c>
      <c r="B1894" t="str">
        <f>VLOOKUP($A1894,[1]LISTA!$B:$C,2,0)</f>
        <v>JUNIO</v>
      </c>
      <c r="C1894" s="1">
        <v>2025</v>
      </c>
      <c r="D1894" s="1" t="str">
        <f>IF($A1894&lt;=[1]RESULTADOS!$D$6,"YTD","YTG")</f>
        <v>YTD</v>
      </c>
      <c r="E1894" t="s">
        <v>403</v>
      </c>
      <c r="F1894" t="s">
        <v>667</v>
      </c>
      <c r="G1894" t="s">
        <v>667</v>
      </c>
      <c r="H1894" t="s">
        <v>668</v>
      </c>
      <c r="I1894" t="s">
        <v>51</v>
      </c>
      <c r="J1894" t="str">
        <f>IFERROR(VLOOKUP(I1894,[1]AUTOS!$C:$G,2,0),"")</f>
        <v>VENTO</v>
      </c>
      <c r="K1894">
        <f>IFERROR(VLOOKUP(I1894,[1]AUTOS!$C:$G,3,0),"")</f>
        <v>2017</v>
      </c>
      <c r="L1894" t="str">
        <f>IFERROR(VLOOKUP(I1894,[1]AUTOS!$C:$G,4,0),"")</f>
        <v>GRIS</v>
      </c>
      <c r="M1894" t="s">
        <v>43</v>
      </c>
      <c r="N1894" s="3">
        <v>1487.5299999999997</v>
      </c>
      <c r="O1894" s="3">
        <v>1971</v>
      </c>
      <c r="P1894" s="3">
        <v>1969.5299999999997</v>
      </c>
      <c r="Q1894" s="3">
        <v>0</v>
      </c>
    </row>
    <row r="1895" spans="1:17" hidden="1" x14ac:dyDescent="0.3">
      <c r="A1895">
        <v>25</v>
      </c>
      <c r="B1895" t="str">
        <f>VLOOKUP($A1895,[1]LISTA!$B:$C,2,0)</f>
        <v>JUNIO</v>
      </c>
      <c r="C1895" s="1">
        <v>2025</v>
      </c>
      <c r="D1895" s="1" t="str">
        <f>IF($A1895&lt;=[1]RESULTADOS!$D$6,"YTD","YTG")</f>
        <v>YTD</v>
      </c>
      <c r="E1895" t="s">
        <v>698</v>
      </c>
      <c r="F1895" t="s">
        <v>667</v>
      </c>
      <c r="G1895" t="s">
        <v>667</v>
      </c>
      <c r="H1895" t="s">
        <v>668</v>
      </c>
      <c r="I1895" t="s">
        <v>82</v>
      </c>
      <c r="J1895" t="str">
        <f>IFERROR(VLOOKUP(I1895,[1]AUTOS!$C:$G,2,0),"")</f>
        <v>AVEO</v>
      </c>
      <c r="K1895">
        <f>IFERROR(VLOOKUP(I1895,[1]AUTOS!$C:$G,3,0),"")</f>
        <v>2019</v>
      </c>
      <c r="L1895" t="str">
        <f>IFERROR(VLOOKUP(I1895,[1]AUTOS!$C:$G,4,0),"")</f>
        <v>PLATA</v>
      </c>
      <c r="M1895" t="s">
        <v>43</v>
      </c>
      <c r="N1895" s="3">
        <v>502.39999999999986</v>
      </c>
      <c r="O1895" s="3">
        <v>357</v>
      </c>
      <c r="P1895" s="3">
        <v>429</v>
      </c>
      <c r="Q1895" s="3">
        <v>72</v>
      </c>
    </row>
    <row r="1896" spans="1:17" hidden="1" x14ac:dyDescent="0.3">
      <c r="A1896">
        <v>25</v>
      </c>
      <c r="B1896" t="str">
        <f>VLOOKUP($A1896,[1]LISTA!$B:$C,2,0)</f>
        <v>JUNIO</v>
      </c>
      <c r="C1896" s="1">
        <v>2025</v>
      </c>
      <c r="D1896" s="1" t="str">
        <f>IF($A1896&lt;=[1]RESULTADOS!$D$6,"YTD","YTG")</f>
        <v>YTD</v>
      </c>
      <c r="E1896" t="s">
        <v>470</v>
      </c>
      <c r="F1896" t="s">
        <v>667</v>
      </c>
      <c r="G1896" t="s">
        <v>667</v>
      </c>
      <c r="H1896" t="s">
        <v>668</v>
      </c>
      <c r="I1896" t="s">
        <v>59</v>
      </c>
      <c r="J1896" t="str">
        <f>IFERROR(VLOOKUP(I1896,[1]AUTOS!$C:$G,2,0),"")</f>
        <v>AVEO</v>
      </c>
      <c r="K1896">
        <f>IFERROR(VLOOKUP(I1896,[1]AUTOS!$C:$G,3,0),"")</f>
        <v>2019</v>
      </c>
      <c r="L1896" t="str">
        <f>IFERROR(VLOOKUP(I1896,[1]AUTOS!$C:$G,4,0),"")</f>
        <v>BLANCO</v>
      </c>
      <c r="M1896" t="s">
        <v>43</v>
      </c>
      <c r="N1896" s="3">
        <v>3399.0300000000007</v>
      </c>
      <c r="O1896" s="3">
        <v>2500</v>
      </c>
      <c r="P1896" s="3">
        <v>3000</v>
      </c>
      <c r="Q1896" s="3">
        <v>0</v>
      </c>
    </row>
    <row r="1897" spans="1:17" hidden="1" x14ac:dyDescent="0.3">
      <c r="A1897">
        <v>25</v>
      </c>
      <c r="B1897" t="str">
        <f>VLOOKUP($A1897,[1]LISTA!$B:$C,2,0)</f>
        <v>JUNIO</v>
      </c>
      <c r="C1897" s="1">
        <v>2025</v>
      </c>
      <c r="D1897" s="1" t="str">
        <f>IF($A1897&lt;=[1]RESULTADOS!$D$6,"YTD","YTG")</f>
        <v>YTD</v>
      </c>
      <c r="E1897" t="s">
        <v>689</v>
      </c>
      <c r="F1897" t="s">
        <v>667</v>
      </c>
      <c r="G1897" t="s">
        <v>667</v>
      </c>
      <c r="H1897" t="s">
        <v>668</v>
      </c>
      <c r="I1897" t="s">
        <v>185</v>
      </c>
      <c r="J1897" t="str">
        <f>IFERROR(VLOOKUP(I1897,[1]AUTOS!$C:$G,2,0),"")</f>
        <v>MARCH</v>
      </c>
      <c r="K1897">
        <f>IFERROR(VLOOKUP(I1897,[1]AUTOS!$C:$G,3,0),"")</f>
        <v>2021</v>
      </c>
      <c r="L1897" t="str">
        <f>IFERROR(VLOOKUP(I1897,[1]AUTOS!$C:$G,4,0),"")</f>
        <v>ROJO</v>
      </c>
      <c r="M1897" t="s">
        <v>43</v>
      </c>
      <c r="N1897" s="3">
        <v>307.05999999999995</v>
      </c>
      <c r="O1897" s="3">
        <v>2500</v>
      </c>
      <c r="P1897" s="3">
        <v>2807.06</v>
      </c>
      <c r="Q1897" s="3">
        <v>0</v>
      </c>
    </row>
    <row r="1898" spans="1:17" hidden="1" x14ac:dyDescent="0.3">
      <c r="A1898">
        <v>26</v>
      </c>
      <c r="B1898" t="str">
        <f>VLOOKUP($A1898,[1]LISTA!$B:$C,2,0)</f>
        <v>JUNIO</v>
      </c>
      <c r="C1898" s="1">
        <v>2025</v>
      </c>
      <c r="D1898" s="1" t="str">
        <f>IF($A1898&lt;=[1]RESULTADOS!$D$6,"YTD","YTG")</f>
        <v>YTD</v>
      </c>
      <c r="E1898" t="s">
        <v>492</v>
      </c>
      <c r="F1898" t="s">
        <v>667</v>
      </c>
      <c r="G1898" t="s">
        <v>667</v>
      </c>
      <c r="H1898" t="s">
        <v>668</v>
      </c>
      <c r="I1898" t="s">
        <v>116</v>
      </c>
      <c r="J1898" t="str">
        <f>IFERROR(VLOOKUP(I1898,[1]AUTOS!$C:$G,2,0),"")</f>
        <v>AVEO</v>
      </c>
      <c r="K1898">
        <f>IFERROR(VLOOKUP(I1898,[1]AUTOS!$C:$G,3,0),"")</f>
        <v>2022</v>
      </c>
      <c r="L1898" t="str">
        <f>IFERROR(VLOOKUP(I1898,[1]AUTOS!$C:$G,4,0),"")</f>
        <v>AZUL</v>
      </c>
      <c r="M1898" t="s">
        <v>43</v>
      </c>
      <c r="N1898" s="3">
        <v>686.1</v>
      </c>
      <c r="O1898" s="3">
        <v>2500</v>
      </c>
      <c r="P1898" s="3">
        <v>2999.1</v>
      </c>
      <c r="Q1898" s="3">
        <v>0</v>
      </c>
    </row>
    <row r="1899" spans="1:17" hidden="1" x14ac:dyDescent="0.3">
      <c r="A1899">
        <v>26</v>
      </c>
      <c r="B1899" t="str">
        <f>VLOOKUP($A1899,[1]LISTA!$B:$C,2,0)</f>
        <v>JUNIO</v>
      </c>
      <c r="C1899" s="1">
        <v>2025</v>
      </c>
      <c r="D1899" s="1" t="str">
        <f>IF($A1899&lt;=[1]RESULTADOS!$D$6,"YTD","YTG")</f>
        <v>YTD</v>
      </c>
      <c r="E1899" t="s">
        <v>693</v>
      </c>
      <c r="F1899" t="s">
        <v>667</v>
      </c>
      <c r="G1899" t="s">
        <v>667</v>
      </c>
      <c r="H1899" t="s">
        <v>668</v>
      </c>
      <c r="I1899" t="s">
        <v>162</v>
      </c>
      <c r="J1899" t="str">
        <f>IFERROR(VLOOKUP(I1899,[1]AUTOS!$C:$G,2,0),"")</f>
        <v>HYUNDAI</v>
      </c>
      <c r="K1899">
        <f>IFERROR(VLOOKUP(I1899,[1]AUTOS!$C:$G,3,0),"")</f>
        <v>2022</v>
      </c>
      <c r="L1899" t="str">
        <f>IFERROR(VLOOKUP(I1899,[1]AUTOS!$C:$G,4,0),"")</f>
        <v>PLATA</v>
      </c>
      <c r="M1899" t="s">
        <v>43</v>
      </c>
      <c r="N1899" s="3">
        <v>2008.8200000000002</v>
      </c>
      <c r="O1899" s="3">
        <v>2500</v>
      </c>
      <c r="P1899" s="3">
        <v>2008.8200000000002</v>
      </c>
      <c r="Q1899" s="3">
        <v>0</v>
      </c>
    </row>
    <row r="1900" spans="1:17" hidden="1" x14ac:dyDescent="0.3">
      <c r="A1900">
        <v>26</v>
      </c>
      <c r="B1900" t="str">
        <f>VLOOKUP($A1900,[1]LISTA!$B:$C,2,0)</f>
        <v>JUNIO</v>
      </c>
      <c r="C1900" s="1">
        <v>2025</v>
      </c>
      <c r="D1900" s="1" t="str">
        <f>IF($A1900&lt;=[1]RESULTADOS!$D$6,"YTD","YTG")</f>
        <v>YTD</v>
      </c>
      <c r="E1900" t="s">
        <v>691</v>
      </c>
      <c r="F1900" t="s">
        <v>667</v>
      </c>
      <c r="G1900" t="s">
        <v>667</v>
      </c>
      <c r="H1900" t="s">
        <v>668</v>
      </c>
      <c r="I1900" t="s">
        <v>79</v>
      </c>
      <c r="J1900" t="str">
        <f>IFERROR(VLOOKUP(I1900,[1]AUTOS!$C:$G,2,0),"")</f>
        <v>AVEO</v>
      </c>
      <c r="K1900">
        <f>IFERROR(VLOOKUP(I1900,[1]AUTOS!$C:$G,3,0),"")</f>
        <v>2021</v>
      </c>
      <c r="L1900" t="str">
        <f>IFERROR(VLOOKUP(I1900,[1]AUTOS!$C:$G,4,0),"")</f>
        <v>OCRE</v>
      </c>
      <c r="M1900" t="s">
        <v>43</v>
      </c>
      <c r="N1900" s="3">
        <v>3666.1</v>
      </c>
      <c r="O1900" s="3">
        <v>2500</v>
      </c>
      <c r="P1900" s="3">
        <v>3000</v>
      </c>
      <c r="Q1900" s="3">
        <v>500</v>
      </c>
    </row>
    <row r="1901" spans="1:17" hidden="1" x14ac:dyDescent="0.3">
      <c r="A1901">
        <v>26</v>
      </c>
      <c r="B1901" t="str">
        <f>VLOOKUP($A1901,[1]LISTA!$B:$C,2,0)</f>
        <v>JUNIO</v>
      </c>
      <c r="C1901" s="1">
        <v>2025</v>
      </c>
      <c r="D1901" s="1" t="str">
        <f>IF($A1901&lt;=[1]RESULTADOS!$D$6,"YTD","YTG")</f>
        <v>YTD</v>
      </c>
      <c r="E1901" t="s">
        <v>478</v>
      </c>
      <c r="F1901" t="s">
        <v>667</v>
      </c>
      <c r="G1901" t="s">
        <v>667</v>
      </c>
      <c r="H1901" t="s">
        <v>668</v>
      </c>
      <c r="I1901" t="s">
        <v>76</v>
      </c>
      <c r="J1901" t="str">
        <f>IFERROR(VLOOKUP(I1901,[1]AUTOS!$C:$G,2,0),"")</f>
        <v>AVEO</v>
      </c>
      <c r="K1901">
        <f>IFERROR(VLOOKUP(I1901,[1]AUTOS!$C:$G,3,0),"")</f>
        <v>2018</v>
      </c>
      <c r="L1901" t="str">
        <f>IFERROR(VLOOKUP(I1901,[1]AUTOS!$C:$G,4,0),"")</f>
        <v>GRIS</v>
      </c>
      <c r="M1901" t="s">
        <v>43</v>
      </c>
      <c r="N1901" s="3">
        <v>3411.3900000000017</v>
      </c>
      <c r="O1901" s="3">
        <v>2500</v>
      </c>
      <c r="P1901" s="3">
        <v>3000</v>
      </c>
      <c r="Q1901" s="3">
        <v>500</v>
      </c>
    </row>
    <row r="1902" spans="1:17" x14ac:dyDescent="0.3">
      <c r="A1902">
        <v>26</v>
      </c>
      <c r="B1902" t="str">
        <f>VLOOKUP($A1902,[1]LISTA!$B:$C,2,0)</f>
        <v>JUNIO</v>
      </c>
      <c r="C1902" s="1">
        <v>2025</v>
      </c>
      <c r="D1902" s="1" t="str">
        <f>IF($A1902&lt;=[1]RESULTADOS!$D$6,"YTD","YTG")</f>
        <v>YTD</v>
      </c>
      <c r="E1902" t="s">
        <v>436</v>
      </c>
      <c r="F1902" t="s">
        <v>667</v>
      </c>
      <c r="G1902" t="s">
        <v>667</v>
      </c>
      <c r="H1902" t="s">
        <v>668</v>
      </c>
      <c r="I1902" t="s">
        <v>72</v>
      </c>
      <c r="J1902" t="str">
        <f>IFERROR(VLOOKUP(I1902,[1]AUTOS!$C:$G,2,0),"")</f>
        <v>VENTO</v>
      </c>
      <c r="K1902">
        <f>IFERROR(VLOOKUP(I1902,[1]AUTOS!$C:$G,3,0),"")</f>
        <v>2020</v>
      </c>
      <c r="L1902" t="str">
        <f>IFERROR(VLOOKUP(I1902,[1]AUTOS!$C:$G,4,0),"")</f>
        <v>GRIS</v>
      </c>
      <c r="M1902" t="s">
        <v>43</v>
      </c>
      <c r="N1902" s="3">
        <v>2699.7499999999986</v>
      </c>
      <c r="O1902" s="3">
        <v>2500</v>
      </c>
      <c r="P1902" s="3">
        <v>2649</v>
      </c>
      <c r="Q1902" s="3">
        <v>500</v>
      </c>
    </row>
    <row r="1903" spans="1:17" hidden="1" x14ac:dyDescent="0.3">
      <c r="A1903">
        <v>26</v>
      </c>
      <c r="B1903" t="str">
        <f>VLOOKUP($A1903,[1]LISTA!$B:$C,2,0)</f>
        <v>JUNIO</v>
      </c>
      <c r="C1903" s="1">
        <v>2025</v>
      </c>
      <c r="D1903" s="1" t="str">
        <f>IF($A1903&lt;=[1]RESULTADOS!$D$6,"YTD","YTG")</f>
        <v>YTD</v>
      </c>
      <c r="E1903" t="s">
        <v>699</v>
      </c>
      <c r="F1903" t="s">
        <v>667</v>
      </c>
      <c r="G1903" t="s">
        <v>667</v>
      </c>
      <c r="H1903" t="s">
        <v>668</v>
      </c>
      <c r="I1903" t="s">
        <v>79</v>
      </c>
      <c r="J1903" t="str">
        <f>IFERROR(VLOOKUP(I1903,[1]AUTOS!$C:$G,2,0),"")</f>
        <v>AVEO</v>
      </c>
      <c r="K1903">
        <f>IFERROR(VLOOKUP(I1903,[1]AUTOS!$C:$G,3,0),"")</f>
        <v>2021</v>
      </c>
      <c r="L1903" t="str">
        <f>IFERROR(VLOOKUP(I1903,[1]AUTOS!$C:$G,4,0),"")</f>
        <v>OCRE</v>
      </c>
      <c r="M1903" t="s">
        <v>43</v>
      </c>
      <c r="N1903" s="3">
        <v>434.47</v>
      </c>
      <c r="O1903" s="3">
        <v>714.28</v>
      </c>
      <c r="P1903" s="3">
        <v>714.47</v>
      </c>
      <c r="Q1903" s="3">
        <v>0</v>
      </c>
    </row>
    <row r="1904" spans="1:17" hidden="1" x14ac:dyDescent="0.3">
      <c r="A1904">
        <v>26</v>
      </c>
      <c r="B1904" t="str">
        <f>VLOOKUP($A1904,[1]LISTA!$B:$C,2,0)</f>
        <v>JUNIO</v>
      </c>
      <c r="C1904" s="1">
        <v>2025</v>
      </c>
      <c r="D1904" s="1" t="str">
        <f>IF($A1904&lt;=[1]RESULTADOS!$D$6,"YTD","YTG")</f>
        <v>YTD</v>
      </c>
      <c r="E1904" t="s">
        <v>680</v>
      </c>
      <c r="F1904" t="s">
        <v>667</v>
      </c>
      <c r="G1904" t="s">
        <v>667</v>
      </c>
      <c r="H1904" t="s">
        <v>668</v>
      </c>
      <c r="I1904" t="s">
        <v>144</v>
      </c>
      <c r="J1904" t="str">
        <f>IFERROR(VLOOKUP(I1904,[1]AUTOS!$C:$G,2,0),"")</f>
        <v>VERSA</v>
      </c>
      <c r="K1904">
        <f>IFERROR(VLOOKUP(I1904,[1]AUTOS!$C:$G,3,0),"")</f>
        <v>2020</v>
      </c>
      <c r="L1904" t="str">
        <f>IFERROR(VLOOKUP(I1904,[1]AUTOS!$C:$G,4,0),"")</f>
        <v>ROJO</v>
      </c>
      <c r="M1904" t="s">
        <v>43</v>
      </c>
      <c r="N1904" s="3">
        <v>2740.3000000000006</v>
      </c>
      <c r="O1904" s="3">
        <v>2500</v>
      </c>
      <c r="P1904" s="3">
        <v>2740.3000000000006</v>
      </c>
      <c r="Q1904" s="3">
        <v>0</v>
      </c>
    </row>
    <row r="1905" spans="1:17" hidden="1" x14ac:dyDescent="0.3">
      <c r="A1905">
        <v>26</v>
      </c>
      <c r="B1905" t="str">
        <f>VLOOKUP($A1905,[1]LISTA!$B:$C,2,0)</f>
        <v>JUNIO</v>
      </c>
      <c r="C1905" s="1">
        <v>2025</v>
      </c>
      <c r="D1905" s="1" t="str">
        <f>IF($A1905&lt;=[1]RESULTADOS!$D$6,"YTD","YTG")</f>
        <v>YTD</v>
      </c>
      <c r="E1905" t="s">
        <v>456</v>
      </c>
      <c r="F1905" t="s">
        <v>667</v>
      </c>
      <c r="G1905" t="s">
        <v>667</v>
      </c>
      <c r="H1905" t="s">
        <v>668</v>
      </c>
      <c r="I1905" t="s">
        <v>146</v>
      </c>
      <c r="J1905" t="str">
        <f>IFERROR(VLOOKUP(I1905,[1]AUTOS!$C:$G,2,0),"")</f>
        <v>KIA RIO</v>
      </c>
      <c r="K1905">
        <f>IFERROR(VLOOKUP(I1905,[1]AUTOS!$C:$G,3,0),"")</f>
        <v>2023</v>
      </c>
      <c r="L1905" t="str">
        <f>IFERROR(VLOOKUP(I1905,[1]AUTOS!$C:$G,4,0),"")</f>
        <v>ROJO</v>
      </c>
      <c r="M1905" t="s">
        <v>140</v>
      </c>
      <c r="N1905" s="3">
        <v>5966.1000000000022</v>
      </c>
      <c r="O1905" s="3">
        <v>2500</v>
      </c>
      <c r="P1905" s="3">
        <v>3472.12</v>
      </c>
      <c r="Q1905" s="3">
        <v>0</v>
      </c>
    </row>
    <row r="1906" spans="1:17" hidden="1" x14ac:dyDescent="0.3">
      <c r="A1906">
        <v>26</v>
      </c>
      <c r="B1906" t="str">
        <f>VLOOKUP($A1906,[1]LISTA!$B:$C,2,0)</f>
        <v>JUNIO</v>
      </c>
      <c r="C1906" s="1">
        <v>2025</v>
      </c>
      <c r="D1906" s="1" t="str">
        <f>IF($A1906&lt;=[1]RESULTADOS!$D$6,"YTD","YTG")</f>
        <v>YTD</v>
      </c>
      <c r="E1906" t="s">
        <v>411</v>
      </c>
      <c r="F1906" t="s">
        <v>667</v>
      </c>
      <c r="G1906" t="s">
        <v>667</v>
      </c>
      <c r="H1906" t="s">
        <v>668</v>
      </c>
      <c r="I1906" t="s">
        <v>178</v>
      </c>
      <c r="J1906" t="str">
        <f>IFERROR(VLOOKUP(I1906,[1]AUTOS!$C:$G,2,0),"")</f>
        <v>VERSA</v>
      </c>
      <c r="K1906">
        <f>IFERROR(VLOOKUP(I1906,[1]AUTOS!$C:$G,3,0),"")</f>
        <v>2020</v>
      </c>
      <c r="L1906" t="str">
        <f>IFERROR(VLOOKUP(I1906,[1]AUTOS!$C:$G,4,0),"")</f>
        <v>BLANCO</v>
      </c>
      <c r="M1906" t="s">
        <v>43</v>
      </c>
      <c r="N1906" s="3">
        <v>6211.54</v>
      </c>
      <c r="O1906" s="3">
        <v>2500</v>
      </c>
      <c r="P1906" s="3">
        <v>2500</v>
      </c>
      <c r="Q1906" s="3">
        <v>0</v>
      </c>
    </row>
    <row r="1907" spans="1:17" hidden="1" x14ac:dyDescent="0.3">
      <c r="A1907">
        <v>26</v>
      </c>
      <c r="B1907" t="str">
        <f>VLOOKUP($A1907,[1]LISTA!$B:$C,2,0)</f>
        <v>JUNIO</v>
      </c>
      <c r="C1907" s="1">
        <v>2025</v>
      </c>
      <c r="D1907" s="1" t="str">
        <f>IF($A1907&lt;=[1]RESULTADOS!$D$6,"YTD","YTG")</f>
        <v>YTD</v>
      </c>
      <c r="E1907" t="s">
        <v>526</v>
      </c>
      <c r="F1907" t="s">
        <v>667</v>
      </c>
      <c r="G1907" t="s">
        <v>667</v>
      </c>
      <c r="H1907" t="s">
        <v>668</v>
      </c>
      <c r="I1907" t="s">
        <v>67</v>
      </c>
      <c r="J1907" t="str">
        <f>IFERROR(VLOOKUP(I1907,[1]AUTOS!$C:$G,2,0),"")</f>
        <v>KIA RIO</v>
      </c>
      <c r="K1907">
        <f>IFERROR(VLOOKUP(I1907,[1]AUTOS!$C:$G,3,0),"")</f>
        <v>2020</v>
      </c>
      <c r="L1907" t="str">
        <f>IFERROR(VLOOKUP(I1907,[1]AUTOS!$C:$G,4,0),"")</f>
        <v>GRIS</v>
      </c>
      <c r="M1907" t="s">
        <v>43</v>
      </c>
      <c r="N1907" s="3">
        <v>4940.8899999999976</v>
      </c>
      <c r="O1907" s="3">
        <v>2500</v>
      </c>
      <c r="P1907" s="3">
        <v>2500</v>
      </c>
      <c r="Q1907" s="3">
        <v>0</v>
      </c>
    </row>
    <row r="1908" spans="1:17" hidden="1" x14ac:dyDescent="0.3">
      <c r="A1908">
        <v>26</v>
      </c>
      <c r="B1908" t="str">
        <f>VLOOKUP($A1908,[1]LISTA!$B:$C,2,0)</f>
        <v>JUNIO</v>
      </c>
      <c r="C1908" s="1">
        <v>2025</v>
      </c>
      <c r="D1908" s="1" t="str">
        <f>IF($A1908&lt;=[1]RESULTADOS!$D$6,"YTD","YTG")</f>
        <v>YTD</v>
      </c>
      <c r="E1908" t="s">
        <v>694</v>
      </c>
      <c r="F1908" t="s">
        <v>667</v>
      </c>
      <c r="G1908" t="s">
        <v>667</v>
      </c>
      <c r="H1908" t="s">
        <v>668</v>
      </c>
      <c r="I1908" t="s">
        <v>42</v>
      </c>
      <c r="J1908" t="str">
        <f>IFERROR(VLOOKUP(I1908,[1]AUTOS!$C:$G,2,0),"")</f>
        <v>VENTO</v>
      </c>
      <c r="K1908">
        <f>IFERROR(VLOOKUP(I1908,[1]AUTOS!$C:$G,3,0),"")</f>
        <v>2018</v>
      </c>
      <c r="L1908" t="str">
        <f>IFERROR(VLOOKUP(I1908,[1]AUTOS!$C:$G,4,0),"")</f>
        <v>AMARILLO</v>
      </c>
      <c r="M1908" t="s">
        <v>43</v>
      </c>
      <c r="N1908" s="3">
        <v>911.92999999999984</v>
      </c>
      <c r="O1908" s="3">
        <v>2142</v>
      </c>
      <c r="P1908" s="3">
        <v>911.92999999999984</v>
      </c>
      <c r="Q1908" s="3">
        <v>500</v>
      </c>
    </row>
    <row r="1909" spans="1:17" hidden="1" x14ac:dyDescent="0.3">
      <c r="A1909">
        <v>26</v>
      </c>
      <c r="B1909" t="str">
        <f>VLOOKUP($A1909,[1]LISTA!$B:$C,2,0)</f>
        <v>JUNIO</v>
      </c>
      <c r="C1909" s="1">
        <v>2025</v>
      </c>
      <c r="D1909" s="1" t="str">
        <f>IF($A1909&lt;=[1]RESULTADOS!$D$6,"YTD","YTG")</f>
        <v>YTD</v>
      </c>
      <c r="E1909" t="s">
        <v>674</v>
      </c>
      <c r="F1909" t="s">
        <v>667</v>
      </c>
      <c r="G1909" t="s">
        <v>667</v>
      </c>
      <c r="H1909" t="s">
        <v>668</v>
      </c>
      <c r="I1909" t="s">
        <v>182</v>
      </c>
      <c r="J1909" t="str">
        <f>IFERROR(VLOOKUP(I1909,[1]AUTOS!$C:$G,2,0),"")</f>
        <v>AVEO</v>
      </c>
      <c r="K1909">
        <f>IFERROR(VLOOKUP(I1909,[1]AUTOS!$C:$G,3,0),"")</f>
        <v>2020</v>
      </c>
      <c r="L1909" t="str">
        <f>IFERROR(VLOOKUP(I1909,[1]AUTOS!$C:$G,4,0),"")</f>
        <v>AZUL</v>
      </c>
      <c r="M1909" t="s">
        <v>43</v>
      </c>
      <c r="N1909" s="3">
        <v>3691.83</v>
      </c>
      <c r="O1909" s="3">
        <v>2500</v>
      </c>
      <c r="P1909" s="3">
        <v>3242</v>
      </c>
      <c r="Q1909" s="3">
        <v>0</v>
      </c>
    </row>
    <row r="1910" spans="1:17" hidden="1" x14ac:dyDescent="0.3">
      <c r="A1910">
        <v>26</v>
      </c>
      <c r="B1910" t="str">
        <f>VLOOKUP($A1910,[1]LISTA!$B:$C,2,0)</f>
        <v>JUNIO</v>
      </c>
      <c r="C1910" s="1">
        <v>2025</v>
      </c>
      <c r="D1910" s="1" t="str">
        <f>IF($A1910&lt;=[1]RESULTADOS!$D$6,"YTD","YTG")</f>
        <v>YTD</v>
      </c>
      <c r="E1910" t="s">
        <v>681</v>
      </c>
      <c r="F1910" t="s">
        <v>667</v>
      </c>
      <c r="G1910" t="s">
        <v>667</v>
      </c>
      <c r="H1910" t="s">
        <v>668</v>
      </c>
      <c r="I1910" t="s">
        <v>102</v>
      </c>
      <c r="J1910" t="str">
        <f>IFERROR(VLOOKUP(I1910,[1]AUTOS!$C:$G,2,0),"")</f>
        <v>AVEO</v>
      </c>
      <c r="K1910">
        <f>IFERROR(VLOOKUP(I1910,[1]AUTOS!$C:$G,3,0),"")</f>
        <v>2022</v>
      </c>
      <c r="L1910" t="str">
        <f>IFERROR(VLOOKUP(I1910,[1]AUTOS!$C:$G,4,0),"")</f>
        <v>AZUL</v>
      </c>
      <c r="M1910" t="s">
        <v>43</v>
      </c>
      <c r="N1910" s="3">
        <v>4640.470000000003</v>
      </c>
      <c r="O1910" s="3">
        <v>2500</v>
      </c>
      <c r="P1910" s="3">
        <v>2500</v>
      </c>
      <c r="Q1910" s="3">
        <v>0</v>
      </c>
    </row>
    <row r="1911" spans="1:17" hidden="1" x14ac:dyDescent="0.3">
      <c r="A1911">
        <v>26</v>
      </c>
      <c r="B1911" t="str">
        <f>VLOOKUP($A1911,[1]LISTA!$B:$C,2,0)</f>
        <v>JUNIO</v>
      </c>
      <c r="C1911" s="1">
        <v>2025</v>
      </c>
      <c r="D1911" s="1" t="str">
        <f>IF($A1911&lt;=[1]RESULTADOS!$D$6,"YTD","YTG")</f>
        <v>YTD</v>
      </c>
      <c r="E1911" t="s">
        <v>675</v>
      </c>
      <c r="F1911" t="s">
        <v>667</v>
      </c>
      <c r="G1911" t="s">
        <v>667</v>
      </c>
      <c r="H1911" t="s">
        <v>668</v>
      </c>
      <c r="I1911" t="s">
        <v>40</v>
      </c>
      <c r="J1911" t="str">
        <f>IFERROR(VLOOKUP(I1911,[1]AUTOS!$C:$G,2,0),"")</f>
        <v>VERSA</v>
      </c>
      <c r="K1911">
        <f>IFERROR(VLOOKUP(I1911,[1]AUTOS!$C:$G,3,0),"")</f>
        <v>2017</v>
      </c>
      <c r="L1911" t="str">
        <f>IFERROR(VLOOKUP(I1911,[1]AUTOS!$C:$G,4,0),"")</f>
        <v>ACERO</v>
      </c>
      <c r="M1911" t="s">
        <v>140</v>
      </c>
      <c r="N1911" s="3">
        <v>2640.29</v>
      </c>
      <c r="O1911" s="3">
        <v>2500</v>
      </c>
      <c r="P1911" s="3">
        <v>2640.29</v>
      </c>
      <c r="Q1911" s="3">
        <v>0</v>
      </c>
    </row>
    <row r="1912" spans="1:17" hidden="1" x14ac:dyDescent="0.3">
      <c r="A1912">
        <v>26</v>
      </c>
      <c r="B1912" t="str">
        <f>VLOOKUP($A1912,[1]LISTA!$B:$C,2,0)</f>
        <v>JUNIO</v>
      </c>
      <c r="C1912" s="1">
        <v>2025</v>
      </c>
      <c r="D1912" s="1" t="str">
        <f>IF($A1912&lt;=[1]RESULTADOS!$D$6,"YTD","YTG")</f>
        <v>YTD</v>
      </c>
      <c r="E1912" t="s">
        <v>563</v>
      </c>
      <c r="F1912" t="s">
        <v>667</v>
      </c>
      <c r="G1912" t="s">
        <v>667</v>
      </c>
      <c r="H1912" t="s">
        <v>668</v>
      </c>
      <c r="I1912" t="s">
        <v>61</v>
      </c>
      <c r="J1912" t="str">
        <f>IFERROR(VLOOKUP(I1912,[1]AUTOS!$C:$G,2,0),"")</f>
        <v>KIA RIO</v>
      </c>
      <c r="K1912">
        <f>IFERROR(VLOOKUP(I1912,[1]AUTOS!$C:$G,3,0),"")</f>
        <v>2017</v>
      </c>
      <c r="L1912" t="str">
        <f>IFERROR(VLOOKUP(I1912,[1]AUTOS!$C:$G,4,0),"")</f>
        <v>ROJO</v>
      </c>
      <c r="M1912" t="s">
        <v>140</v>
      </c>
      <c r="N1912" s="3">
        <v>2795.8999999999983</v>
      </c>
      <c r="O1912" s="3">
        <v>1249.9999999999995</v>
      </c>
      <c r="P1912" s="3">
        <v>1249.9999999999995</v>
      </c>
      <c r="Q1912" s="3">
        <v>0</v>
      </c>
    </row>
    <row r="1913" spans="1:17" hidden="1" x14ac:dyDescent="0.3">
      <c r="A1913">
        <v>26</v>
      </c>
      <c r="B1913" t="str">
        <f>VLOOKUP($A1913,[1]LISTA!$B:$C,2,0)</f>
        <v>JUNIO</v>
      </c>
      <c r="C1913" s="1">
        <v>2025</v>
      </c>
      <c r="D1913" s="1" t="str">
        <f>IF($A1913&lt;=[1]RESULTADOS!$D$6,"YTD","YTG")</f>
        <v>YTD</v>
      </c>
      <c r="E1913" t="s">
        <v>695</v>
      </c>
      <c r="F1913" t="s">
        <v>667</v>
      </c>
      <c r="G1913" t="s">
        <v>667</v>
      </c>
      <c r="H1913" t="s">
        <v>668</v>
      </c>
      <c r="I1913" t="s">
        <v>34</v>
      </c>
      <c r="J1913" t="str">
        <f>IFERROR(VLOOKUP(I1913,[1]AUTOS!$C:$G,2,0),"")</f>
        <v>AVEO</v>
      </c>
      <c r="K1913">
        <f>IFERROR(VLOOKUP(I1913,[1]AUTOS!$C:$G,3,0),"")</f>
        <v>2018</v>
      </c>
      <c r="L1913" t="str">
        <f>IFERROR(VLOOKUP(I1913,[1]AUTOS!$C:$G,4,0),"")</f>
        <v>ROJO</v>
      </c>
      <c r="M1913" t="s">
        <v>140</v>
      </c>
      <c r="N1913" s="3">
        <v>3117.4599999999991</v>
      </c>
      <c r="O1913" s="3">
        <v>2500</v>
      </c>
      <c r="P1913" s="3">
        <v>3917.4599999999991</v>
      </c>
      <c r="Q1913" s="3">
        <v>500</v>
      </c>
    </row>
    <row r="1914" spans="1:17" hidden="1" x14ac:dyDescent="0.3">
      <c r="A1914">
        <v>26</v>
      </c>
      <c r="B1914" t="str">
        <f>VLOOKUP($A1914,[1]LISTA!$B:$C,2,0)</f>
        <v>JUNIO</v>
      </c>
      <c r="C1914" s="1">
        <v>2025</v>
      </c>
      <c r="D1914" s="1" t="str">
        <f>IF($A1914&lt;=[1]RESULTADOS!$D$6,"YTD","YTG")</f>
        <v>YTD</v>
      </c>
      <c r="E1914" t="s">
        <v>403</v>
      </c>
      <c r="F1914" t="s">
        <v>667</v>
      </c>
      <c r="G1914" t="s">
        <v>667</v>
      </c>
      <c r="H1914" t="s">
        <v>668</v>
      </c>
      <c r="I1914" t="s">
        <v>51</v>
      </c>
      <c r="J1914" t="str">
        <f>IFERROR(VLOOKUP(I1914,[1]AUTOS!$C:$G,2,0),"")</f>
        <v>VENTO</v>
      </c>
      <c r="K1914">
        <f>IFERROR(VLOOKUP(I1914,[1]AUTOS!$C:$G,3,0),"")</f>
        <v>2017</v>
      </c>
      <c r="L1914" t="str">
        <f>IFERROR(VLOOKUP(I1914,[1]AUTOS!$C:$G,4,0),"")</f>
        <v>GRIS</v>
      </c>
      <c r="M1914" t="s">
        <v>43</v>
      </c>
      <c r="N1914" s="3">
        <v>3842.08</v>
      </c>
      <c r="O1914" s="3">
        <v>2300</v>
      </c>
      <c r="P1914" s="3">
        <v>2300</v>
      </c>
      <c r="Q1914" s="3">
        <v>0</v>
      </c>
    </row>
    <row r="1915" spans="1:17" hidden="1" x14ac:dyDescent="0.3">
      <c r="A1915">
        <v>26</v>
      </c>
      <c r="B1915" t="str">
        <f>VLOOKUP($A1915,[1]LISTA!$B:$C,2,0)</f>
        <v>JUNIO</v>
      </c>
      <c r="C1915" s="1">
        <v>2025</v>
      </c>
      <c r="D1915" s="1" t="str">
        <f>IF($A1915&lt;=[1]RESULTADOS!$D$6,"YTD","YTG")</f>
        <v>YTD</v>
      </c>
      <c r="E1915" t="s">
        <v>698</v>
      </c>
      <c r="F1915" t="s">
        <v>667</v>
      </c>
      <c r="G1915" t="s">
        <v>667</v>
      </c>
      <c r="H1915" t="s">
        <v>668</v>
      </c>
      <c r="I1915" t="s">
        <v>59</v>
      </c>
      <c r="J1915" t="str">
        <f>IFERROR(VLOOKUP(I1915,[1]AUTOS!$C:$G,2,0),"")</f>
        <v>AVEO</v>
      </c>
      <c r="K1915">
        <f>IFERROR(VLOOKUP(I1915,[1]AUTOS!$C:$G,3,0),"")</f>
        <v>2019</v>
      </c>
      <c r="L1915" t="str">
        <f>IFERROR(VLOOKUP(I1915,[1]AUTOS!$C:$G,4,0),"")</f>
        <v>BLANCO</v>
      </c>
      <c r="M1915" t="s">
        <v>43</v>
      </c>
      <c r="N1915" s="3">
        <v>944.28000000000065</v>
      </c>
      <c r="O1915" s="3">
        <v>2500</v>
      </c>
      <c r="P1915" s="3">
        <v>944.28000000000065</v>
      </c>
      <c r="Q1915" s="3">
        <v>500</v>
      </c>
    </row>
    <row r="1916" spans="1:17" hidden="1" x14ac:dyDescent="0.3">
      <c r="A1916">
        <v>26</v>
      </c>
      <c r="B1916" t="str">
        <f>VLOOKUP($A1916,[1]LISTA!$B:$C,2,0)</f>
        <v>JUNIO</v>
      </c>
      <c r="C1916" s="1">
        <v>2025</v>
      </c>
      <c r="D1916" s="1" t="str">
        <f>IF($A1916&lt;=[1]RESULTADOS!$D$6,"YTD","YTG")</f>
        <v>YTD</v>
      </c>
      <c r="E1916" t="s">
        <v>470</v>
      </c>
      <c r="F1916" t="s">
        <v>667</v>
      </c>
      <c r="G1916" t="s">
        <v>667</v>
      </c>
      <c r="H1916" t="s">
        <v>668</v>
      </c>
      <c r="I1916" t="s">
        <v>73</v>
      </c>
      <c r="J1916" t="str">
        <f>IFERROR(VLOOKUP(I1916,[1]AUTOS!$C:$G,2,0),"")</f>
        <v>VERSA</v>
      </c>
      <c r="K1916">
        <f>IFERROR(VLOOKUP(I1916,[1]AUTOS!$C:$G,3,0),"")</f>
        <v>2023</v>
      </c>
      <c r="L1916" t="str">
        <f>IFERROR(VLOOKUP(I1916,[1]AUTOS!$C:$G,4,0),"")</f>
        <v>PLATA</v>
      </c>
      <c r="M1916" t="s">
        <v>43</v>
      </c>
      <c r="N1916" s="3">
        <v>2907.5199999999982</v>
      </c>
      <c r="O1916" s="3">
        <v>2500</v>
      </c>
      <c r="P1916" s="3">
        <v>2500</v>
      </c>
      <c r="Q1916" s="3">
        <v>0</v>
      </c>
    </row>
    <row r="1917" spans="1:17" hidden="1" x14ac:dyDescent="0.3">
      <c r="A1917">
        <v>26</v>
      </c>
      <c r="B1917" t="str">
        <f>VLOOKUP($A1917,[1]LISTA!$B:$C,2,0)</f>
        <v>JUNIO</v>
      </c>
      <c r="C1917" s="1">
        <v>2025</v>
      </c>
      <c r="D1917" s="1" t="str">
        <f>IF($A1917&lt;=[1]RESULTADOS!$D$6,"YTD","YTG")</f>
        <v>YTD</v>
      </c>
      <c r="E1917" t="s">
        <v>402</v>
      </c>
      <c r="F1917" t="s">
        <v>667</v>
      </c>
      <c r="G1917" t="s">
        <v>667</v>
      </c>
      <c r="H1917" t="s">
        <v>668</v>
      </c>
      <c r="I1917" t="s">
        <v>59</v>
      </c>
      <c r="J1917" t="str">
        <f>IFERROR(VLOOKUP(I1917,[1]AUTOS!$C:$G,2,0),"")</f>
        <v>AVEO</v>
      </c>
      <c r="K1917">
        <f>IFERROR(VLOOKUP(I1917,[1]AUTOS!$C:$G,3,0),"")</f>
        <v>2019</v>
      </c>
      <c r="L1917" t="str">
        <f>IFERROR(VLOOKUP(I1917,[1]AUTOS!$C:$G,4,0),"")</f>
        <v>BLANCO</v>
      </c>
      <c r="M1917" t="s">
        <v>43</v>
      </c>
      <c r="N1917" s="3">
        <v>425.73</v>
      </c>
      <c r="O1917" s="3">
        <v>1249.9999999999995</v>
      </c>
      <c r="P1917" s="3">
        <v>1749.73</v>
      </c>
      <c r="Q1917" s="3">
        <v>500</v>
      </c>
    </row>
    <row r="1918" spans="1:17" hidden="1" x14ac:dyDescent="0.3">
      <c r="A1918">
        <v>26</v>
      </c>
      <c r="B1918" t="str">
        <f>VLOOKUP($A1918,[1]LISTA!$B:$C,2,0)</f>
        <v>JUNIO</v>
      </c>
      <c r="C1918" s="1">
        <v>2025</v>
      </c>
      <c r="D1918" s="1" t="str">
        <f>IF($A1918&lt;=[1]RESULTADOS!$D$6,"YTD","YTG")</f>
        <v>YTD</v>
      </c>
      <c r="E1918" t="s">
        <v>700</v>
      </c>
      <c r="F1918" t="s">
        <v>667</v>
      </c>
      <c r="G1918" t="s">
        <v>667</v>
      </c>
      <c r="H1918" t="s">
        <v>668</v>
      </c>
      <c r="I1918" t="s">
        <v>370</v>
      </c>
      <c r="J1918" t="str">
        <f>IFERROR(VLOOKUP(I1918,[1]AUTOS!$C:$G,2,0),"")</f>
        <v>KIA RIO</v>
      </c>
      <c r="K1918">
        <f>IFERROR(VLOOKUP(I1918,[1]AUTOS!$C:$G,3,0),"")</f>
        <v>2020</v>
      </c>
      <c r="L1918" t="str">
        <f>IFERROR(VLOOKUP(I1918,[1]AUTOS!$C:$G,4,0),"")</f>
        <v>AZUL</v>
      </c>
      <c r="M1918" t="s">
        <v>215</v>
      </c>
      <c r="N1918" s="3">
        <v>3355.5400000000004</v>
      </c>
      <c r="O1918" s="3">
        <v>1607.1428571428564</v>
      </c>
      <c r="P1918" s="3">
        <v>1928.5714285714278</v>
      </c>
      <c r="Q1918" s="3">
        <v>321.42857142857133</v>
      </c>
    </row>
    <row r="1919" spans="1:17" hidden="1" x14ac:dyDescent="0.3">
      <c r="A1919">
        <v>26</v>
      </c>
      <c r="B1919" t="str">
        <f>VLOOKUP($A1919,[1]LISTA!$B:$C,2,0)</f>
        <v>JUNIO</v>
      </c>
      <c r="C1919" s="1">
        <v>2025</v>
      </c>
      <c r="D1919" s="1" t="str">
        <f>IF($A1919&lt;=[1]RESULTADOS!$D$6,"YTD","YTG")</f>
        <v>YTD</v>
      </c>
      <c r="E1919" t="s">
        <v>689</v>
      </c>
      <c r="F1919" t="s">
        <v>667</v>
      </c>
      <c r="G1919" t="s">
        <v>667</v>
      </c>
      <c r="H1919" t="s">
        <v>668</v>
      </c>
      <c r="I1919" t="s">
        <v>185</v>
      </c>
      <c r="J1919" t="str">
        <f>IFERROR(VLOOKUP(I1919,[1]AUTOS!$C:$G,2,0),"")</f>
        <v>MARCH</v>
      </c>
      <c r="K1919">
        <f>IFERROR(VLOOKUP(I1919,[1]AUTOS!$C:$G,3,0),"")</f>
        <v>2021</v>
      </c>
      <c r="L1919" t="str">
        <f>IFERROR(VLOOKUP(I1919,[1]AUTOS!$C:$G,4,0),"")</f>
        <v>ROJO</v>
      </c>
      <c r="M1919" t="s">
        <v>43</v>
      </c>
      <c r="N1919" s="3">
        <v>563.11</v>
      </c>
      <c r="O1919" s="3">
        <v>2500</v>
      </c>
      <c r="P1919" s="3">
        <v>2927.11</v>
      </c>
      <c r="Q1919" s="3">
        <v>0</v>
      </c>
    </row>
    <row r="1920" spans="1:17" x14ac:dyDescent="0.3">
      <c r="A1920">
        <v>27</v>
      </c>
      <c r="B1920" t="str">
        <f>VLOOKUP($A1920,[1]LISTA!$B:$C,2,0)</f>
        <v>JULIO</v>
      </c>
      <c r="C1920" s="1">
        <v>2025</v>
      </c>
      <c r="D1920" s="1" t="str">
        <f>IF($A1920&lt;=[1]RESULTADOS!$D$6,"YTD","YTG")</f>
        <v>YTD</v>
      </c>
      <c r="E1920" t="s">
        <v>492</v>
      </c>
      <c r="F1920" t="s">
        <v>667</v>
      </c>
      <c r="G1920" t="s">
        <v>667</v>
      </c>
      <c r="H1920" t="s">
        <v>668</v>
      </c>
      <c r="I1920" t="s">
        <v>72</v>
      </c>
      <c r="J1920" t="str">
        <f>IFERROR(VLOOKUP(I1920,[1]AUTOS!$C:$G,2,0),"")</f>
        <v>VENTO</v>
      </c>
      <c r="K1920">
        <f>IFERROR(VLOOKUP(I1920,[1]AUTOS!$C:$G,3,0),"")</f>
        <v>2020</v>
      </c>
      <c r="L1920" t="str">
        <f>IFERROR(VLOOKUP(I1920,[1]AUTOS!$C:$G,4,0),"")</f>
        <v>GRIS</v>
      </c>
      <c r="M1920" t="s">
        <v>43</v>
      </c>
      <c r="N1920" s="3">
        <v>108.76999999999998</v>
      </c>
      <c r="O1920" s="3">
        <v>2500</v>
      </c>
      <c r="P1920" s="3">
        <v>2999.77</v>
      </c>
      <c r="Q1920" s="3">
        <v>0</v>
      </c>
    </row>
    <row r="1921" spans="1:17" hidden="1" x14ac:dyDescent="0.3">
      <c r="A1921">
        <v>27</v>
      </c>
      <c r="B1921" t="str">
        <f>VLOOKUP($A1921,[1]LISTA!$B:$C,2,0)</f>
        <v>JULIO</v>
      </c>
      <c r="C1921" s="1">
        <v>2025</v>
      </c>
      <c r="D1921" s="1" t="str">
        <f>IF($A1921&lt;=[1]RESULTADOS!$D$6,"YTD","YTG")</f>
        <v>YTD</v>
      </c>
      <c r="E1921" t="s">
        <v>693</v>
      </c>
      <c r="F1921" t="s">
        <v>667</v>
      </c>
      <c r="G1921" t="s">
        <v>667</v>
      </c>
      <c r="H1921" t="s">
        <v>668</v>
      </c>
      <c r="I1921" t="s">
        <v>162</v>
      </c>
      <c r="J1921" t="str">
        <f>IFERROR(VLOOKUP(I1921,[1]AUTOS!$C:$G,2,0),"")</f>
        <v>HYUNDAI</v>
      </c>
      <c r="K1921">
        <f>IFERROR(VLOOKUP(I1921,[1]AUTOS!$C:$G,3,0),"")</f>
        <v>2022</v>
      </c>
      <c r="L1921" t="str">
        <f>IFERROR(VLOOKUP(I1921,[1]AUTOS!$C:$G,4,0),"")</f>
        <v>PLATA</v>
      </c>
      <c r="M1921" t="s">
        <v>43</v>
      </c>
      <c r="N1921" s="3">
        <v>2919.91</v>
      </c>
      <c r="O1921" s="3">
        <v>2500</v>
      </c>
      <c r="P1921" s="3">
        <v>2919.91</v>
      </c>
      <c r="Q1921" s="3">
        <v>0</v>
      </c>
    </row>
    <row r="1922" spans="1:17" hidden="1" x14ac:dyDescent="0.3">
      <c r="A1922">
        <v>27</v>
      </c>
      <c r="B1922" t="str">
        <f>VLOOKUP($A1922,[1]LISTA!$B:$C,2,0)</f>
        <v>JULIO</v>
      </c>
      <c r="C1922" s="1">
        <v>2025</v>
      </c>
      <c r="D1922" s="1" t="str">
        <f>IF($A1922&lt;=[1]RESULTADOS!$D$6,"YTD","YTG")</f>
        <v>YTD</v>
      </c>
      <c r="E1922" t="s">
        <v>691</v>
      </c>
      <c r="F1922" t="s">
        <v>667</v>
      </c>
      <c r="G1922" t="s">
        <v>667</v>
      </c>
      <c r="H1922" t="s">
        <v>668</v>
      </c>
      <c r="I1922" t="s">
        <v>139</v>
      </c>
      <c r="J1922" t="str">
        <f>IFERROR(VLOOKUP(I1922,[1]AUTOS!$C:$G,2,0),"")</f>
        <v>SWIFT</v>
      </c>
      <c r="K1922">
        <f>IFERROR(VLOOKUP(I1922,[1]AUTOS!$C:$G,3,0),"")</f>
        <v>2017</v>
      </c>
      <c r="L1922" t="str">
        <f>IFERROR(VLOOKUP(I1922,[1]AUTOS!$C:$G,4,0),"")</f>
        <v>ROJO</v>
      </c>
      <c r="M1922" t="s">
        <v>43</v>
      </c>
      <c r="N1922" s="3">
        <v>3734.8700000000003</v>
      </c>
      <c r="O1922" s="3">
        <v>2500</v>
      </c>
      <c r="P1922" s="3">
        <v>3000</v>
      </c>
      <c r="Q1922" s="3">
        <v>500</v>
      </c>
    </row>
    <row r="1923" spans="1:17" hidden="1" x14ac:dyDescent="0.3">
      <c r="A1923">
        <v>27</v>
      </c>
      <c r="B1923" t="str">
        <f>VLOOKUP($A1923,[1]LISTA!$B:$C,2,0)</f>
        <v>JULIO</v>
      </c>
      <c r="C1923" s="1">
        <v>2025</v>
      </c>
      <c r="D1923" s="1" t="str">
        <f>IF($A1923&lt;=[1]RESULTADOS!$D$6,"YTD","YTG")</f>
        <v>YTD</v>
      </c>
      <c r="E1923" t="s">
        <v>671</v>
      </c>
      <c r="F1923" t="s">
        <v>667</v>
      </c>
      <c r="G1923" t="s">
        <v>667</v>
      </c>
      <c r="H1923" t="s">
        <v>668</v>
      </c>
      <c r="I1923" t="s">
        <v>214</v>
      </c>
      <c r="J1923" t="str">
        <f>IFERROR(VLOOKUP(I1923,[1]AUTOS!$C:$G,2,0),"")</f>
        <v>VENTO</v>
      </c>
      <c r="K1923">
        <f>IFERROR(VLOOKUP(I1923,[1]AUTOS!$C:$G,3,0),"")</f>
        <v>2019</v>
      </c>
      <c r="L1923" t="str">
        <f>IFERROR(VLOOKUP(I1923,[1]AUTOS!$C:$G,4,0),"")</f>
        <v>BLANCO</v>
      </c>
      <c r="M1923" t="s">
        <v>215</v>
      </c>
      <c r="N1923" s="3">
        <v>52.11</v>
      </c>
      <c r="O1923" s="3">
        <v>356</v>
      </c>
      <c r="P1923" s="3">
        <v>52.11</v>
      </c>
      <c r="Q1923" s="3">
        <v>0</v>
      </c>
    </row>
    <row r="1924" spans="1:17" hidden="1" x14ac:dyDescent="0.3">
      <c r="A1924">
        <v>27</v>
      </c>
      <c r="B1924" t="str">
        <f>VLOOKUP($A1924,[1]LISTA!$B:$C,2,0)</f>
        <v>JULIO</v>
      </c>
      <c r="C1924" s="1">
        <v>2025</v>
      </c>
      <c r="D1924" s="1" t="str">
        <f>IF($A1924&lt;=[1]RESULTADOS!$D$6,"YTD","YTG")</f>
        <v>YTD</v>
      </c>
      <c r="E1924" t="s">
        <v>478</v>
      </c>
      <c r="F1924" t="s">
        <v>667</v>
      </c>
      <c r="G1924" t="s">
        <v>667</v>
      </c>
      <c r="H1924" t="s">
        <v>668</v>
      </c>
      <c r="I1924" t="s">
        <v>76</v>
      </c>
      <c r="J1924" t="str">
        <f>IFERROR(VLOOKUP(I1924,[1]AUTOS!$C:$G,2,0),"")</f>
        <v>AVEO</v>
      </c>
      <c r="K1924">
        <f>IFERROR(VLOOKUP(I1924,[1]AUTOS!$C:$G,3,0),"")</f>
        <v>2018</v>
      </c>
      <c r="L1924" t="str">
        <f>IFERROR(VLOOKUP(I1924,[1]AUTOS!$C:$G,4,0),"")</f>
        <v>GRIS</v>
      </c>
      <c r="M1924" t="s">
        <v>43</v>
      </c>
      <c r="N1924" s="3">
        <v>768.25999999999931</v>
      </c>
      <c r="O1924" s="3">
        <v>2500</v>
      </c>
      <c r="P1924" s="3">
        <v>3000.2599999999993</v>
      </c>
      <c r="Q1924" s="3">
        <v>500</v>
      </c>
    </row>
    <row r="1925" spans="1:17" hidden="1" x14ac:dyDescent="0.3">
      <c r="A1925">
        <v>27</v>
      </c>
      <c r="B1925" t="str">
        <f>VLOOKUP($A1925,[1]LISTA!$B:$C,2,0)</f>
        <v>JULIO</v>
      </c>
      <c r="C1925" s="1">
        <v>2025</v>
      </c>
      <c r="D1925" s="1" t="str">
        <f>IF($A1925&lt;=[1]RESULTADOS!$D$6,"YTD","YTG")</f>
        <v>YTD</v>
      </c>
      <c r="E1925" t="s">
        <v>678</v>
      </c>
      <c r="F1925" t="s">
        <v>667</v>
      </c>
      <c r="G1925" t="s">
        <v>667</v>
      </c>
      <c r="H1925" t="s">
        <v>668</v>
      </c>
      <c r="I1925" t="s">
        <v>182</v>
      </c>
      <c r="J1925" t="str">
        <f>IFERROR(VLOOKUP(I1925,[1]AUTOS!$C:$G,2,0),"")</f>
        <v>AVEO</v>
      </c>
      <c r="K1925">
        <f>IFERROR(VLOOKUP(I1925,[1]AUTOS!$C:$G,3,0),"")</f>
        <v>2020</v>
      </c>
      <c r="L1925" t="str">
        <f>IFERROR(VLOOKUP(I1925,[1]AUTOS!$C:$G,4,0),"")</f>
        <v>AZUL</v>
      </c>
      <c r="M1925" t="s">
        <v>43</v>
      </c>
      <c r="N1925" s="3">
        <v>1580.0499999999997</v>
      </c>
      <c r="O1925" s="3">
        <v>1067</v>
      </c>
      <c r="P1925" s="3">
        <v>1388</v>
      </c>
      <c r="Q1925" s="3">
        <v>321</v>
      </c>
    </row>
    <row r="1926" spans="1:17" hidden="1" x14ac:dyDescent="0.3">
      <c r="A1926">
        <v>27</v>
      </c>
      <c r="B1926" t="str">
        <f>VLOOKUP($A1926,[1]LISTA!$B:$C,2,0)</f>
        <v>JULIO</v>
      </c>
      <c r="C1926" s="1">
        <v>2025</v>
      </c>
      <c r="D1926" s="1" t="str">
        <f>IF($A1926&lt;=[1]RESULTADOS!$D$6,"YTD","YTG")</f>
        <v>YTD</v>
      </c>
      <c r="E1926" t="s">
        <v>436</v>
      </c>
      <c r="F1926" t="s">
        <v>667</v>
      </c>
      <c r="G1926" t="s">
        <v>667</v>
      </c>
      <c r="H1926" t="s">
        <v>668</v>
      </c>
      <c r="I1926" t="s">
        <v>131</v>
      </c>
      <c r="J1926" t="str">
        <f>IFERROR(VLOOKUP(I1926,[1]AUTOS!$C:$G,2,0),"")</f>
        <v>AVEO</v>
      </c>
      <c r="K1926">
        <f>IFERROR(VLOOKUP(I1926,[1]AUTOS!$C:$G,3,0),"")</f>
        <v>2024</v>
      </c>
      <c r="L1926" t="str">
        <f>IFERROR(VLOOKUP(I1926,[1]AUTOS!$C:$G,4,0),"")</f>
        <v>GRIS</v>
      </c>
      <c r="M1926" t="s">
        <v>43</v>
      </c>
      <c r="N1926" s="3">
        <v>3461.76</v>
      </c>
      <c r="O1926" s="3">
        <v>2500</v>
      </c>
      <c r="P1926" s="3">
        <v>2815.9</v>
      </c>
      <c r="Q1926" s="3">
        <v>0</v>
      </c>
    </row>
    <row r="1927" spans="1:17" hidden="1" x14ac:dyDescent="0.3">
      <c r="A1927">
        <v>27</v>
      </c>
      <c r="B1927" t="str">
        <f>VLOOKUP($A1927,[1]LISTA!$B:$C,2,0)</f>
        <v>JULIO</v>
      </c>
      <c r="C1927" s="1">
        <v>2025</v>
      </c>
      <c r="D1927" s="1" t="str">
        <f>IF($A1927&lt;=[1]RESULTADOS!$D$6,"YTD","YTG")</f>
        <v>YTD</v>
      </c>
      <c r="E1927" t="s">
        <v>699</v>
      </c>
      <c r="F1927" t="s">
        <v>667</v>
      </c>
      <c r="G1927" t="s">
        <v>667</v>
      </c>
      <c r="H1927" t="s">
        <v>668</v>
      </c>
      <c r="I1927" t="s">
        <v>79</v>
      </c>
      <c r="J1927" t="str">
        <f>IFERROR(VLOOKUP(I1927,[1]AUTOS!$C:$G,2,0),"")</f>
        <v>AVEO</v>
      </c>
      <c r="K1927">
        <f>IFERROR(VLOOKUP(I1927,[1]AUTOS!$C:$G,3,0),"")</f>
        <v>2021</v>
      </c>
      <c r="L1927" t="str">
        <f>IFERROR(VLOOKUP(I1927,[1]AUTOS!$C:$G,4,0),"")</f>
        <v>OCRE</v>
      </c>
      <c r="M1927" t="s">
        <v>43</v>
      </c>
      <c r="N1927" s="3">
        <v>2275.1800000000003</v>
      </c>
      <c r="O1927" s="3">
        <v>2500</v>
      </c>
      <c r="P1927" s="3">
        <v>2275.1800000000003</v>
      </c>
      <c r="Q1927" s="3">
        <v>500</v>
      </c>
    </row>
    <row r="1928" spans="1:17" hidden="1" x14ac:dyDescent="0.3">
      <c r="A1928">
        <v>27</v>
      </c>
      <c r="B1928" t="str">
        <f>VLOOKUP($A1928,[1]LISTA!$B:$C,2,0)</f>
        <v>JULIO</v>
      </c>
      <c r="C1928" s="1">
        <v>2025</v>
      </c>
      <c r="D1928" s="1" t="str">
        <f>IF($A1928&lt;=[1]RESULTADOS!$D$6,"YTD","YTG")</f>
        <v>YTD</v>
      </c>
      <c r="E1928" t="s">
        <v>680</v>
      </c>
      <c r="F1928" t="s">
        <v>667</v>
      </c>
      <c r="G1928" t="s">
        <v>667</v>
      </c>
      <c r="H1928" t="s">
        <v>668</v>
      </c>
      <c r="I1928" t="s">
        <v>144</v>
      </c>
      <c r="J1928" t="str">
        <f>IFERROR(VLOOKUP(I1928,[1]AUTOS!$C:$G,2,0),"")</f>
        <v>VERSA</v>
      </c>
      <c r="K1928">
        <f>IFERROR(VLOOKUP(I1928,[1]AUTOS!$C:$G,3,0),"")</f>
        <v>2020</v>
      </c>
      <c r="L1928" t="str">
        <f>IFERROR(VLOOKUP(I1928,[1]AUTOS!$C:$G,4,0),"")</f>
        <v>ROJO</v>
      </c>
      <c r="M1928" t="s">
        <v>43</v>
      </c>
      <c r="N1928" s="3">
        <v>1493.19</v>
      </c>
      <c r="O1928" s="3">
        <v>1786</v>
      </c>
      <c r="P1928" s="3">
        <v>1493.19</v>
      </c>
      <c r="Q1928" s="3">
        <v>0</v>
      </c>
    </row>
    <row r="1929" spans="1:17" hidden="1" x14ac:dyDescent="0.3">
      <c r="A1929">
        <v>27</v>
      </c>
      <c r="B1929" t="str">
        <f>VLOOKUP($A1929,[1]LISTA!$B:$C,2,0)</f>
        <v>JULIO</v>
      </c>
      <c r="C1929" s="1">
        <v>2025</v>
      </c>
      <c r="D1929" s="1" t="str">
        <f>IF($A1929&lt;=[1]RESULTADOS!$D$6,"YTD","YTG")</f>
        <v>YTD</v>
      </c>
      <c r="E1929" t="s">
        <v>456</v>
      </c>
      <c r="F1929" t="s">
        <v>667</v>
      </c>
      <c r="G1929" t="s">
        <v>667</v>
      </c>
      <c r="H1929" t="s">
        <v>668</v>
      </c>
      <c r="I1929" t="s">
        <v>146</v>
      </c>
      <c r="J1929" t="str">
        <f>IFERROR(VLOOKUP(I1929,[1]AUTOS!$C:$G,2,0),"")</f>
        <v>KIA RIO</v>
      </c>
      <c r="K1929">
        <f>IFERROR(VLOOKUP(I1929,[1]AUTOS!$C:$G,3,0),"")</f>
        <v>2023</v>
      </c>
      <c r="L1929" t="str">
        <f>IFERROR(VLOOKUP(I1929,[1]AUTOS!$C:$G,4,0),"")</f>
        <v>ROJO</v>
      </c>
      <c r="M1929" t="s">
        <v>140</v>
      </c>
      <c r="N1929" s="3">
        <v>4961.8999999999996</v>
      </c>
      <c r="O1929" s="3">
        <v>2500</v>
      </c>
      <c r="P1929" s="3">
        <v>3650</v>
      </c>
      <c r="Q1929" s="3">
        <v>0</v>
      </c>
    </row>
    <row r="1930" spans="1:17" hidden="1" x14ac:dyDescent="0.3">
      <c r="A1930">
        <v>27</v>
      </c>
      <c r="B1930" t="str">
        <f>VLOOKUP($A1930,[1]LISTA!$B:$C,2,0)</f>
        <v>JULIO</v>
      </c>
      <c r="C1930" s="1">
        <v>2025</v>
      </c>
      <c r="D1930" s="1" t="str">
        <f>IF($A1930&lt;=[1]RESULTADOS!$D$6,"YTD","YTG")</f>
        <v>YTD</v>
      </c>
      <c r="E1930" t="s">
        <v>411</v>
      </c>
      <c r="F1930" t="s">
        <v>667</v>
      </c>
      <c r="G1930" t="s">
        <v>667</v>
      </c>
      <c r="H1930" t="s">
        <v>668</v>
      </c>
      <c r="I1930" t="s">
        <v>178</v>
      </c>
      <c r="J1930" t="str">
        <f>IFERROR(VLOOKUP(I1930,[1]AUTOS!$C:$G,2,0),"")</f>
        <v>VERSA</v>
      </c>
      <c r="K1930">
        <f>IFERROR(VLOOKUP(I1930,[1]AUTOS!$C:$G,3,0),"")</f>
        <v>2020</v>
      </c>
      <c r="L1930" t="str">
        <f>IFERROR(VLOOKUP(I1930,[1]AUTOS!$C:$G,4,0),"")</f>
        <v>BLANCO</v>
      </c>
      <c r="M1930" t="s">
        <v>43</v>
      </c>
      <c r="N1930" s="3">
        <v>4720.2300000000005</v>
      </c>
      <c r="O1930" s="3">
        <v>2500</v>
      </c>
      <c r="P1930" s="3">
        <v>2500</v>
      </c>
      <c r="Q1930" s="3">
        <v>0</v>
      </c>
    </row>
    <row r="1931" spans="1:17" hidden="1" x14ac:dyDescent="0.3">
      <c r="A1931">
        <v>27</v>
      </c>
      <c r="B1931" t="str">
        <f>VLOOKUP($A1931,[1]LISTA!$B:$C,2,0)</f>
        <v>JULIO</v>
      </c>
      <c r="C1931" s="1">
        <v>2025</v>
      </c>
      <c r="D1931" s="1" t="str">
        <f>IF($A1931&lt;=[1]RESULTADOS!$D$6,"YTD","YTG")</f>
        <v>YTD</v>
      </c>
      <c r="E1931" t="s">
        <v>526</v>
      </c>
      <c r="F1931" t="s">
        <v>667</v>
      </c>
      <c r="G1931" t="s">
        <v>667</v>
      </c>
      <c r="H1931" t="s">
        <v>668</v>
      </c>
      <c r="I1931" t="s">
        <v>67</v>
      </c>
      <c r="J1931" t="str">
        <f>IFERROR(VLOOKUP(I1931,[1]AUTOS!$C:$G,2,0),"")</f>
        <v>KIA RIO</v>
      </c>
      <c r="K1931">
        <f>IFERROR(VLOOKUP(I1931,[1]AUTOS!$C:$G,3,0),"")</f>
        <v>2020</v>
      </c>
      <c r="L1931" t="str">
        <f>IFERROR(VLOOKUP(I1931,[1]AUTOS!$C:$G,4,0),"")</f>
        <v>GRIS</v>
      </c>
      <c r="M1931" t="s">
        <v>43</v>
      </c>
      <c r="N1931" s="3">
        <v>5229.1099999999997</v>
      </c>
      <c r="O1931" s="3">
        <v>2500</v>
      </c>
      <c r="P1931" s="3">
        <v>2500</v>
      </c>
      <c r="Q1931" s="3">
        <v>0</v>
      </c>
    </row>
    <row r="1932" spans="1:17" hidden="1" x14ac:dyDescent="0.3">
      <c r="A1932">
        <v>27</v>
      </c>
      <c r="B1932" t="str">
        <f>VLOOKUP($A1932,[1]LISTA!$B:$C,2,0)</f>
        <v>JULIO</v>
      </c>
      <c r="C1932" s="1">
        <v>2025</v>
      </c>
      <c r="D1932" s="1" t="str">
        <f>IF($A1932&lt;=[1]RESULTADOS!$D$6,"YTD","YTG")</f>
        <v>YTD</v>
      </c>
      <c r="E1932" t="s">
        <v>694</v>
      </c>
      <c r="F1932" t="s">
        <v>667</v>
      </c>
      <c r="G1932" t="s">
        <v>667</v>
      </c>
      <c r="H1932" t="s">
        <v>668</v>
      </c>
      <c r="I1932" t="s">
        <v>42</v>
      </c>
      <c r="J1932" t="str">
        <f>IFERROR(VLOOKUP(I1932,[1]AUTOS!$C:$G,2,0),"")</f>
        <v>VENTO</v>
      </c>
      <c r="K1932">
        <f>IFERROR(VLOOKUP(I1932,[1]AUTOS!$C:$G,3,0),"")</f>
        <v>2018</v>
      </c>
      <c r="L1932" t="str">
        <f>IFERROR(VLOOKUP(I1932,[1]AUTOS!$C:$G,4,0),"")</f>
        <v>AMARILLO</v>
      </c>
      <c r="M1932" t="s">
        <v>43</v>
      </c>
      <c r="N1932" s="3">
        <v>459.69000000000005</v>
      </c>
      <c r="O1932" s="3">
        <v>1786</v>
      </c>
      <c r="P1932" s="3">
        <v>459.69000000000005</v>
      </c>
      <c r="Q1932" s="3">
        <v>500</v>
      </c>
    </row>
    <row r="1933" spans="1:17" hidden="1" x14ac:dyDescent="0.3">
      <c r="A1933">
        <v>27</v>
      </c>
      <c r="B1933" t="str">
        <f>VLOOKUP($A1933,[1]LISTA!$B:$C,2,0)</f>
        <v>JULIO</v>
      </c>
      <c r="C1933" s="1">
        <v>2025</v>
      </c>
      <c r="D1933" s="1" t="str">
        <f>IF($A1933&lt;=[1]RESULTADOS!$D$6,"YTD","YTG")</f>
        <v>YTD</v>
      </c>
      <c r="E1933" t="s">
        <v>674</v>
      </c>
      <c r="F1933" t="s">
        <v>667</v>
      </c>
      <c r="G1933" t="s">
        <v>667</v>
      </c>
      <c r="H1933" t="s">
        <v>668</v>
      </c>
      <c r="I1933" t="s">
        <v>46</v>
      </c>
      <c r="J1933" t="str">
        <f>IFERROR(VLOOKUP(I1933,[1]AUTOS!$C:$G,2,0),"")</f>
        <v>MARCH</v>
      </c>
      <c r="K1933">
        <f>IFERROR(VLOOKUP(I1933,[1]AUTOS!$C:$G,3,0),"")</f>
        <v>2020</v>
      </c>
      <c r="L1933" t="str">
        <f>IFERROR(VLOOKUP(I1933,[1]AUTOS!$C:$G,4,0),"")</f>
        <v>TURQ</v>
      </c>
      <c r="M1933" t="s">
        <v>43</v>
      </c>
      <c r="N1933" s="3">
        <v>1521.79</v>
      </c>
      <c r="O1933" s="3">
        <v>2321</v>
      </c>
      <c r="P1933" s="3">
        <v>1521.79</v>
      </c>
      <c r="Q1933" s="3">
        <v>0</v>
      </c>
    </row>
    <row r="1934" spans="1:17" hidden="1" x14ac:dyDescent="0.3">
      <c r="A1934">
        <v>27</v>
      </c>
      <c r="B1934" t="str">
        <f>VLOOKUP($A1934,[1]LISTA!$B:$C,2,0)</f>
        <v>JULIO</v>
      </c>
      <c r="C1934" s="1">
        <v>2025</v>
      </c>
      <c r="D1934" s="1" t="str">
        <f>IF($A1934&lt;=[1]RESULTADOS!$D$6,"YTD","YTG")</f>
        <v>YTD</v>
      </c>
      <c r="E1934" t="s">
        <v>681</v>
      </c>
      <c r="F1934" t="s">
        <v>667</v>
      </c>
      <c r="G1934" t="s">
        <v>667</v>
      </c>
      <c r="H1934" t="s">
        <v>668</v>
      </c>
      <c r="I1934" t="s">
        <v>102</v>
      </c>
      <c r="J1934" t="str">
        <f>IFERROR(VLOOKUP(I1934,[1]AUTOS!$C:$G,2,0),"")</f>
        <v>AVEO</v>
      </c>
      <c r="K1934">
        <f>IFERROR(VLOOKUP(I1934,[1]AUTOS!$C:$G,3,0),"")</f>
        <v>2022</v>
      </c>
      <c r="L1934" t="str">
        <f>IFERROR(VLOOKUP(I1934,[1]AUTOS!$C:$G,4,0),"")</f>
        <v>AZUL</v>
      </c>
      <c r="M1934" t="s">
        <v>43</v>
      </c>
      <c r="N1934" s="3">
        <v>4538.07</v>
      </c>
      <c r="O1934" s="3">
        <v>2500</v>
      </c>
      <c r="P1934" s="3">
        <v>2460</v>
      </c>
      <c r="Q1934" s="3">
        <v>0</v>
      </c>
    </row>
    <row r="1935" spans="1:17" hidden="1" x14ac:dyDescent="0.3">
      <c r="A1935">
        <v>27</v>
      </c>
      <c r="B1935" t="str">
        <f>VLOOKUP($A1935,[1]LISTA!$B:$C,2,0)</f>
        <v>JULIO</v>
      </c>
      <c r="C1935" s="1">
        <v>2025</v>
      </c>
      <c r="D1935" s="1" t="str">
        <f>IF($A1935&lt;=[1]RESULTADOS!$D$6,"YTD","YTG")</f>
        <v>YTD</v>
      </c>
      <c r="E1935" t="s">
        <v>675</v>
      </c>
      <c r="F1935" t="s">
        <v>667</v>
      </c>
      <c r="G1935" t="s">
        <v>667</v>
      </c>
      <c r="H1935" t="s">
        <v>668</v>
      </c>
      <c r="I1935" t="s">
        <v>40</v>
      </c>
      <c r="J1935" t="str">
        <f>IFERROR(VLOOKUP(I1935,[1]AUTOS!$C:$G,2,0),"")</f>
        <v>VERSA</v>
      </c>
      <c r="K1935">
        <f>IFERROR(VLOOKUP(I1935,[1]AUTOS!$C:$G,3,0),"")</f>
        <v>2017</v>
      </c>
      <c r="L1935" t="str">
        <f>IFERROR(VLOOKUP(I1935,[1]AUTOS!$C:$G,4,0),"")</f>
        <v>ACERO</v>
      </c>
      <c r="M1935" t="s">
        <v>140</v>
      </c>
      <c r="N1935" s="3">
        <v>2807.85</v>
      </c>
      <c r="O1935" s="3">
        <v>2500</v>
      </c>
      <c r="P1935" s="3">
        <v>2500</v>
      </c>
      <c r="Q1935" s="3">
        <v>0</v>
      </c>
    </row>
    <row r="1936" spans="1:17" hidden="1" x14ac:dyDescent="0.3">
      <c r="A1936">
        <v>27</v>
      </c>
      <c r="B1936" t="str">
        <f>VLOOKUP($A1936,[1]LISTA!$B:$C,2,0)</f>
        <v>JULIO</v>
      </c>
      <c r="C1936" s="1">
        <v>2025</v>
      </c>
      <c r="D1936" s="1" t="str">
        <f>IF($A1936&lt;=[1]RESULTADOS!$D$6,"YTD","YTG")</f>
        <v>YTD</v>
      </c>
      <c r="E1936" t="s">
        <v>563</v>
      </c>
      <c r="F1936" t="s">
        <v>667</v>
      </c>
      <c r="G1936" t="s">
        <v>667</v>
      </c>
      <c r="H1936" t="s">
        <v>668</v>
      </c>
      <c r="I1936" t="s">
        <v>61</v>
      </c>
      <c r="J1936" t="str">
        <f>IFERROR(VLOOKUP(I1936,[1]AUTOS!$C:$G,2,0),"")</f>
        <v>KIA RIO</v>
      </c>
      <c r="K1936">
        <f>IFERROR(VLOOKUP(I1936,[1]AUTOS!$C:$G,3,0),"")</f>
        <v>2017</v>
      </c>
      <c r="L1936" t="str">
        <f>IFERROR(VLOOKUP(I1936,[1]AUTOS!$C:$G,4,0),"")</f>
        <v>ROJO</v>
      </c>
      <c r="M1936" t="s">
        <v>140</v>
      </c>
      <c r="N1936" s="3">
        <v>5200.8</v>
      </c>
      <c r="O1936" s="3">
        <v>2500</v>
      </c>
      <c r="P1936" s="3">
        <v>3000</v>
      </c>
      <c r="Q1936" s="3">
        <v>500</v>
      </c>
    </row>
    <row r="1937" spans="1:17" hidden="1" x14ac:dyDescent="0.3">
      <c r="A1937">
        <v>27</v>
      </c>
      <c r="B1937" t="str">
        <f>VLOOKUP($A1937,[1]LISTA!$B:$C,2,0)</f>
        <v>JULIO</v>
      </c>
      <c r="C1937" s="1">
        <v>2025</v>
      </c>
      <c r="D1937" s="1" t="str">
        <f>IF($A1937&lt;=[1]RESULTADOS!$D$6,"YTD","YTG")</f>
        <v>YTD</v>
      </c>
      <c r="E1937" t="s">
        <v>695</v>
      </c>
      <c r="F1937" t="s">
        <v>667</v>
      </c>
      <c r="G1937" t="s">
        <v>667</v>
      </c>
      <c r="H1937" t="s">
        <v>668</v>
      </c>
      <c r="I1937" t="s">
        <v>34</v>
      </c>
      <c r="J1937" t="str">
        <f>IFERROR(VLOOKUP(I1937,[1]AUTOS!$C:$G,2,0),"")</f>
        <v>AVEO</v>
      </c>
      <c r="K1937">
        <f>IFERROR(VLOOKUP(I1937,[1]AUTOS!$C:$G,3,0),"")</f>
        <v>2018</v>
      </c>
      <c r="L1937" t="str">
        <f>IFERROR(VLOOKUP(I1937,[1]AUTOS!$C:$G,4,0),"")</f>
        <v>ROJO</v>
      </c>
      <c r="M1937" t="s">
        <v>140</v>
      </c>
      <c r="N1937" s="3">
        <v>2593.91</v>
      </c>
      <c r="O1937" s="3">
        <v>2500</v>
      </c>
      <c r="P1937" s="3">
        <v>2993.91</v>
      </c>
      <c r="Q1937" s="3">
        <v>500</v>
      </c>
    </row>
    <row r="1938" spans="1:17" hidden="1" x14ac:dyDescent="0.3">
      <c r="A1938">
        <v>27</v>
      </c>
      <c r="B1938" t="str">
        <f>VLOOKUP($A1938,[1]LISTA!$B:$C,2,0)</f>
        <v>JULIO</v>
      </c>
      <c r="C1938" s="1">
        <v>2025</v>
      </c>
      <c r="D1938" s="1" t="str">
        <f>IF($A1938&lt;=[1]RESULTADOS!$D$6,"YTD","YTG")</f>
        <v>YTD</v>
      </c>
      <c r="E1938" t="s">
        <v>701</v>
      </c>
      <c r="F1938" t="s">
        <v>667</v>
      </c>
      <c r="G1938" t="s">
        <v>667</v>
      </c>
      <c r="H1938" t="s">
        <v>668</v>
      </c>
      <c r="I1938" t="s">
        <v>37</v>
      </c>
      <c r="J1938" t="str">
        <f>IFERROR(VLOOKUP(I1938,[1]AUTOS!$C:$G,2,0),"")</f>
        <v>BEAT</v>
      </c>
      <c r="K1938">
        <f>IFERROR(VLOOKUP(I1938,[1]AUTOS!$C:$G,3,0),"")</f>
        <v>2020</v>
      </c>
      <c r="L1938" t="str">
        <f>IFERROR(VLOOKUP(I1938,[1]AUTOS!$C:$G,4,0),"")</f>
        <v>GRIS</v>
      </c>
      <c r="M1938" t="s">
        <v>43</v>
      </c>
      <c r="N1938" s="3">
        <v>1157.1299999999999</v>
      </c>
      <c r="O1938" s="3">
        <v>1071</v>
      </c>
      <c r="P1938" s="3">
        <v>1071</v>
      </c>
      <c r="Q1938" s="3">
        <v>0</v>
      </c>
    </row>
    <row r="1939" spans="1:17" hidden="1" x14ac:dyDescent="0.3">
      <c r="A1939">
        <v>27</v>
      </c>
      <c r="B1939" t="str">
        <f>VLOOKUP($A1939,[1]LISTA!$B:$C,2,0)</f>
        <v>JULIO</v>
      </c>
      <c r="C1939" s="1">
        <v>2025</v>
      </c>
      <c r="D1939" s="1" t="str">
        <f>IF($A1939&lt;=[1]RESULTADOS!$D$6,"YTD","YTG")</f>
        <v>YTD</v>
      </c>
      <c r="E1939" t="s">
        <v>403</v>
      </c>
      <c r="F1939" t="s">
        <v>667</v>
      </c>
      <c r="G1939" t="s">
        <v>667</v>
      </c>
      <c r="H1939" t="s">
        <v>668</v>
      </c>
      <c r="I1939" t="s">
        <v>51</v>
      </c>
      <c r="J1939" t="str">
        <f>IFERROR(VLOOKUP(I1939,[1]AUTOS!$C:$G,2,0),"")</f>
        <v>VENTO</v>
      </c>
      <c r="K1939">
        <f>IFERROR(VLOOKUP(I1939,[1]AUTOS!$C:$G,3,0),"")</f>
        <v>2017</v>
      </c>
      <c r="L1939" t="str">
        <f>IFERROR(VLOOKUP(I1939,[1]AUTOS!$C:$G,4,0),"")</f>
        <v>GRIS</v>
      </c>
      <c r="M1939" t="s">
        <v>43</v>
      </c>
      <c r="N1939" s="3">
        <v>1388.03</v>
      </c>
      <c r="O1939" s="3">
        <v>2300</v>
      </c>
      <c r="P1939" s="3">
        <v>2300.0299999999997</v>
      </c>
      <c r="Q1939" s="3">
        <v>0</v>
      </c>
    </row>
    <row r="1940" spans="1:17" hidden="1" x14ac:dyDescent="0.3">
      <c r="A1940">
        <v>27</v>
      </c>
      <c r="B1940" t="str">
        <f>VLOOKUP($A1940,[1]LISTA!$B:$C,2,0)</f>
        <v>JULIO</v>
      </c>
      <c r="C1940" s="1">
        <v>2025</v>
      </c>
      <c r="D1940" s="1" t="str">
        <f>IF($A1940&lt;=[1]RESULTADOS!$D$6,"YTD","YTG")</f>
        <v>YTD</v>
      </c>
      <c r="E1940" t="s">
        <v>698</v>
      </c>
      <c r="F1940" t="s">
        <v>667</v>
      </c>
      <c r="G1940" t="s">
        <v>667</v>
      </c>
      <c r="H1940" t="s">
        <v>668</v>
      </c>
      <c r="I1940" t="s">
        <v>82</v>
      </c>
      <c r="J1940" t="str">
        <f>IFERROR(VLOOKUP(I1940,[1]AUTOS!$C:$G,2,0),"")</f>
        <v>AVEO</v>
      </c>
      <c r="K1940">
        <f>IFERROR(VLOOKUP(I1940,[1]AUTOS!$C:$G,3,0),"")</f>
        <v>2019</v>
      </c>
      <c r="L1940" t="str">
        <f>IFERROR(VLOOKUP(I1940,[1]AUTOS!$C:$G,4,0),"")</f>
        <v>PLATA</v>
      </c>
      <c r="M1940" t="s">
        <v>43</v>
      </c>
      <c r="N1940" s="3">
        <v>1123.4800000000002</v>
      </c>
      <c r="O1940" s="3">
        <v>2500</v>
      </c>
      <c r="P1940" s="3">
        <v>1123.4800000000002</v>
      </c>
      <c r="Q1940" s="3">
        <v>500</v>
      </c>
    </row>
    <row r="1941" spans="1:17" hidden="1" x14ac:dyDescent="0.3">
      <c r="A1941">
        <v>27</v>
      </c>
      <c r="B1941" t="str">
        <f>VLOOKUP($A1941,[1]LISTA!$B:$C,2,0)</f>
        <v>JULIO</v>
      </c>
      <c r="C1941" s="1">
        <v>2025</v>
      </c>
      <c r="D1941" s="1" t="str">
        <f>IF($A1941&lt;=[1]RESULTADOS!$D$6,"YTD","YTG")</f>
        <v>YTD</v>
      </c>
      <c r="E1941" t="s">
        <v>470</v>
      </c>
      <c r="F1941" t="s">
        <v>667</v>
      </c>
      <c r="G1941" t="s">
        <v>667</v>
      </c>
      <c r="H1941" t="s">
        <v>668</v>
      </c>
      <c r="I1941" t="s">
        <v>73</v>
      </c>
      <c r="J1941" t="str">
        <f>IFERROR(VLOOKUP(I1941,[1]AUTOS!$C:$G,2,0),"")</f>
        <v>VERSA</v>
      </c>
      <c r="K1941">
        <f>IFERROR(VLOOKUP(I1941,[1]AUTOS!$C:$G,3,0),"")</f>
        <v>2023</v>
      </c>
      <c r="L1941" t="str">
        <f>IFERROR(VLOOKUP(I1941,[1]AUTOS!$C:$G,4,0),"")</f>
        <v>PLATA</v>
      </c>
      <c r="M1941" t="s">
        <v>43</v>
      </c>
      <c r="N1941" s="3">
        <v>2146.8399999999997</v>
      </c>
      <c r="O1941" s="3">
        <v>2500</v>
      </c>
      <c r="P1941" s="3">
        <v>2146.8399999999997</v>
      </c>
      <c r="Q1941" s="3">
        <v>0</v>
      </c>
    </row>
    <row r="1942" spans="1:17" hidden="1" x14ac:dyDescent="0.3">
      <c r="A1942">
        <v>27</v>
      </c>
      <c r="B1942" t="str">
        <f>VLOOKUP($A1942,[1]LISTA!$B:$C,2,0)</f>
        <v>JULIO</v>
      </c>
      <c r="C1942" s="1">
        <v>2025</v>
      </c>
      <c r="D1942" s="1" t="str">
        <f>IF($A1942&lt;=[1]RESULTADOS!$D$6,"YTD","YTG")</f>
        <v>YTD</v>
      </c>
      <c r="E1942" t="s">
        <v>402</v>
      </c>
      <c r="F1942" t="s">
        <v>667</v>
      </c>
      <c r="G1942" t="s">
        <v>667</v>
      </c>
      <c r="H1942" t="s">
        <v>668</v>
      </c>
      <c r="I1942" t="s">
        <v>59</v>
      </c>
      <c r="J1942" t="str">
        <f>IFERROR(VLOOKUP(I1942,[1]AUTOS!$C:$G,2,0),"")</f>
        <v>AVEO</v>
      </c>
      <c r="K1942">
        <f>IFERROR(VLOOKUP(I1942,[1]AUTOS!$C:$G,3,0),"")</f>
        <v>2019</v>
      </c>
      <c r="L1942" t="str">
        <f>IFERROR(VLOOKUP(I1942,[1]AUTOS!$C:$G,4,0),"")</f>
        <v>BLANCO</v>
      </c>
      <c r="M1942" t="s">
        <v>43</v>
      </c>
      <c r="N1942" s="3">
        <v>1333</v>
      </c>
      <c r="O1942" s="3">
        <v>2500</v>
      </c>
      <c r="P1942" s="3">
        <v>3000</v>
      </c>
      <c r="Q1942" s="3">
        <v>500</v>
      </c>
    </row>
    <row r="1943" spans="1:17" hidden="1" x14ac:dyDescent="0.3">
      <c r="A1943">
        <v>27</v>
      </c>
      <c r="B1943" t="str">
        <f>VLOOKUP($A1943,[1]LISTA!$B:$C,2,0)</f>
        <v>JULIO</v>
      </c>
      <c r="C1943" s="1">
        <v>2025</v>
      </c>
      <c r="D1943" s="1" t="str">
        <f>IF($A1943&lt;=[1]RESULTADOS!$D$6,"YTD","YTG")</f>
        <v>YTD</v>
      </c>
      <c r="E1943" t="s">
        <v>700</v>
      </c>
      <c r="F1943" t="s">
        <v>667</v>
      </c>
      <c r="G1943" t="s">
        <v>667</v>
      </c>
      <c r="H1943" t="s">
        <v>668</v>
      </c>
      <c r="I1943" t="s">
        <v>370</v>
      </c>
      <c r="J1943" t="str">
        <f>IFERROR(VLOOKUP(I1943,[1]AUTOS!$C:$G,2,0),"")</f>
        <v>KIA RIO</v>
      </c>
      <c r="K1943">
        <f>IFERROR(VLOOKUP(I1943,[1]AUTOS!$C:$G,3,0),"")</f>
        <v>2020</v>
      </c>
      <c r="L1943" t="str">
        <f>IFERROR(VLOOKUP(I1943,[1]AUTOS!$C:$G,4,0),"")</f>
        <v>AZUL</v>
      </c>
      <c r="M1943" t="s">
        <v>215</v>
      </c>
      <c r="N1943" s="3">
        <v>6116.75</v>
      </c>
      <c r="O1943" s="3">
        <v>2500</v>
      </c>
      <c r="P1943" s="3">
        <v>3000</v>
      </c>
      <c r="Q1943" s="3">
        <v>500</v>
      </c>
    </row>
    <row r="1944" spans="1:17" hidden="1" x14ac:dyDescent="0.3">
      <c r="A1944">
        <v>27</v>
      </c>
      <c r="B1944" t="str">
        <f>VLOOKUP($A1944,[1]LISTA!$B:$C,2,0)</f>
        <v>JULIO</v>
      </c>
      <c r="C1944" s="1">
        <v>2025</v>
      </c>
      <c r="D1944" s="1" t="str">
        <f>IF($A1944&lt;=[1]RESULTADOS!$D$6,"YTD","YTG")</f>
        <v>YTD</v>
      </c>
      <c r="E1944" t="s">
        <v>689</v>
      </c>
      <c r="F1944" t="s">
        <v>667</v>
      </c>
      <c r="G1944" t="s">
        <v>667</v>
      </c>
      <c r="H1944" t="s">
        <v>668</v>
      </c>
      <c r="I1944" t="s">
        <v>185</v>
      </c>
      <c r="J1944" t="str">
        <f>IFERROR(VLOOKUP(I1944,[1]AUTOS!$C:$G,2,0),"")</f>
        <v>MARCH</v>
      </c>
      <c r="K1944">
        <f>IFERROR(VLOOKUP(I1944,[1]AUTOS!$C:$G,3,0),"")</f>
        <v>2021</v>
      </c>
      <c r="L1944" t="str">
        <f>IFERROR(VLOOKUP(I1944,[1]AUTOS!$C:$G,4,0),"")</f>
        <v>ROJO</v>
      </c>
      <c r="M1944" t="s">
        <v>43</v>
      </c>
      <c r="N1944" s="3">
        <v>-337.89</v>
      </c>
      <c r="O1944" s="3">
        <v>2500</v>
      </c>
      <c r="P1944" s="3">
        <v>-337.89</v>
      </c>
      <c r="Q1944" s="3">
        <v>0</v>
      </c>
    </row>
    <row r="1945" spans="1:17" hidden="1" x14ac:dyDescent="0.3">
      <c r="A1945">
        <v>27</v>
      </c>
      <c r="B1945" t="str">
        <f>VLOOKUP($A1945,[1]LISTA!$B:$C,2,0)</f>
        <v>JULIO</v>
      </c>
      <c r="C1945" s="1">
        <v>2025</v>
      </c>
      <c r="D1945" s="1" t="str">
        <f>IF($A1945&lt;=[1]RESULTADOS!$D$6,"YTD","YTG")</f>
        <v>YTD</v>
      </c>
      <c r="E1945" t="s">
        <v>377</v>
      </c>
      <c r="F1945" t="s">
        <v>667</v>
      </c>
      <c r="G1945" t="s">
        <v>667</v>
      </c>
      <c r="H1945" t="s">
        <v>668</v>
      </c>
      <c r="I1945" t="s">
        <v>42</v>
      </c>
      <c r="J1945" t="str">
        <f>IFERROR(VLOOKUP(I1945,[1]AUTOS!$C:$G,2,0),"")</f>
        <v>VENTO</v>
      </c>
      <c r="K1945">
        <f>IFERROR(VLOOKUP(I1945,[1]AUTOS!$C:$G,3,0),"")</f>
        <v>2018</v>
      </c>
      <c r="L1945" t="str">
        <f>IFERROR(VLOOKUP(I1945,[1]AUTOS!$C:$G,4,0),"")</f>
        <v>AMARILLO</v>
      </c>
      <c r="M1945" t="s">
        <v>43</v>
      </c>
      <c r="N1945" s="3">
        <v>1211.8</v>
      </c>
      <c r="O1945" s="3">
        <v>536</v>
      </c>
      <c r="P1945" s="3">
        <v>643</v>
      </c>
      <c r="Q1945" s="3">
        <v>107</v>
      </c>
    </row>
    <row r="1946" spans="1:17" hidden="1" x14ac:dyDescent="0.3">
      <c r="A1946">
        <v>28</v>
      </c>
      <c r="B1946" t="str">
        <f>VLOOKUP($A1946,[1]LISTA!$B:$C,2,0)</f>
        <v>JULIO</v>
      </c>
      <c r="C1946" s="1">
        <v>2025</v>
      </c>
      <c r="D1946" s="1" t="str">
        <f>IF($A1946&lt;=[1]RESULTADOS!$D$6,"YTD","YTG")</f>
        <v>YTD</v>
      </c>
      <c r="E1946" t="s">
        <v>492</v>
      </c>
      <c r="F1946" t="s">
        <v>667</v>
      </c>
      <c r="G1946" t="s">
        <v>667</v>
      </c>
      <c r="H1946" t="s">
        <v>668</v>
      </c>
      <c r="I1946" t="s">
        <v>116</v>
      </c>
      <c r="J1946" t="str">
        <f>IFERROR(VLOOKUP(I1946,[1]AUTOS!$C:$G,2,0),"")</f>
        <v>AVEO</v>
      </c>
      <c r="K1946">
        <f>IFERROR(VLOOKUP(I1946,[1]AUTOS!$C:$G,3,0),"")</f>
        <v>2022</v>
      </c>
      <c r="L1946" t="str">
        <f>IFERROR(VLOOKUP(I1946,[1]AUTOS!$C:$G,4,0),"")</f>
        <v>AZUL</v>
      </c>
      <c r="M1946" t="s">
        <v>43</v>
      </c>
      <c r="N1946" s="3">
        <v>280.83999999999997</v>
      </c>
      <c r="O1946" s="3">
        <v>2500</v>
      </c>
      <c r="P1946" s="3">
        <v>2499.84</v>
      </c>
      <c r="Q1946" s="3">
        <v>0</v>
      </c>
    </row>
    <row r="1947" spans="1:17" hidden="1" x14ac:dyDescent="0.3">
      <c r="A1947">
        <v>28</v>
      </c>
      <c r="B1947" t="str">
        <f>VLOOKUP($A1947,[1]LISTA!$B:$C,2,0)</f>
        <v>JULIO</v>
      </c>
      <c r="C1947" s="1">
        <v>2025</v>
      </c>
      <c r="D1947" s="1" t="str">
        <f>IF($A1947&lt;=[1]RESULTADOS!$D$6,"YTD","YTG")</f>
        <v>YTD</v>
      </c>
      <c r="E1947" t="s">
        <v>693</v>
      </c>
      <c r="F1947" t="s">
        <v>667</v>
      </c>
      <c r="G1947" t="s">
        <v>667</v>
      </c>
      <c r="H1947" t="s">
        <v>668</v>
      </c>
      <c r="I1947" t="s">
        <v>162</v>
      </c>
      <c r="J1947" t="str">
        <f>IFERROR(VLOOKUP(I1947,[1]AUTOS!$C:$G,2,0),"")</f>
        <v>HYUNDAI</v>
      </c>
      <c r="K1947">
        <f>IFERROR(VLOOKUP(I1947,[1]AUTOS!$C:$G,3,0),"")</f>
        <v>2022</v>
      </c>
      <c r="L1947" t="str">
        <f>IFERROR(VLOOKUP(I1947,[1]AUTOS!$C:$G,4,0),"")</f>
        <v>PLATA</v>
      </c>
      <c r="M1947" t="s">
        <v>43</v>
      </c>
      <c r="N1947" s="3">
        <v>880.80000000000007</v>
      </c>
      <c r="O1947" s="3">
        <v>2500</v>
      </c>
      <c r="P1947" s="3">
        <v>1730.8000000000002</v>
      </c>
      <c r="Q1947" s="3">
        <v>0</v>
      </c>
    </row>
    <row r="1948" spans="1:17" hidden="1" x14ac:dyDescent="0.3">
      <c r="A1948">
        <v>28</v>
      </c>
      <c r="B1948" t="str">
        <f>VLOOKUP($A1948,[1]LISTA!$B:$C,2,0)</f>
        <v>JULIO</v>
      </c>
      <c r="C1948" s="1">
        <v>2025</v>
      </c>
      <c r="D1948" s="1" t="str">
        <f>IF($A1948&lt;=[1]RESULTADOS!$D$6,"YTD","YTG")</f>
        <v>YTD</v>
      </c>
      <c r="E1948" t="s">
        <v>691</v>
      </c>
      <c r="F1948" t="s">
        <v>667</v>
      </c>
      <c r="G1948" t="s">
        <v>667</v>
      </c>
      <c r="H1948" t="s">
        <v>668</v>
      </c>
      <c r="I1948" t="s">
        <v>139</v>
      </c>
      <c r="J1948" t="str">
        <f>IFERROR(VLOOKUP(I1948,[1]AUTOS!$C:$G,2,0),"")</f>
        <v>SWIFT</v>
      </c>
      <c r="K1948">
        <f>IFERROR(VLOOKUP(I1948,[1]AUTOS!$C:$G,3,0),"")</f>
        <v>2017</v>
      </c>
      <c r="L1948" t="str">
        <f>IFERROR(VLOOKUP(I1948,[1]AUTOS!$C:$G,4,0),"")</f>
        <v>ROJO</v>
      </c>
      <c r="M1948" t="s">
        <v>43</v>
      </c>
      <c r="N1948" s="3">
        <v>4713.0600000000004</v>
      </c>
      <c r="O1948" s="3">
        <v>2500</v>
      </c>
      <c r="P1948" s="3">
        <v>3600</v>
      </c>
      <c r="Q1948" s="3">
        <v>500</v>
      </c>
    </row>
    <row r="1949" spans="1:17" hidden="1" x14ac:dyDescent="0.3">
      <c r="A1949">
        <v>28</v>
      </c>
      <c r="B1949" t="str">
        <f>VLOOKUP($A1949,[1]LISTA!$B:$C,2,0)</f>
        <v>JULIO</v>
      </c>
      <c r="C1949" s="1">
        <v>2025</v>
      </c>
      <c r="D1949" s="1" t="str">
        <f>IF($A1949&lt;=[1]RESULTADOS!$D$6,"YTD","YTG")</f>
        <v>YTD</v>
      </c>
      <c r="E1949" t="s">
        <v>478</v>
      </c>
      <c r="F1949" t="s">
        <v>667</v>
      </c>
      <c r="G1949" t="s">
        <v>667</v>
      </c>
      <c r="H1949" t="s">
        <v>668</v>
      </c>
      <c r="I1949" t="s">
        <v>76</v>
      </c>
      <c r="J1949" t="str">
        <f>IFERROR(VLOOKUP(I1949,[1]AUTOS!$C:$G,2,0),"")</f>
        <v>AVEO</v>
      </c>
      <c r="K1949">
        <f>IFERROR(VLOOKUP(I1949,[1]AUTOS!$C:$G,3,0),"")</f>
        <v>2018</v>
      </c>
      <c r="L1949" t="str">
        <f>IFERROR(VLOOKUP(I1949,[1]AUTOS!$C:$G,4,0),"")</f>
        <v>GRIS</v>
      </c>
      <c r="M1949" t="s">
        <v>43</v>
      </c>
      <c r="N1949" s="3">
        <v>3094.6199999999994</v>
      </c>
      <c r="O1949" s="3">
        <v>2500</v>
      </c>
      <c r="P1949" s="3">
        <v>3000</v>
      </c>
      <c r="Q1949" s="3">
        <v>500</v>
      </c>
    </row>
    <row r="1950" spans="1:17" hidden="1" x14ac:dyDescent="0.3">
      <c r="A1950">
        <v>28</v>
      </c>
      <c r="B1950" t="str">
        <f>VLOOKUP($A1950,[1]LISTA!$B:$C,2,0)</f>
        <v>JULIO</v>
      </c>
      <c r="C1950" s="1">
        <v>2025</v>
      </c>
      <c r="D1950" s="1" t="str">
        <f>IF($A1950&lt;=[1]RESULTADOS!$D$6,"YTD","YTG")</f>
        <v>YTD</v>
      </c>
      <c r="E1950" t="s">
        <v>678</v>
      </c>
      <c r="F1950" t="s">
        <v>667</v>
      </c>
      <c r="G1950" t="s">
        <v>667</v>
      </c>
      <c r="H1950" t="s">
        <v>668</v>
      </c>
      <c r="I1950" t="s">
        <v>182</v>
      </c>
      <c r="J1950" t="str">
        <f>IFERROR(VLOOKUP(I1950,[1]AUTOS!$C:$G,2,0),"")</f>
        <v>AVEO</v>
      </c>
      <c r="K1950">
        <f>IFERROR(VLOOKUP(I1950,[1]AUTOS!$C:$G,3,0),"")</f>
        <v>2020</v>
      </c>
      <c r="L1950" t="str">
        <f>IFERROR(VLOOKUP(I1950,[1]AUTOS!$C:$G,4,0),"")</f>
        <v>AZUL</v>
      </c>
      <c r="M1950" t="s">
        <v>43</v>
      </c>
      <c r="N1950" s="3">
        <v>1794.4499999999994</v>
      </c>
      <c r="O1950" s="3">
        <v>2500</v>
      </c>
      <c r="P1950" s="3">
        <v>1794.4499999999994</v>
      </c>
      <c r="Q1950" s="3">
        <v>0</v>
      </c>
    </row>
    <row r="1951" spans="1:17" hidden="1" x14ac:dyDescent="0.3">
      <c r="A1951">
        <v>28</v>
      </c>
      <c r="B1951" t="str">
        <f>VLOOKUP($A1951,[1]LISTA!$B:$C,2,0)</f>
        <v>JULIO</v>
      </c>
      <c r="C1951" s="1">
        <v>2025</v>
      </c>
      <c r="D1951" s="1" t="str">
        <f>IF($A1951&lt;=[1]RESULTADOS!$D$6,"YTD","YTG")</f>
        <v>YTD</v>
      </c>
      <c r="E1951" t="s">
        <v>436</v>
      </c>
      <c r="F1951" t="s">
        <v>667</v>
      </c>
      <c r="G1951" t="s">
        <v>667</v>
      </c>
      <c r="H1951" t="s">
        <v>668</v>
      </c>
      <c r="I1951" t="s">
        <v>131</v>
      </c>
      <c r="J1951" t="str">
        <f>IFERROR(VLOOKUP(I1951,[1]AUTOS!$C:$G,2,0),"")</f>
        <v>AVEO</v>
      </c>
      <c r="K1951">
        <f>IFERROR(VLOOKUP(I1951,[1]AUTOS!$C:$G,3,0),"")</f>
        <v>2024</v>
      </c>
      <c r="L1951" t="str">
        <f>IFERROR(VLOOKUP(I1951,[1]AUTOS!$C:$G,4,0),"")</f>
        <v>GRIS</v>
      </c>
      <c r="M1951" t="s">
        <v>43</v>
      </c>
      <c r="N1951" s="3">
        <v>1454.23</v>
      </c>
      <c r="O1951" s="3">
        <v>2500</v>
      </c>
      <c r="P1951" s="3">
        <v>3098.23</v>
      </c>
      <c r="Q1951" s="3">
        <v>0</v>
      </c>
    </row>
    <row r="1952" spans="1:17" hidden="1" x14ac:dyDescent="0.3">
      <c r="A1952">
        <v>28</v>
      </c>
      <c r="B1952" t="str">
        <f>VLOOKUP($A1952,[1]LISTA!$B:$C,2,0)</f>
        <v>JULIO</v>
      </c>
      <c r="C1952" s="1">
        <v>2025</v>
      </c>
      <c r="D1952" s="1" t="str">
        <f>IF($A1952&lt;=[1]RESULTADOS!$D$6,"YTD","YTG")</f>
        <v>YTD</v>
      </c>
      <c r="E1952" t="s">
        <v>699</v>
      </c>
      <c r="F1952" t="s">
        <v>667</v>
      </c>
      <c r="G1952" t="s">
        <v>667</v>
      </c>
      <c r="H1952" t="s">
        <v>668</v>
      </c>
      <c r="I1952" t="s">
        <v>79</v>
      </c>
      <c r="J1952" t="str">
        <f>IFERROR(VLOOKUP(I1952,[1]AUTOS!$C:$G,2,0),"")</f>
        <v>AVEO</v>
      </c>
      <c r="K1952">
        <f>IFERROR(VLOOKUP(I1952,[1]AUTOS!$C:$G,3,0),"")</f>
        <v>2021</v>
      </c>
      <c r="L1952" t="str">
        <f>IFERROR(VLOOKUP(I1952,[1]AUTOS!$C:$G,4,0),"")</f>
        <v>OCRE</v>
      </c>
      <c r="M1952" t="s">
        <v>43</v>
      </c>
      <c r="N1952" s="3">
        <v>1762.87</v>
      </c>
      <c r="O1952" s="3">
        <v>2500</v>
      </c>
      <c r="P1952" s="3">
        <v>3811.87</v>
      </c>
      <c r="Q1952" s="3">
        <v>500</v>
      </c>
    </row>
    <row r="1953" spans="1:17" hidden="1" x14ac:dyDescent="0.3">
      <c r="A1953">
        <v>28</v>
      </c>
      <c r="B1953" t="str">
        <f>VLOOKUP($A1953,[1]LISTA!$B:$C,2,0)</f>
        <v>JULIO</v>
      </c>
      <c r="C1953" s="1">
        <v>2025</v>
      </c>
      <c r="D1953" s="1" t="str">
        <f>IF($A1953&lt;=[1]RESULTADOS!$D$6,"YTD","YTG")</f>
        <v>YTD</v>
      </c>
      <c r="E1953" t="s">
        <v>456</v>
      </c>
      <c r="F1953" t="s">
        <v>667</v>
      </c>
      <c r="G1953" t="s">
        <v>667</v>
      </c>
      <c r="H1953" t="s">
        <v>668</v>
      </c>
      <c r="I1953" t="s">
        <v>146</v>
      </c>
      <c r="J1953" t="str">
        <f>IFERROR(VLOOKUP(I1953,[1]AUTOS!$C:$G,2,0),"")</f>
        <v>KIA RIO</v>
      </c>
      <c r="K1953">
        <f>IFERROR(VLOOKUP(I1953,[1]AUTOS!$C:$G,3,0),"")</f>
        <v>2023</v>
      </c>
      <c r="L1953" t="str">
        <f>IFERROR(VLOOKUP(I1953,[1]AUTOS!$C:$G,4,0),"")</f>
        <v>ROJO</v>
      </c>
      <c r="M1953" t="s">
        <v>140</v>
      </c>
      <c r="N1953" s="3">
        <v>4809.6500000000005</v>
      </c>
      <c r="O1953" s="3">
        <v>2500</v>
      </c>
      <c r="P1953" s="3">
        <v>2500</v>
      </c>
      <c r="Q1953" s="3">
        <v>0</v>
      </c>
    </row>
    <row r="1954" spans="1:17" hidden="1" x14ac:dyDescent="0.3">
      <c r="A1954">
        <v>28</v>
      </c>
      <c r="B1954" t="str">
        <f>VLOOKUP($A1954,[1]LISTA!$B:$C,2,0)</f>
        <v>JULIO</v>
      </c>
      <c r="C1954" s="1">
        <v>2025</v>
      </c>
      <c r="D1954" s="1" t="str">
        <f>IF($A1954&lt;=[1]RESULTADOS!$D$6,"YTD","YTG")</f>
        <v>YTD</v>
      </c>
      <c r="E1954" t="s">
        <v>411</v>
      </c>
      <c r="F1954" t="s">
        <v>667</v>
      </c>
      <c r="G1954" t="s">
        <v>667</v>
      </c>
      <c r="H1954" t="s">
        <v>668</v>
      </c>
      <c r="I1954" t="s">
        <v>178</v>
      </c>
      <c r="J1954" t="str">
        <f>IFERROR(VLOOKUP(I1954,[1]AUTOS!$C:$G,2,0),"")</f>
        <v>VERSA</v>
      </c>
      <c r="K1954">
        <f>IFERROR(VLOOKUP(I1954,[1]AUTOS!$C:$G,3,0),"")</f>
        <v>2020</v>
      </c>
      <c r="L1954" t="str">
        <f>IFERROR(VLOOKUP(I1954,[1]AUTOS!$C:$G,4,0),"")</f>
        <v>BLANCO</v>
      </c>
      <c r="M1954" t="s">
        <v>43</v>
      </c>
      <c r="N1954" s="3">
        <v>4693.7</v>
      </c>
      <c r="O1954" s="3">
        <v>2500</v>
      </c>
      <c r="P1954" s="3">
        <v>2500</v>
      </c>
      <c r="Q1954" s="3">
        <v>0</v>
      </c>
    </row>
    <row r="1955" spans="1:17" hidden="1" x14ac:dyDescent="0.3">
      <c r="A1955">
        <v>28</v>
      </c>
      <c r="B1955" t="str">
        <f>VLOOKUP($A1955,[1]LISTA!$B:$C,2,0)</f>
        <v>JULIO</v>
      </c>
      <c r="C1955" s="1">
        <v>2025</v>
      </c>
      <c r="D1955" s="1" t="str">
        <f>IF($A1955&lt;=[1]RESULTADOS!$D$6,"YTD","YTG")</f>
        <v>YTD</v>
      </c>
      <c r="E1955" t="s">
        <v>702</v>
      </c>
      <c r="F1955" t="s">
        <v>667</v>
      </c>
      <c r="G1955" t="s">
        <v>667</v>
      </c>
      <c r="H1955" t="s">
        <v>668</v>
      </c>
      <c r="I1955" t="s">
        <v>82</v>
      </c>
      <c r="J1955" t="str">
        <f>IFERROR(VLOOKUP(I1955,[1]AUTOS!$C:$G,2,0),"")</f>
        <v>AVEO</v>
      </c>
      <c r="K1955">
        <f>IFERROR(VLOOKUP(I1955,[1]AUTOS!$C:$G,3,0),"")</f>
        <v>2019</v>
      </c>
      <c r="L1955" t="str">
        <f>IFERROR(VLOOKUP(I1955,[1]AUTOS!$C:$G,4,0),"")</f>
        <v>PLATA</v>
      </c>
      <c r="M1955" t="s">
        <v>43</v>
      </c>
      <c r="N1955" s="3">
        <v>2732.66</v>
      </c>
      <c r="O1955" s="3">
        <v>2143</v>
      </c>
      <c r="P1955" s="3">
        <v>2643</v>
      </c>
      <c r="Q1955" s="3">
        <v>500</v>
      </c>
    </row>
    <row r="1956" spans="1:17" hidden="1" x14ac:dyDescent="0.3">
      <c r="A1956">
        <v>28</v>
      </c>
      <c r="B1956" t="str">
        <f>VLOOKUP($A1956,[1]LISTA!$B:$C,2,0)</f>
        <v>JULIO</v>
      </c>
      <c r="C1956" s="1">
        <v>2025</v>
      </c>
      <c r="D1956" s="1" t="str">
        <f>IF($A1956&lt;=[1]RESULTADOS!$D$6,"YTD","YTG")</f>
        <v>YTD</v>
      </c>
      <c r="E1956" t="s">
        <v>526</v>
      </c>
      <c r="F1956" t="s">
        <v>667</v>
      </c>
      <c r="G1956" t="s">
        <v>667</v>
      </c>
      <c r="H1956" t="s">
        <v>668</v>
      </c>
      <c r="I1956" t="s">
        <v>67</v>
      </c>
      <c r="J1956" t="str">
        <f>IFERROR(VLOOKUP(I1956,[1]AUTOS!$C:$G,2,0),"")</f>
        <v>KIA RIO</v>
      </c>
      <c r="K1956">
        <f>IFERROR(VLOOKUP(I1956,[1]AUTOS!$C:$G,3,0),"")</f>
        <v>2020</v>
      </c>
      <c r="L1956" t="str">
        <f>IFERROR(VLOOKUP(I1956,[1]AUTOS!$C:$G,4,0),"")</f>
        <v>GRIS</v>
      </c>
      <c r="M1956" t="s">
        <v>43</v>
      </c>
      <c r="N1956" s="3">
        <v>3731.9799999999996</v>
      </c>
      <c r="O1956" s="3">
        <v>2500</v>
      </c>
      <c r="P1956" s="3">
        <v>2500</v>
      </c>
      <c r="Q1956" s="3">
        <v>0</v>
      </c>
    </row>
    <row r="1957" spans="1:17" hidden="1" x14ac:dyDescent="0.3">
      <c r="A1957">
        <v>28</v>
      </c>
      <c r="B1957" t="str">
        <f>VLOOKUP($A1957,[1]LISTA!$B:$C,2,0)</f>
        <v>JULIO</v>
      </c>
      <c r="C1957" s="1">
        <v>2025</v>
      </c>
      <c r="D1957" s="1" t="str">
        <f>IF($A1957&lt;=[1]RESULTADOS!$D$6,"YTD","YTG")</f>
        <v>YTD</v>
      </c>
      <c r="E1957" t="s">
        <v>674</v>
      </c>
      <c r="F1957" t="s">
        <v>667</v>
      </c>
      <c r="G1957" t="s">
        <v>667</v>
      </c>
      <c r="H1957" t="s">
        <v>668</v>
      </c>
      <c r="I1957" t="s">
        <v>46</v>
      </c>
      <c r="J1957" t="str">
        <f>IFERROR(VLOOKUP(I1957,[1]AUTOS!$C:$G,2,0),"")</f>
        <v>MARCH</v>
      </c>
      <c r="K1957">
        <f>IFERROR(VLOOKUP(I1957,[1]AUTOS!$C:$G,3,0),"")</f>
        <v>2020</v>
      </c>
      <c r="L1957" t="str">
        <f>IFERROR(VLOOKUP(I1957,[1]AUTOS!$C:$G,4,0),"")</f>
        <v>TURQ</v>
      </c>
      <c r="M1957" t="s">
        <v>43</v>
      </c>
      <c r="N1957" s="3">
        <v>146.65000000000003</v>
      </c>
      <c r="O1957" s="3">
        <v>357</v>
      </c>
      <c r="P1957" s="3">
        <v>146.65000000000003</v>
      </c>
      <c r="Q1957" s="3">
        <v>-1256</v>
      </c>
    </row>
    <row r="1958" spans="1:17" hidden="1" x14ac:dyDescent="0.3">
      <c r="A1958">
        <v>28</v>
      </c>
      <c r="B1958" t="str">
        <f>VLOOKUP($A1958,[1]LISTA!$B:$C,2,0)</f>
        <v>JULIO</v>
      </c>
      <c r="C1958" s="1">
        <v>2025</v>
      </c>
      <c r="D1958" s="1" t="str">
        <f>IF($A1958&lt;=[1]RESULTADOS!$D$6,"YTD","YTG")</f>
        <v>YTD</v>
      </c>
      <c r="E1958" t="s">
        <v>681</v>
      </c>
      <c r="F1958" t="s">
        <v>667</v>
      </c>
      <c r="G1958" t="s">
        <v>667</v>
      </c>
      <c r="H1958" t="s">
        <v>668</v>
      </c>
      <c r="I1958" t="s">
        <v>102</v>
      </c>
      <c r="J1958" t="str">
        <f>IFERROR(VLOOKUP(I1958,[1]AUTOS!$C:$G,2,0),"")</f>
        <v>AVEO</v>
      </c>
      <c r="K1958">
        <f>IFERROR(VLOOKUP(I1958,[1]AUTOS!$C:$G,3,0),"")</f>
        <v>2022</v>
      </c>
      <c r="L1958" t="str">
        <f>IFERROR(VLOOKUP(I1958,[1]AUTOS!$C:$G,4,0),"")</f>
        <v>AZUL</v>
      </c>
      <c r="M1958" t="s">
        <v>43</v>
      </c>
      <c r="N1958" s="3">
        <v>3793.2</v>
      </c>
      <c r="O1958" s="3">
        <v>2500</v>
      </c>
      <c r="P1958" s="3">
        <v>2522</v>
      </c>
      <c r="Q1958" s="3">
        <v>0</v>
      </c>
    </row>
    <row r="1959" spans="1:17" hidden="1" x14ac:dyDescent="0.3">
      <c r="A1959">
        <v>28</v>
      </c>
      <c r="B1959" t="str">
        <f>VLOOKUP($A1959,[1]LISTA!$B:$C,2,0)</f>
        <v>JULIO</v>
      </c>
      <c r="C1959" s="1">
        <v>2025</v>
      </c>
      <c r="D1959" s="1" t="str">
        <f>IF($A1959&lt;=[1]RESULTADOS!$D$6,"YTD","YTG")</f>
        <v>YTD</v>
      </c>
      <c r="E1959" t="s">
        <v>675</v>
      </c>
      <c r="F1959" t="s">
        <v>667</v>
      </c>
      <c r="G1959" t="s">
        <v>667</v>
      </c>
      <c r="H1959" t="s">
        <v>668</v>
      </c>
      <c r="I1959" t="s">
        <v>40</v>
      </c>
      <c r="J1959" t="str">
        <f>IFERROR(VLOOKUP(I1959,[1]AUTOS!$C:$G,2,0),"")</f>
        <v>VERSA</v>
      </c>
      <c r="K1959">
        <f>IFERROR(VLOOKUP(I1959,[1]AUTOS!$C:$G,3,0),"")</f>
        <v>2017</v>
      </c>
      <c r="L1959" t="str">
        <f>IFERROR(VLOOKUP(I1959,[1]AUTOS!$C:$G,4,0),"")</f>
        <v>ACERO</v>
      </c>
      <c r="M1959" t="s">
        <v>140</v>
      </c>
      <c r="N1959" s="3">
        <v>2683.6</v>
      </c>
      <c r="O1959" s="3">
        <v>2500</v>
      </c>
      <c r="P1959" s="3">
        <v>2500</v>
      </c>
      <c r="Q1959" s="3">
        <v>0</v>
      </c>
    </row>
    <row r="1960" spans="1:17" hidden="1" x14ac:dyDescent="0.3">
      <c r="A1960">
        <v>28</v>
      </c>
      <c r="B1960" t="str">
        <f>VLOOKUP($A1960,[1]LISTA!$B:$C,2,0)</f>
        <v>JULIO</v>
      </c>
      <c r="C1960" s="1">
        <v>2025</v>
      </c>
      <c r="D1960" s="1" t="str">
        <f>IF($A1960&lt;=[1]RESULTADOS!$D$6,"YTD","YTG")</f>
        <v>YTD</v>
      </c>
      <c r="E1960" t="s">
        <v>563</v>
      </c>
      <c r="F1960" t="s">
        <v>667</v>
      </c>
      <c r="G1960" t="s">
        <v>667</v>
      </c>
      <c r="H1960" t="s">
        <v>668</v>
      </c>
      <c r="I1960" t="s">
        <v>61</v>
      </c>
      <c r="J1960" t="str">
        <f>IFERROR(VLOOKUP(I1960,[1]AUTOS!$C:$G,2,0),"")</f>
        <v>KIA RIO</v>
      </c>
      <c r="K1960">
        <f>IFERROR(VLOOKUP(I1960,[1]AUTOS!$C:$G,3,0),"")</f>
        <v>2017</v>
      </c>
      <c r="L1960" t="str">
        <f>IFERROR(VLOOKUP(I1960,[1]AUTOS!$C:$G,4,0),"")</f>
        <v>ROJO</v>
      </c>
      <c r="M1960" t="s">
        <v>140</v>
      </c>
      <c r="N1960" s="3">
        <v>2655.37</v>
      </c>
      <c r="O1960" s="3">
        <v>1428.5</v>
      </c>
      <c r="P1960" s="3">
        <v>1928.5</v>
      </c>
      <c r="Q1960" s="3">
        <v>500</v>
      </c>
    </row>
    <row r="1961" spans="1:17" x14ac:dyDescent="0.3">
      <c r="A1961">
        <v>28</v>
      </c>
      <c r="B1961" t="str">
        <f>VLOOKUP($A1961,[1]LISTA!$B:$C,2,0)</f>
        <v>JULIO</v>
      </c>
      <c r="C1961" s="1">
        <v>2025</v>
      </c>
      <c r="D1961" s="1" t="str">
        <f>IF($A1961&lt;=[1]RESULTADOS!$D$6,"YTD","YTG")</f>
        <v>YTD</v>
      </c>
      <c r="E1961" t="s">
        <v>695</v>
      </c>
      <c r="F1961" t="s">
        <v>667</v>
      </c>
      <c r="G1961" t="s">
        <v>667</v>
      </c>
      <c r="H1961" t="s">
        <v>668</v>
      </c>
      <c r="I1961" t="s">
        <v>72</v>
      </c>
      <c r="J1961" t="str">
        <f>IFERROR(VLOOKUP(I1961,[1]AUTOS!$C:$G,2,0),"")</f>
        <v>VENTO</v>
      </c>
      <c r="K1961">
        <f>IFERROR(VLOOKUP(I1961,[1]AUTOS!$C:$G,3,0),"")</f>
        <v>2020</v>
      </c>
      <c r="L1961" t="str">
        <f>IFERROR(VLOOKUP(I1961,[1]AUTOS!$C:$G,4,0),"")</f>
        <v>GRIS</v>
      </c>
      <c r="M1961" t="s">
        <v>140</v>
      </c>
      <c r="N1961" s="3">
        <v>-38</v>
      </c>
      <c r="O1961" s="3">
        <v>2500</v>
      </c>
      <c r="P1961" s="3">
        <v>2312</v>
      </c>
      <c r="Q1961" s="3">
        <v>100</v>
      </c>
    </row>
    <row r="1962" spans="1:17" hidden="1" x14ac:dyDescent="0.3">
      <c r="A1962">
        <v>28</v>
      </c>
      <c r="B1962" t="str">
        <f>VLOOKUP($A1962,[1]LISTA!$B:$C,2,0)</f>
        <v>JULIO</v>
      </c>
      <c r="C1962" s="1">
        <v>2025</v>
      </c>
      <c r="D1962" s="1" t="str">
        <f>IF($A1962&lt;=[1]RESULTADOS!$D$6,"YTD","YTG")</f>
        <v>YTD</v>
      </c>
      <c r="E1962" t="s">
        <v>701</v>
      </c>
      <c r="F1962" t="s">
        <v>667</v>
      </c>
      <c r="G1962" t="s">
        <v>667</v>
      </c>
      <c r="H1962" t="s">
        <v>668</v>
      </c>
      <c r="I1962" t="s">
        <v>37</v>
      </c>
      <c r="J1962" t="str">
        <f>IFERROR(VLOOKUP(I1962,[1]AUTOS!$C:$G,2,0),"")</f>
        <v>BEAT</v>
      </c>
      <c r="K1962">
        <f>IFERROR(VLOOKUP(I1962,[1]AUTOS!$C:$G,3,0),"")</f>
        <v>2020</v>
      </c>
      <c r="L1962" t="str">
        <f>IFERROR(VLOOKUP(I1962,[1]AUTOS!$C:$G,4,0),"")</f>
        <v>GRIS</v>
      </c>
      <c r="M1962" t="s">
        <v>140</v>
      </c>
      <c r="N1962" s="3">
        <v>-939.90000000000009</v>
      </c>
      <c r="O1962" s="3">
        <v>2500</v>
      </c>
      <c r="P1962" s="3">
        <v>2060.1</v>
      </c>
      <c r="Q1962" s="3">
        <v>0</v>
      </c>
    </row>
    <row r="1963" spans="1:17" hidden="1" x14ac:dyDescent="0.3">
      <c r="A1963">
        <v>28</v>
      </c>
      <c r="B1963" t="str">
        <f>VLOOKUP($A1963,[1]LISTA!$B:$C,2,0)</f>
        <v>JULIO</v>
      </c>
      <c r="C1963" s="1">
        <v>2025</v>
      </c>
      <c r="D1963" s="1" t="str">
        <f>IF($A1963&lt;=[1]RESULTADOS!$D$6,"YTD","YTG")</f>
        <v>YTD</v>
      </c>
      <c r="E1963" t="s">
        <v>403</v>
      </c>
      <c r="F1963" t="s">
        <v>667</v>
      </c>
      <c r="G1963" t="s">
        <v>667</v>
      </c>
      <c r="H1963" t="s">
        <v>668</v>
      </c>
      <c r="I1963" t="s">
        <v>51</v>
      </c>
      <c r="J1963" t="str">
        <f>IFERROR(VLOOKUP(I1963,[1]AUTOS!$C:$G,2,0),"")</f>
        <v>VENTO</v>
      </c>
      <c r="K1963">
        <f>IFERROR(VLOOKUP(I1963,[1]AUTOS!$C:$G,3,0),"")</f>
        <v>2017</v>
      </c>
      <c r="L1963" t="str">
        <f>IFERROR(VLOOKUP(I1963,[1]AUTOS!$C:$G,4,0),"")</f>
        <v>GRIS</v>
      </c>
      <c r="M1963" t="s">
        <v>43</v>
      </c>
      <c r="N1963" s="3">
        <v>833.50000000000023</v>
      </c>
      <c r="O1963" s="3">
        <v>2300</v>
      </c>
      <c r="P1963" s="3">
        <v>2300.5</v>
      </c>
      <c r="Q1963" s="3">
        <v>0</v>
      </c>
    </row>
    <row r="1964" spans="1:17" hidden="1" x14ac:dyDescent="0.3">
      <c r="A1964">
        <v>28</v>
      </c>
      <c r="B1964" t="str">
        <f>VLOOKUP($A1964,[1]LISTA!$B:$C,2,0)</f>
        <v>JULIO</v>
      </c>
      <c r="C1964" s="1">
        <v>2025</v>
      </c>
      <c r="D1964" s="1" t="str">
        <f>IF($A1964&lt;=[1]RESULTADOS!$D$6,"YTD","YTG")</f>
        <v>YTD</v>
      </c>
      <c r="E1964" t="s">
        <v>470</v>
      </c>
      <c r="F1964" t="s">
        <v>667</v>
      </c>
      <c r="G1964" t="s">
        <v>667</v>
      </c>
      <c r="H1964" t="s">
        <v>668</v>
      </c>
      <c r="I1964" t="s">
        <v>73</v>
      </c>
      <c r="J1964" t="str">
        <f>IFERROR(VLOOKUP(I1964,[1]AUTOS!$C:$G,2,0),"")</f>
        <v>VERSA</v>
      </c>
      <c r="K1964">
        <f>IFERROR(VLOOKUP(I1964,[1]AUTOS!$C:$G,3,0),"")</f>
        <v>2023</v>
      </c>
      <c r="L1964" t="str">
        <f>IFERROR(VLOOKUP(I1964,[1]AUTOS!$C:$G,4,0),"")</f>
        <v>PLATA</v>
      </c>
      <c r="M1964" t="s">
        <v>43</v>
      </c>
      <c r="N1964" s="3">
        <v>2280.87</v>
      </c>
      <c r="O1964" s="3">
        <v>2500</v>
      </c>
      <c r="P1964" s="3">
        <v>2580.87</v>
      </c>
      <c r="Q1964" s="3">
        <v>0</v>
      </c>
    </row>
    <row r="1965" spans="1:17" hidden="1" x14ac:dyDescent="0.3">
      <c r="A1965">
        <v>28</v>
      </c>
      <c r="B1965" t="str">
        <f>VLOOKUP($A1965,[1]LISTA!$B:$C,2,0)</f>
        <v>JULIO</v>
      </c>
      <c r="C1965" s="1">
        <v>2025</v>
      </c>
      <c r="D1965" s="1" t="str">
        <f>IF($A1965&lt;=[1]RESULTADOS!$D$6,"YTD","YTG")</f>
        <v>YTD</v>
      </c>
      <c r="E1965" t="s">
        <v>402</v>
      </c>
      <c r="F1965" t="s">
        <v>667</v>
      </c>
      <c r="G1965" t="s">
        <v>667</v>
      </c>
      <c r="H1965" t="s">
        <v>668</v>
      </c>
      <c r="I1965" t="s">
        <v>59</v>
      </c>
      <c r="J1965" t="str">
        <f>IFERROR(VLOOKUP(I1965,[1]AUTOS!$C:$G,2,0),"")</f>
        <v>AVEO</v>
      </c>
      <c r="K1965">
        <f>IFERROR(VLOOKUP(I1965,[1]AUTOS!$C:$G,3,0),"")</f>
        <v>2019</v>
      </c>
      <c r="L1965" t="str">
        <f>IFERROR(VLOOKUP(I1965,[1]AUTOS!$C:$G,4,0),"")</f>
        <v>BLANCO</v>
      </c>
      <c r="M1965" t="s">
        <v>43</v>
      </c>
      <c r="N1965" s="3">
        <v>1168.48</v>
      </c>
      <c r="O1965" s="3">
        <v>2500</v>
      </c>
      <c r="P1965" s="3">
        <v>2999.48</v>
      </c>
      <c r="Q1965" s="3">
        <v>500</v>
      </c>
    </row>
    <row r="1966" spans="1:17" hidden="1" x14ac:dyDescent="0.3">
      <c r="A1966">
        <v>28</v>
      </c>
      <c r="B1966" t="str">
        <f>VLOOKUP($A1966,[1]LISTA!$B:$C,2,0)</f>
        <v>JULIO</v>
      </c>
      <c r="C1966" s="1">
        <v>2025</v>
      </c>
      <c r="D1966" s="1" t="str">
        <f>IF($A1966&lt;=[1]RESULTADOS!$D$6,"YTD","YTG")</f>
        <v>YTD</v>
      </c>
      <c r="E1966" t="s">
        <v>700</v>
      </c>
      <c r="F1966" t="s">
        <v>667</v>
      </c>
      <c r="G1966" t="s">
        <v>667</v>
      </c>
      <c r="H1966" t="s">
        <v>668</v>
      </c>
      <c r="I1966" t="s">
        <v>370</v>
      </c>
      <c r="J1966" t="str">
        <f>IFERROR(VLOOKUP(I1966,[1]AUTOS!$C:$G,2,0),"")</f>
        <v>KIA RIO</v>
      </c>
      <c r="K1966">
        <f>IFERROR(VLOOKUP(I1966,[1]AUTOS!$C:$G,3,0),"")</f>
        <v>2020</v>
      </c>
      <c r="L1966" t="str">
        <f>IFERROR(VLOOKUP(I1966,[1]AUTOS!$C:$G,4,0),"")</f>
        <v>AZUL</v>
      </c>
      <c r="M1966" t="s">
        <v>215</v>
      </c>
      <c r="N1966" s="3">
        <v>5056.5999999999995</v>
      </c>
      <c r="O1966" s="3">
        <v>2500</v>
      </c>
      <c r="P1966" s="3">
        <v>3000</v>
      </c>
      <c r="Q1966" s="3">
        <v>500</v>
      </c>
    </row>
    <row r="1967" spans="1:17" hidden="1" x14ac:dyDescent="0.3">
      <c r="A1967">
        <v>28</v>
      </c>
      <c r="B1967" t="str">
        <f>VLOOKUP($A1967,[1]LISTA!$B:$C,2,0)</f>
        <v>JULIO</v>
      </c>
      <c r="C1967" s="1">
        <v>2025</v>
      </c>
      <c r="D1967" s="1" t="str">
        <f>IF($A1967&lt;=[1]RESULTADOS!$D$6,"YTD","YTG")</f>
        <v>YTD</v>
      </c>
      <c r="E1967" t="s">
        <v>417</v>
      </c>
      <c r="F1967" t="s">
        <v>667</v>
      </c>
      <c r="G1967" t="s">
        <v>667</v>
      </c>
      <c r="H1967" t="s">
        <v>668</v>
      </c>
      <c r="I1967" t="s">
        <v>214</v>
      </c>
      <c r="J1967" t="str">
        <f>IFERROR(VLOOKUP(I1967,[1]AUTOS!$C:$G,2,0),"")</f>
        <v>VENTO</v>
      </c>
      <c r="K1967">
        <f>IFERROR(VLOOKUP(I1967,[1]AUTOS!$C:$G,3,0),"")</f>
        <v>2019</v>
      </c>
      <c r="L1967" t="str">
        <f>IFERROR(VLOOKUP(I1967,[1]AUTOS!$C:$G,4,0),"")</f>
        <v>BLANCO</v>
      </c>
      <c r="M1967" t="s">
        <v>215</v>
      </c>
      <c r="N1967" s="3">
        <v>890.49999999999977</v>
      </c>
      <c r="O1967" s="3">
        <v>1250</v>
      </c>
      <c r="P1967" s="3">
        <v>1370.4999999999998</v>
      </c>
      <c r="Q1967" s="3">
        <v>321</v>
      </c>
    </row>
    <row r="1968" spans="1:17" hidden="1" x14ac:dyDescent="0.3">
      <c r="A1968">
        <v>28</v>
      </c>
      <c r="B1968" t="str">
        <f>VLOOKUP($A1968,[1]LISTA!$B:$C,2,0)</f>
        <v>JULIO</v>
      </c>
      <c r="C1968" s="1">
        <v>2025</v>
      </c>
      <c r="D1968" s="1" t="str">
        <f>IF($A1968&lt;=[1]RESULTADOS!$D$6,"YTD","YTG")</f>
        <v>YTD</v>
      </c>
      <c r="E1968" t="s">
        <v>377</v>
      </c>
      <c r="F1968" t="s">
        <v>667</v>
      </c>
      <c r="G1968" t="s">
        <v>667</v>
      </c>
      <c r="H1968" t="s">
        <v>668</v>
      </c>
      <c r="I1968" t="s">
        <v>42</v>
      </c>
      <c r="J1968" t="str">
        <f>IFERROR(VLOOKUP(I1968,[1]AUTOS!$C:$G,2,0),"")</f>
        <v>VENTO</v>
      </c>
      <c r="K1968">
        <f>IFERROR(VLOOKUP(I1968,[1]AUTOS!$C:$G,3,0),"")</f>
        <v>2018</v>
      </c>
      <c r="L1968" t="str">
        <f>IFERROR(VLOOKUP(I1968,[1]AUTOS!$C:$G,4,0),"")</f>
        <v>AMARILLO</v>
      </c>
      <c r="M1968" t="s">
        <v>43</v>
      </c>
      <c r="N1968" s="3">
        <v>5897.5</v>
      </c>
      <c r="O1968" s="3">
        <v>2500</v>
      </c>
      <c r="P1968" s="3">
        <v>3000</v>
      </c>
      <c r="Q1968" s="3">
        <v>500</v>
      </c>
    </row>
    <row r="1969" spans="1:17" hidden="1" x14ac:dyDescent="0.3">
      <c r="A1969">
        <v>29</v>
      </c>
      <c r="B1969" t="str">
        <f>VLOOKUP($A1969,[1]LISTA!$B:$C,2,0)</f>
        <v>JULIO</v>
      </c>
      <c r="C1969" s="1">
        <v>2025</v>
      </c>
      <c r="D1969" s="1" t="str">
        <f>IF($A1969&lt;=[1]RESULTADOS!$D$6,"YTD","YTG")</f>
        <v>YTD</v>
      </c>
      <c r="E1969" t="s">
        <v>492</v>
      </c>
      <c r="F1969" t="s">
        <v>667</v>
      </c>
      <c r="G1969" t="s">
        <v>667</v>
      </c>
      <c r="H1969" t="s">
        <v>668</v>
      </c>
      <c r="I1969" t="s">
        <v>116</v>
      </c>
      <c r="J1969" t="str">
        <f>IFERROR(VLOOKUP(I1969,[1]AUTOS!$C:$G,2,0),"")</f>
        <v>AVEO</v>
      </c>
      <c r="K1969">
        <f>IFERROR(VLOOKUP(I1969,[1]AUTOS!$C:$G,3,0),"")</f>
        <v>2022</v>
      </c>
      <c r="L1969" t="str">
        <f>IFERROR(VLOOKUP(I1969,[1]AUTOS!$C:$G,4,0),"")</f>
        <v>AZUL</v>
      </c>
      <c r="M1969" t="s">
        <v>43</v>
      </c>
      <c r="N1969" s="3">
        <v>1009.79</v>
      </c>
      <c r="O1969" s="3">
        <v>2500</v>
      </c>
      <c r="P1969" s="3">
        <v>2999.79</v>
      </c>
      <c r="Q1969" s="3">
        <v>0</v>
      </c>
    </row>
    <row r="1970" spans="1:17" hidden="1" x14ac:dyDescent="0.3">
      <c r="A1970">
        <v>29</v>
      </c>
      <c r="B1970" t="str">
        <f>VLOOKUP($A1970,[1]LISTA!$B:$C,2,0)</f>
        <v>JULIO</v>
      </c>
      <c r="C1970" s="1">
        <v>2025</v>
      </c>
      <c r="D1970" s="1" t="str">
        <f>IF($A1970&lt;=[1]RESULTADOS!$D$6,"YTD","YTG")</f>
        <v>YTD</v>
      </c>
      <c r="E1970" t="s">
        <v>693</v>
      </c>
      <c r="F1970" t="s">
        <v>667</v>
      </c>
      <c r="G1970" t="s">
        <v>667</v>
      </c>
      <c r="H1970" t="s">
        <v>668</v>
      </c>
      <c r="I1970" t="s">
        <v>162</v>
      </c>
      <c r="J1970" t="str">
        <f>IFERROR(VLOOKUP(I1970,[1]AUTOS!$C:$G,2,0),"")</f>
        <v>HYUNDAI</v>
      </c>
      <c r="K1970">
        <f>IFERROR(VLOOKUP(I1970,[1]AUTOS!$C:$G,3,0),"")</f>
        <v>2022</v>
      </c>
      <c r="L1970" t="str">
        <f>IFERROR(VLOOKUP(I1970,[1]AUTOS!$C:$G,4,0),"")</f>
        <v>PLATA</v>
      </c>
      <c r="M1970" t="s">
        <v>43</v>
      </c>
      <c r="N1970" s="3">
        <v>0</v>
      </c>
      <c r="O1970" s="3">
        <v>2500</v>
      </c>
      <c r="P1970" s="3">
        <v>-0.1999999999998181</v>
      </c>
      <c r="Q1970" s="3">
        <v>-3525</v>
      </c>
    </row>
    <row r="1971" spans="1:17" hidden="1" x14ac:dyDescent="0.3">
      <c r="A1971">
        <v>29</v>
      </c>
      <c r="B1971" t="str">
        <f>VLOOKUP($A1971,[1]LISTA!$B:$C,2,0)</f>
        <v>JULIO</v>
      </c>
      <c r="C1971" s="1">
        <v>2025</v>
      </c>
      <c r="D1971" s="1" t="str">
        <f>IF($A1971&lt;=[1]RESULTADOS!$D$6,"YTD","YTG")</f>
        <v>YTD</v>
      </c>
      <c r="E1971" t="s">
        <v>691</v>
      </c>
      <c r="F1971" t="s">
        <v>667</v>
      </c>
      <c r="G1971" t="s">
        <v>667</v>
      </c>
      <c r="H1971" t="s">
        <v>668</v>
      </c>
      <c r="I1971" t="s">
        <v>139</v>
      </c>
      <c r="J1971" t="str">
        <f>IFERROR(VLOOKUP(I1971,[1]AUTOS!$C:$G,2,0),"")</f>
        <v>SWIFT</v>
      </c>
      <c r="K1971">
        <f>IFERROR(VLOOKUP(I1971,[1]AUTOS!$C:$G,3,0),"")</f>
        <v>2017</v>
      </c>
      <c r="L1971" t="str">
        <f>IFERROR(VLOOKUP(I1971,[1]AUTOS!$C:$G,4,0),"")</f>
        <v>ROJO</v>
      </c>
      <c r="M1971" t="s">
        <v>43</v>
      </c>
      <c r="N1971" s="3">
        <v>3159.1900000000005</v>
      </c>
      <c r="O1971" s="3">
        <v>2500</v>
      </c>
      <c r="P1971" s="3">
        <v>3000</v>
      </c>
      <c r="Q1971" s="3">
        <v>0</v>
      </c>
    </row>
    <row r="1972" spans="1:17" hidden="1" x14ac:dyDescent="0.3">
      <c r="A1972">
        <v>29</v>
      </c>
      <c r="B1972" t="str">
        <f>VLOOKUP($A1972,[1]LISTA!$B:$C,2,0)</f>
        <v>JULIO</v>
      </c>
      <c r="C1972" s="1">
        <v>2025</v>
      </c>
      <c r="D1972" s="1" t="str">
        <f>IF($A1972&lt;=[1]RESULTADOS!$D$6,"YTD","YTG")</f>
        <v>YTD</v>
      </c>
      <c r="E1972" t="s">
        <v>478</v>
      </c>
      <c r="F1972" t="s">
        <v>667</v>
      </c>
      <c r="G1972" t="s">
        <v>667</v>
      </c>
      <c r="H1972" t="s">
        <v>668</v>
      </c>
      <c r="I1972" t="s">
        <v>185</v>
      </c>
      <c r="J1972" t="str">
        <f>IFERROR(VLOOKUP(I1972,[1]AUTOS!$C:$G,2,0),"")</f>
        <v>MARCH</v>
      </c>
      <c r="K1972">
        <f>IFERROR(VLOOKUP(I1972,[1]AUTOS!$C:$G,3,0),"")</f>
        <v>2021</v>
      </c>
      <c r="L1972" t="str">
        <f>IFERROR(VLOOKUP(I1972,[1]AUTOS!$C:$G,4,0),"")</f>
        <v>ROJO</v>
      </c>
      <c r="M1972" t="s">
        <v>43</v>
      </c>
      <c r="N1972" s="3">
        <v>2567.0700000000002</v>
      </c>
      <c r="O1972" s="3">
        <v>2500</v>
      </c>
      <c r="P1972" s="3">
        <v>2750.07</v>
      </c>
      <c r="Q1972" s="3">
        <v>0</v>
      </c>
    </row>
    <row r="1973" spans="1:17" hidden="1" x14ac:dyDescent="0.3">
      <c r="A1973">
        <v>29</v>
      </c>
      <c r="B1973" t="str">
        <f>VLOOKUP($A1973,[1]LISTA!$B:$C,2,0)</f>
        <v>JULIO</v>
      </c>
      <c r="C1973" s="1">
        <v>2025</v>
      </c>
      <c r="D1973" s="1" t="str">
        <f>IF($A1973&lt;=[1]RESULTADOS!$D$6,"YTD","YTG")</f>
        <v>YTD</v>
      </c>
      <c r="E1973" t="s">
        <v>678</v>
      </c>
      <c r="F1973" t="s">
        <v>667</v>
      </c>
      <c r="G1973" t="s">
        <v>667</v>
      </c>
      <c r="H1973" t="s">
        <v>668</v>
      </c>
      <c r="I1973" t="s">
        <v>182</v>
      </c>
      <c r="J1973" t="str">
        <f>IFERROR(VLOOKUP(I1973,[1]AUTOS!$C:$G,2,0),"")</f>
        <v>AVEO</v>
      </c>
      <c r="K1973">
        <f>IFERROR(VLOOKUP(I1973,[1]AUTOS!$C:$G,3,0),"")</f>
        <v>2020</v>
      </c>
      <c r="L1973" t="str">
        <f>IFERROR(VLOOKUP(I1973,[1]AUTOS!$C:$G,4,0),"")</f>
        <v>AZUL</v>
      </c>
      <c r="M1973" t="s">
        <v>43</v>
      </c>
      <c r="N1973" s="3">
        <v>695.64</v>
      </c>
      <c r="O1973" s="3">
        <v>1786</v>
      </c>
      <c r="P1973" s="3">
        <v>695.64</v>
      </c>
      <c r="Q1973" s="3">
        <v>-321</v>
      </c>
    </row>
    <row r="1974" spans="1:17" hidden="1" x14ac:dyDescent="0.3">
      <c r="A1974">
        <v>29</v>
      </c>
      <c r="B1974" t="str">
        <f>VLOOKUP($A1974,[1]LISTA!$B:$C,2,0)</f>
        <v>JULIO</v>
      </c>
      <c r="C1974" s="1">
        <v>2025</v>
      </c>
      <c r="D1974" s="1" t="str">
        <f>IF($A1974&lt;=[1]RESULTADOS!$D$6,"YTD","YTG")</f>
        <v>YTD</v>
      </c>
      <c r="E1974" t="s">
        <v>436</v>
      </c>
      <c r="F1974" t="s">
        <v>667</v>
      </c>
      <c r="G1974" t="s">
        <v>667</v>
      </c>
      <c r="H1974" t="s">
        <v>668</v>
      </c>
      <c r="I1974" t="s">
        <v>131</v>
      </c>
      <c r="J1974" t="str">
        <f>IFERROR(VLOOKUP(I1974,[1]AUTOS!$C:$G,2,0),"")</f>
        <v>AVEO</v>
      </c>
      <c r="K1974">
        <f>IFERROR(VLOOKUP(I1974,[1]AUTOS!$C:$G,3,0),"")</f>
        <v>2024</v>
      </c>
      <c r="L1974" t="str">
        <f>IFERROR(VLOOKUP(I1974,[1]AUTOS!$C:$G,4,0),"")</f>
        <v>GRIS</v>
      </c>
      <c r="M1974" t="s">
        <v>43</v>
      </c>
      <c r="N1974" s="3">
        <v>1620.3600000000001</v>
      </c>
      <c r="O1974" s="3">
        <v>2500</v>
      </c>
      <c r="P1974" s="3">
        <v>1620.3600000000001</v>
      </c>
      <c r="Q1974" s="3">
        <v>0</v>
      </c>
    </row>
    <row r="1975" spans="1:17" hidden="1" x14ac:dyDescent="0.3">
      <c r="A1975">
        <v>29</v>
      </c>
      <c r="B1975" t="str">
        <f>VLOOKUP($A1975,[1]LISTA!$B:$C,2,0)</f>
        <v>JULIO</v>
      </c>
      <c r="C1975" s="1">
        <v>2025</v>
      </c>
      <c r="D1975" s="1" t="str">
        <f>IF($A1975&lt;=[1]RESULTADOS!$D$6,"YTD","YTG")</f>
        <v>YTD</v>
      </c>
      <c r="E1975" t="s">
        <v>699</v>
      </c>
      <c r="F1975" t="s">
        <v>667</v>
      </c>
      <c r="G1975" t="s">
        <v>667</v>
      </c>
      <c r="H1975" t="s">
        <v>668</v>
      </c>
      <c r="I1975" t="s">
        <v>79</v>
      </c>
      <c r="J1975" t="str">
        <f>IFERROR(VLOOKUP(I1975,[1]AUTOS!$C:$G,2,0),"")</f>
        <v>AVEO</v>
      </c>
      <c r="K1975">
        <f>IFERROR(VLOOKUP(I1975,[1]AUTOS!$C:$G,3,0),"")</f>
        <v>2021</v>
      </c>
      <c r="L1975" t="str">
        <f>IFERROR(VLOOKUP(I1975,[1]AUTOS!$C:$G,4,0),"")</f>
        <v>OCRE</v>
      </c>
      <c r="M1975" t="s">
        <v>43</v>
      </c>
      <c r="N1975" s="3">
        <v>1438.24</v>
      </c>
      <c r="O1975" s="3">
        <v>2500</v>
      </c>
      <c r="P1975" s="3">
        <v>3000.24</v>
      </c>
      <c r="Q1975" s="3">
        <v>500</v>
      </c>
    </row>
    <row r="1976" spans="1:17" hidden="1" x14ac:dyDescent="0.3">
      <c r="A1976">
        <v>29</v>
      </c>
      <c r="B1976" t="str">
        <f>VLOOKUP($A1976,[1]LISTA!$B:$C,2,0)</f>
        <v>JULIO</v>
      </c>
      <c r="C1976" s="1">
        <v>2025</v>
      </c>
      <c r="D1976" s="1" t="str">
        <f>IF($A1976&lt;=[1]RESULTADOS!$D$6,"YTD","YTG")</f>
        <v>YTD</v>
      </c>
      <c r="E1976" t="s">
        <v>456</v>
      </c>
      <c r="F1976" t="s">
        <v>667</v>
      </c>
      <c r="G1976" t="s">
        <v>667</v>
      </c>
      <c r="H1976" t="s">
        <v>668</v>
      </c>
      <c r="I1976" t="s">
        <v>146</v>
      </c>
      <c r="J1976" t="str">
        <f>IFERROR(VLOOKUP(I1976,[1]AUTOS!$C:$G,2,0),"")</f>
        <v>KIA RIO</v>
      </c>
      <c r="K1976">
        <f>IFERROR(VLOOKUP(I1976,[1]AUTOS!$C:$G,3,0),"")</f>
        <v>2023</v>
      </c>
      <c r="L1976" t="str">
        <f>IFERROR(VLOOKUP(I1976,[1]AUTOS!$C:$G,4,0),"")</f>
        <v>ROJO</v>
      </c>
      <c r="M1976" t="s">
        <v>140</v>
      </c>
      <c r="N1976" s="3">
        <v>2806.3999999999996</v>
      </c>
      <c r="O1976" s="3">
        <v>2500</v>
      </c>
      <c r="P1976" s="3">
        <v>2806.3999999999996</v>
      </c>
      <c r="Q1976" s="3">
        <v>0</v>
      </c>
    </row>
    <row r="1977" spans="1:17" hidden="1" x14ac:dyDescent="0.3">
      <c r="A1977">
        <v>29</v>
      </c>
      <c r="B1977" t="str">
        <f>VLOOKUP($A1977,[1]LISTA!$B:$C,2,0)</f>
        <v>JULIO</v>
      </c>
      <c r="C1977" s="1">
        <v>2025</v>
      </c>
      <c r="D1977" s="1" t="str">
        <f>IF($A1977&lt;=[1]RESULTADOS!$D$6,"YTD","YTG")</f>
        <v>YTD</v>
      </c>
      <c r="E1977" t="s">
        <v>411</v>
      </c>
      <c r="F1977" t="s">
        <v>667</v>
      </c>
      <c r="G1977" t="s">
        <v>667</v>
      </c>
      <c r="H1977" t="s">
        <v>668</v>
      </c>
      <c r="I1977" t="s">
        <v>178</v>
      </c>
      <c r="J1977" t="str">
        <f>IFERROR(VLOOKUP(I1977,[1]AUTOS!$C:$G,2,0),"")</f>
        <v>VERSA</v>
      </c>
      <c r="K1977">
        <f>IFERROR(VLOOKUP(I1977,[1]AUTOS!$C:$G,3,0),"")</f>
        <v>2020</v>
      </c>
      <c r="L1977" t="str">
        <f>IFERROR(VLOOKUP(I1977,[1]AUTOS!$C:$G,4,0),"")</f>
        <v>BLANCO</v>
      </c>
      <c r="M1977" t="s">
        <v>43</v>
      </c>
      <c r="N1977" s="3">
        <v>5581.77</v>
      </c>
      <c r="O1977" s="3">
        <v>2500</v>
      </c>
      <c r="P1977" s="3">
        <v>2870</v>
      </c>
      <c r="Q1977" s="3">
        <v>0</v>
      </c>
    </row>
    <row r="1978" spans="1:17" hidden="1" x14ac:dyDescent="0.3">
      <c r="A1978">
        <v>29</v>
      </c>
      <c r="B1978" t="str">
        <f>VLOOKUP($A1978,[1]LISTA!$B:$C,2,0)</f>
        <v>JULIO</v>
      </c>
      <c r="C1978" s="1">
        <v>2025</v>
      </c>
      <c r="D1978" s="1" t="str">
        <f>IF($A1978&lt;=[1]RESULTADOS!$D$6,"YTD","YTG")</f>
        <v>YTD</v>
      </c>
      <c r="E1978" t="s">
        <v>702</v>
      </c>
      <c r="F1978" t="s">
        <v>667</v>
      </c>
      <c r="G1978" t="s">
        <v>667</v>
      </c>
      <c r="H1978" t="s">
        <v>668</v>
      </c>
      <c r="I1978" t="s">
        <v>82</v>
      </c>
      <c r="J1978" t="str">
        <f>IFERROR(VLOOKUP(I1978,[1]AUTOS!$C:$G,2,0),"")</f>
        <v>AVEO</v>
      </c>
      <c r="K1978">
        <f>IFERROR(VLOOKUP(I1978,[1]AUTOS!$C:$G,3,0),"")</f>
        <v>2019</v>
      </c>
      <c r="L1978" t="str">
        <f>IFERROR(VLOOKUP(I1978,[1]AUTOS!$C:$G,4,0),"")</f>
        <v>PLATA</v>
      </c>
      <c r="M1978" t="s">
        <v>43</v>
      </c>
      <c r="N1978" s="3">
        <v>4666.55</v>
      </c>
      <c r="O1978" s="3">
        <v>2500</v>
      </c>
      <c r="P1978" s="3">
        <v>3000</v>
      </c>
      <c r="Q1978" s="3">
        <v>500</v>
      </c>
    </row>
    <row r="1979" spans="1:17" hidden="1" x14ac:dyDescent="0.3">
      <c r="A1979">
        <v>29</v>
      </c>
      <c r="B1979" t="str">
        <f>VLOOKUP($A1979,[1]LISTA!$B:$C,2,0)</f>
        <v>JULIO</v>
      </c>
      <c r="C1979" s="1">
        <v>2025</v>
      </c>
      <c r="D1979" s="1" t="str">
        <f>IF($A1979&lt;=[1]RESULTADOS!$D$6,"YTD","YTG")</f>
        <v>YTD</v>
      </c>
      <c r="E1979" t="s">
        <v>703</v>
      </c>
      <c r="F1979" t="s">
        <v>667</v>
      </c>
      <c r="G1979" t="s">
        <v>667</v>
      </c>
      <c r="H1979" t="s">
        <v>668</v>
      </c>
      <c r="I1979" t="s">
        <v>182</v>
      </c>
      <c r="J1979" t="str">
        <f>IFERROR(VLOOKUP(I1979,[1]AUTOS!$C:$G,2,0),"")</f>
        <v>AVEO</v>
      </c>
      <c r="K1979">
        <f>IFERROR(VLOOKUP(I1979,[1]AUTOS!$C:$G,3,0),"")</f>
        <v>2020</v>
      </c>
      <c r="L1979" t="str">
        <f>IFERROR(VLOOKUP(I1979,[1]AUTOS!$C:$G,4,0),"")</f>
        <v>AZUL</v>
      </c>
      <c r="M1979" t="s">
        <v>43</v>
      </c>
      <c r="N1979" s="3">
        <v>1266.58</v>
      </c>
      <c r="O1979" s="3">
        <v>535.70000000000005</v>
      </c>
      <c r="P1979" s="3">
        <v>642.70000000000005</v>
      </c>
      <c r="Q1979" s="3">
        <v>107</v>
      </c>
    </row>
    <row r="1980" spans="1:17" hidden="1" x14ac:dyDescent="0.3">
      <c r="A1980">
        <v>29</v>
      </c>
      <c r="B1980" t="str">
        <f>VLOOKUP($A1980,[1]LISTA!$B:$C,2,0)</f>
        <v>JULIO</v>
      </c>
      <c r="C1980" s="1">
        <v>2025</v>
      </c>
      <c r="D1980" s="1" t="str">
        <f>IF($A1980&lt;=[1]RESULTADOS!$D$6,"YTD","YTG")</f>
        <v>YTD</v>
      </c>
      <c r="E1980" t="s">
        <v>526</v>
      </c>
      <c r="F1980" t="s">
        <v>667</v>
      </c>
      <c r="G1980" t="s">
        <v>667</v>
      </c>
      <c r="H1980" t="s">
        <v>668</v>
      </c>
      <c r="I1980" t="s">
        <v>67</v>
      </c>
      <c r="J1980" t="str">
        <f>IFERROR(VLOOKUP(I1980,[1]AUTOS!$C:$G,2,0),"")</f>
        <v>KIA RIO</v>
      </c>
      <c r="K1980">
        <f>IFERROR(VLOOKUP(I1980,[1]AUTOS!$C:$G,3,0),"")</f>
        <v>2020</v>
      </c>
      <c r="L1980" t="str">
        <f>IFERROR(VLOOKUP(I1980,[1]AUTOS!$C:$G,4,0),"")</f>
        <v>GRIS</v>
      </c>
      <c r="M1980" t="s">
        <v>43</v>
      </c>
      <c r="N1980" s="3">
        <v>5426</v>
      </c>
      <c r="O1980" s="3">
        <v>2500</v>
      </c>
      <c r="P1980" s="3">
        <v>3000</v>
      </c>
      <c r="Q1980" s="3">
        <v>0</v>
      </c>
    </row>
    <row r="1981" spans="1:17" hidden="1" x14ac:dyDescent="0.3">
      <c r="A1981">
        <v>29</v>
      </c>
      <c r="B1981" t="str">
        <f>VLOOKUP($A1981,[1]LISTA!$B:$C,2,0)</f>
        <v>JULIO</v>
      </c>
      <c r="C1981" s="1">
        <v>2025</v>
      </c>
      <c r="D1981" s="1" t="str">
        <f>IF($A1981&lt;=[1]RESULTADOS!$D$6,"YTD","YTG")</f>
        <v>YTD</v>
      </c>
      <c r="E1981" t="s">
        <v>681</v>
      </c>
      <c r="F1981" t="s">
        <v>667</v>
      </c>
      <c r="G1981" t="s">
        <v>667</v>
      </c>
      <c r="H1981" t="s">
        <v>668</v>
      </c>
      <c r="I1981" t="s">
        <v>102</v>
      </c>
      <c r="J1981" t="str">
        <f>IFERROR(VLOOKUP(I1981,[1]AUTOS!$C:$G,2,0),"")</f>
        <v>AVEO</v>
      </c>
      <c r="K1981">
        <f>IFERROR(VLOOKUP(I1981,[1]AUTOS!$C:$G,3,0),"")</f>
        <v>2022</v>
      </c>
      <c r="L1981" t="str">
        <f>IFERROR(VLOOKUP(I1981,[1]AUTOS!$C:$G,4,0),"")</f>
        <v>AZUL</v>
      </c>
      <c r="M1981" t="s">
        <v>43</v>
      </c>
      <c r="N1981" s="3">
        <v>3276.869999999999</v>
      </c>
      <c r="O1981" s="3">
        <v>2500</v>
      </c>
      <c r="P1981" s="3">
        <v>2529</v>
      </c>
      <c r="Q1981" s="3">
        <v>0</v>
      </c>
    </row>
    <row r="1982" spans="1:17" hidden="1" x14ac:dyDescent="0.3">
      <c r="A1982">
        <v>29</v>
      </c>
      <c r="B1982" t="str">
        <f>VLOOKUP($A1982,[1]LISTA!$B:$C,2,0)</f>
        <v>JULIO</v>
      </c>
      <c r="C1982" s="1">
        <v>2025</v>
      </c>
      <c r="D1982" s="1" t="str">
        <f>IF($A1982&lt;=[1]RESULTADOS!$D$6,"YTD","YTG")</f>
        <v>YTD</v>
      </c>
      <c r="E1982" t="s">
        <v>675</v>
      </c>
      <c r="F1982" t="s">
        <v>667</v>
      </c>
      <c r="G1982" t="s">
        <v>667</v>
      </c>
      <c r="H1982" t="s">
        <v>668</v>
      </c>
      <c r="I1982" t="s">
        <v>34</v>
      </c>
      <c r="J1982" t="str">
        <f>IFERROR(VLOOKUP(I1982,[1]AUTOS!$C:$G,2,0),"")</f>
        <v>AVEO</v>
      </c>
      <c r="K1982">
        <f>IFERROR(VLOOKUP(I1982,[1]AUTOS!$C:$G,3,0),"")</f>
        <v>2018</v>
      </c>
      <c r="L1982" t="str">
        <f>IFERROR(VLOOKUP(I1982,[1]AUTOS!$C:$G,4,0),"")</f>
        <v>ROJO</v>
      </c>
      <c r="M1982" t="s">
        <v>140</v>
      </c>
      <c r="N1982" s="3">
        <v>3031.57</v>
      </c>
      <c r="O1982" s="3">
        <v>2500</v>
      </c>
      <c r="P1982" s="3">
        <v>2500</v>
      </c>
      <c r="Q1982" s="3">
        <v>0</v>
      </c>
    </row>
    <row r="1983" spans="1:17" hidden="1" x14ac:dyDescent="0.3">
      <c r="A1983">
        <v>29</v>
      </c>
      <c r="B1983" t="str">
        <f>VLOOKUP($A1983,[1]LISTA!$B:$C,2,0)</f>
        <v>JULIO</v>
      </c>
      <c r="C1983" s="1">
        <v>2025</v>
      </c>
      <c r="D1983" s="1" t="str">
        <f>IF($A1983&lt;=[1]RESULTADOS!$D$6,"YTD","YTG")</f>
        <v>YTD</v>
      </c>
      <c r="E1983" t="s">
        <v>563</v>
      </c>
      <c r="F1983" t="s">
        <v>667</v>
      </c>
      <c r="G1983" t="s">
        <v>667</v>
      </c>
      <c r="H1983" t="s">
        <v>668</v>
      </c>
      <c r="I1983" t="s">
        <v>61</v>
      </c>
      <c r="J1983" t="str">
        <f>IFERROR(VLOOKUP(I1983,[1]AUTOS!$C:$G,2,0),"")</f>
        <v>KIA RIO</v>
      </c>
      <c r="K1983">
        <f>IFERROR(VLOOKUP(I1983,[1]AUTOS!$C:$G,3,0),"")</f>
        <v>2017</v>
      </c>
      <c r="L1983" t="str">
        <f>IFERROR(VLOOKUP(I1983,[1]AUTOS!$C:$G,4,0),"")</f>
        <v>ROJO</v>
      </c>
      <c r="M1983" t="s">
        <v>140</v>
      </c>
      <c r="N1983" s="3">
        <v>854.92000000000007</v>
      </c>
      <c r="O1983" s="3">
        <v>714</v>
      </c>
      <c r="P1983" s="3">
        <v>1213.92</v>
      </c>
      <c r="Q1983" s="3">
        <v>500</v>
      </c>
    </row>
    <row r="1984" spans="1:17" x14ac:dyDescent="0.3">
      <c r="A1984">
        <v>29</v>
      </c>
      <c r="B1984" t="str">
        <f>VLOOKUP($A1984,[1]LISTA!$B:$C,2,0)</f>
        <v>JULIO</v>
      </c>
      <c r="C1984" s="1">
        <v>2025</v>
      </c>
      <c r="D1984" s="1" t="str">
        <f>IF($A1984&lt;=[1]RESULTADOS!$D$6,"YTD","YTG")</f>
        <v>YTD</v>
      </c>
      <c r="E1984" t="s">
        <v>695</v>
      </c>
      <c r="F1984" t="s">
        <v>667</v>
      </c>
      <c r="G1984" t="s">
        <v>667</v>
      </c>
      <c r="H1984" t="s">
        <v>668</v>
      </c>
      <c r="I1984" t="s">
        <v>72</v>
      </c>
      <c r="J1984" t="str">
        <f>IFERROR(VLOOKUP(I1984,[1]AUTOS!$C:$G,2,0),"")</f>
        <v>VENTO</v>
      </c>
      <c r="K1984">
        <f>IFERROR(VLOOKUP(I1984,[1]AUTOS!$C:$G,3,0),"")</f>
        <v>2020</v>
      </c>
      <c r="L1984" t="str">
        <f>IFERROR(VLOOKUP(I1984,[1]AUTOS!$C:$G,4,0),"")</f>
        <v>GRIS</v>
      </c>
      <c r="M1984" t="s">
        <v>43</v>
      </c>
      <c r="N1984" s="3">
        <v>2087.9499999999998</v>
      </c>
      <c r="O1984" s="3">
        <v>2500</v>
      </c>
      <c r="P1984" s="3">
        <v>2787.95</v>
      </c>
      <c r="Q1984" s="3">
        <v>0</v>
      </c>
    </row>
    <row r="1985" spans="1:17" hidden="1" x14ac:dyDescent="0.3">
      <c r="A1985">
        <v>29</v>
      </c>
      <c r="B1985" t="str">
        <f>VLOOKUP($A1985,[1]LISTA!$B:$C,2,0)</f>
        <v>JULIO</v>
      </c>
      <c r="C1985" s="1">
        <v>2025</v>
      </c>
      <c r="D1985" s="1" t="str">
        <f>IF($A1985&lt;=[1]RESULTADOS!$D$6,"YTD","YTG")</f>
        <v>YTD</v>
      </c>
      <c r="E1985" t="s">
        <v>701</v>
      </c>
      <c r="F1985" t="s">
        <v>667</v>
      </c>
      <c r="G1985" t="s">
        <v>667</v>
      </c>
      <c r="H1985" t="s">
        <v>668</v>
      </c>
      <c r="I1985" t="s">
        <v>46</v>
      </c>
      <c r="J1985" t="str">
        <f>IFERROR(VLOOKUP(I1985,[1]AUTOS!$C:$G,2,0),"")</f>
        <v>MARCH</v>
      </c>
      <c r="K1985">
        <f>IFERROR(VLOOKUP(I1985,[1]AUTOS!$C:$G,3,0),"")</f>
        <v>2020</v>
      </c>
      <c r="L1985" t="str">
        <f>IFERROR(VLOOKUP(I1985,[1]AUTOS!$C:$G,4,0),"")</f>
        <v>TURQ</v>
      </c>
      <c r="M1985" t="s">
        <v>43</v>
      </c>
      <c r="N1985" s="3">
        <v>1812.9600000000005</v>
      </c>
      <c r="O1985" s="3">
        <v>2500</v>
      </c>
      <c r="P1985" s="3">
        <v>1812.9600000000005</v>
      </c>
      <c r="Q1985" s="3">
        <v>0</v>
      </c>
    </row>
    <row r="1986" spans="1:17" hidden="1" x14ac:dyDescent="0.3">
      <c r="A1986">
        <v>29</v>
      </c>
      <c r="B1986" t="str">
        <f>VLOOKUP($A1986,[1]LISTA!$B:$C,2,0)</f>
        <v>JULIO</v>
      </c>
      <c r="C1986" s="1">
        <v>2025</v>
      </c>
      <c r="D1986" s="1" t="str">
        <f>IF($A1986&lt;=[1]RESULTADOS!$D$6,"YTD","YTG")</f>
        <v>YTD</v>
      </c>
      <c r="E1986" t="s">
        <v>403</v>
      </c>
      <c r="F1986" t="s">
        <v>667</v>
      </c>
      <c r="G1986" t="s">
        <v>667</v>
      </c>
      <c r="H1986" t="s">
        <v>668</v>
      </c>
      <c r="I1986" t="s">
        <v>51</v>
      </c>
      <c r="J1986" t="str">
        <f>IFERROR(VLOOKUP(I1986,[1]AUTOS!$C:$G,2,0),"")</f>
        <v>VENTO</v>
      </c>
      <c r="K1986">
        <f>IFERROR(VLOOKUP(I1986,[1]AUTOS!$C:$G,3,0),"")</f>
        <v>2017</v>
      </c>
      <c r="L1986" t="str">
        <f>IFERROR(VLOOKUP(I1986,[1]AUTOS!$C:$G,4,0),"")</f>
        <v>GRIS</v>
      </c>
      <c r="M1986" t="s">
        <v>43</v>
      </c>
      <c r="N1986" s="3">
        <v>2432.04</v>
      </c>
      <c r="O1986" s="3">
        <v>2300</v>
      </c>
      <c r="P1986" s="3">
        <v>2300</v>
      </c>
      <c r="Q1986" s="3">
        <v>0</v>
      </c>
    </row>
    <row r="1987" spans="1:17" hidden="1" x14ac:dyDescent="0.3">
      <c r="A1987">
        <v>29</v>
      </c>
      <c r="B1987" t="str">
        <f>VLOOKUP($A1987,[1]LISTA!$B:$C,2,0)</f>
        <v>JULIO</v>
      </c>
      <c r="C1987" s="1">
        <v>2025</v>
      </c>
      <c r="D1987" s="1" t="str">
        <f>IF($A1987&lt;=[1]RESULTADOS!$D$6,"YTD","YTG")</f>
        <v>YTD</v>
      </c>
      <c r="E1987" t="s">
        <v>470</v>
      </c>
      <c r="F1987" t="s">
        <v>667</v>
      </c>
      <c r="G1987" t="s">
        <v>667</v>
      </c>
      <c r="H1987" t="s">
        <v>668</v>
      </c>
      <c r="I1987" t="s">
        <v>73</v>
      </c>
      <c r="J1987" t="str">
        <f>IFERROR(VLOOKUP(I1987,[1]AUTOS!$C:$G,2,0),"")</f>
        <v>VERSA</v>
      </c>
      <c r="K1987">
        <f>IFERROR(VLOOKUP(I1987,[1]AUTOS!$C:$G,3,0),"")</f>
        <v>2023</v>
      </c>
      <c r="L1987" t="str">
        <f>IFERROR(VLOOKUP(I1987,[1]AUTOS!$C:$G,4,0),"")</f>
        <v>PLATA</v>
      </c>
      <c r="M1987" t="s">
        <v>43</v>
      </c>
      <c r="N1987" s="3">
        <v>1464.44</v>
      </c>
      <c r="O1987" s="3">
        <v>2500</v>
      </c>
      <c r="P1987" s="3">
        <v>1764.44</v>
      </c>
      <c r="Q1987" s="3">
        <v>0</v>
      </c>
    </row>
    <row r="1988" spans="1:17" hidden="1" x14ac:dyDescent="0.3">
      <c r="A1988">
        <v>29</v>
      </c>
      <c r="B1988" t="str">
        <f>VLOOKUP($A1988,[1]LISTA!$B:$C,2,0)</f>
        <v>JULIO</v>
      </c>
      <c r="C1988" s="1">
        <v>2025</v>
      </c>
      <c r="D1988" s="1" t="str">
        <f>IF($A1988&lt;=[1]RESULTADOS!$D$6,"YTD","YTG")</f>
        <v>YTD</v>
      </c>
      <c r="E1988" t="s">
        <v>402</v>
      </c>
      <c r="F1988" t="s">
        <v>667</v>
      </c>
      <c r="G1988" t="s">
        <v>667</v>
      </c>
      <c r="H1988" t="s">
        <v>668</v>
      </c>
      <c r="I1988" t="s">
        <v>59</v>
      </c>
      <c r="J1988" t="str">
        <f>IFERROR(VLOOKUP(I1988,[1]AUTOS!$C:$G,2,0),"")</f>
        <v>AVEO</v>
      </c>
      <c r="K1988">
        <f>IFERROR(VLOOKUP(I1988,[1]AUTOS!$C:$G,3,0),"")</f>
        <v>2019</v>
      </c>
      <c r="L1988" t="str">
        <f>IFERROR(VLOOKUP(I1988,[1]AUTOS!$C:$G,4,0),"")</f>
        <v>BLANCO</v>
      </c>
      <c r="M1988" t="s">
        <v>43</v>
      </c>
      <c r="N1988" s="3">
        <v>2059.6</v>
      </c>
      <c r="O1988" s="3">
        <v>2500</v>
      </c>
      <c r="P1988" s="3">
        <v>2999.6</v>
      </c>
      <c r="Q1988" s="3">
        <v>500</v>
      </c>
    </row>
    <row r="1989" spans="1:17" hidden="1" x14ac:dyDescent="0.3">
      <c r="A1989">
        <v>29</v>
      </c>
      <c r="B1989" t="str">
        <f>VLOOKUP($A1989,[1]LISTA!$B:$C,2,0)</f>
        <v>JULIO</v>
      </c>
      <c r="C1989" s="1">
        <v>2025</v>
      </c>
      <c r="D1989" s="1" t="str">
        <f>IF($A1989&lt;=[1]RESULTADOS!$D$6,"YTD","YTG")</f>
        <v>YTD</v>
      </c>
      <c r="E1989" t="s">
        <v>700</v>
      </c>
      <c r="F1989" t="s">
        <v>667</v>
      </c>
      <c r="G1989" t="s">
        <v>667</v>
      </c>
      <c r="H1989" t="s">
        <v>668</v>
      </c>
      <c r="I1989" t="s">
        <v>370</v>
      </c>
      <c r="J1989" t="str">
        <f>IFERROR(VLOOKUP(I1989,[1]AUTOS!$C:$G,2,0),"")</f>
        <v>KIA RIO</v>
      </c>
      <c r="K1989">
        <f>IFERROR(VLOOKUP(I1989,[1]AUTOS!$C:$G,3,0),"")</f>
        <v>2020</v>
      </c>
      <c r="L1989" t="str">
        <f>IFERROR(VLOOKUP(I1989,[1]AUTOS!$C:$G,4,0),"")</f>
        <v>AZUL</v>
      </c>
      <c r="M1989" t="s">
        <v>215</v>
      </c>
      <c r="N1989" s="3">
        <v>3743.8</v>
      </c>
      <c r="O1989" s="3">
        <v>1964</v>
      </c>
      <c r="P1989" s="3">
        <v>1969</v>
      </c>
      <c r="Q1989" s="3">
        <v>0</v>
      </c>
    </row>
    <row r="1990" spans="1:17" hidden="1" x14ac:dyDescent="0.3">
      <c r="A1990">
        <v>29</v>
      </c>
      <c r="B1990" t="str">
        <f>VLOOKUP($A1990,[1]LISTA!$B:$C,2,0)</f>
        <v>JULIO</v>
      </c>
      <c r="C1990" s="1">
        <v>2025</v>
      </c>
      <c r="D1990" s="1" t="str">
        <f>IF($A1990&lt;=[1]RESULTADOS!$D$6,"YTD","YTG")</f>
        <v>YTD</v>
      </c>
      <c r="E1990" t="s">
        <v>417</v>
      </c>
      <c r="F1990" t="s">
        <v>667</v>
      </c>
      <c r="G1990" t="s">
        <v>667</v>
      </c>
      <c r="H1990" t="s">
        <v>668</v>
      </c>
      <c r="I1990" t="s">
        <v>214</v>
      </c>
      <c r="J1990" t="str">
        <f>IFERROR(VLOOKUP(I1990,[1]AUTOS!$C:$G,2,0),"")</f>
        <v>VENTO</v>
      </c>
      <c r="K1990">
        <f>IFERROR(VLOOKUP(I1990,[1]AUTOS!$C:$G,3,0),"")</f>
        <v>2019</v>
      </c>
      <c r="L1990" t="str">
        <f>IFERROR(VLOOKUP(I1990,[1]AUTOS!$C:$G,4,0),"")</f>
        <v>BLANCO</v>
      </c>
      <c r="M1990" t="s">
        <v>215</v>
      </c>
      <c r="N1990" s="3">
        <v>1691.2700000000002</v>
      </c>
      <c r="O1990" s="3">
        <v>2500</v>
      </c>
      <c r="P1990" s="3">
        <v>3000.2700000000004</v>
      </c>
      <c r="Q1990" s="3">
        <v>500</v>
      </c>
    </row>
    <row r="1991" spans="1:17" hidden="1" x14ac:dyDescent="0.3">
      <c r="A1991">
        <v>29</v>
      </c>
      <c r="B1991" t="str">
        <f>VLOOKUP($A1991,[1]LISTA!$B:$C,2,0)</f>
        <v>JULIO</v>
      </c>
      <c r="C1991" s="1">
        <v>2025</v>
      </c>
      <c r="D1991" s="1" t="str">
        <f>IF($A1991&lt;=[1]RESULTADOS!$D$6,"YTD","YTG")</f>
        <v>YTD</v>
      </c>
      <c r="E1991" t="s">
        <v>377</v>
      </c>
      <c r="F1991" t="s">
        <v>667</v>
      </c>
      <c r="G1991" t="s">
        <v>667</v>
      </c>
      <c r="H1991" t="s">
        <v>668</v>
      </c>
      <c r="I1991" t="s">
        <v>42</v>
      </c>
      <c r="J1991" t="str">
        <f>IFERROR(VLOOKUP(I1991,[1]AUTOS!$C:$G,2,0),"")</f>
        <v>VENTO</v>
      </c>
      <c r="K1991">
        <f>IFERROR(VLOOKUP(I1991,[1]AUTOS!$C:$G,3,0),"")</f>
        <v>2018</v>
      </c>
      <c r="L1991" t="str">
        <f>IFERROR(VLOOKUP(I1991,[1]AUTOS!$C:$G,4,0),"")</f>
        <v>AMARILLO</v>
      </c>
      <c r="M1991" t="s">
        <v>43</v>
      </c>
      <c r="N1991" s="3">
        <v>6544.76</v>
      </c>
      <c r="O1991" s="3">
        <v>2500</v>
      </c>
      <c r="P1991" s="3">
        <v>3000</v>
      </c>
      <c r="Q1991" s="3">
        <v>500</v>
      </c>
    </row>
    <row r="1992" spans="1:17" hidden="1" x14ac:dyDescent="0.3">
      <c r="A1992">
        <v>30</v>
      </c>
      <c r="B1992" t="str">
        <f>VLOOKUP($A1992,[1]LISTA!$B:$C,2,0)</f>
        <v>JULIO</v>
      </c>
      <c r="C1992" s="1">
        <v>2025</v>
      </c>
      <c r="D1992" s="1" t="str">
        <f>IF($A1992&lt;=[1]RESULTADOS!$D$6,"YTD","YTG")</f>
        <v>YTD</v>
      </c>
      <c r="E1992" t="s">
        <v>492</v>
      </c>
      <c r="F1992" t="s">
        <v>667</v>
      </c>
      <c r="G1992" t="s">
        <v>667</v>
      </c>
      <c r="H1992" t="s">
        <v>668</v>
      </c>
      <c r="I1992" t="s">
        <v>144</v>
      </c>
      <c r="J1992" t="str">
        <f>IFERROR(VLOOKUP(I1992,[1]AUTOS!$C:$G,2,0),"")</f>
        <v>VERSA</v>
      </c>
      <c r="K1992">
        <f>IFERROR(VLOOKUP(I1992,[1]AUTOS!$C:$G,3,0),"")</f>
        <v>2020</v>
      </c>
      <c r="L1992" t="str">
        <f>IFERROR(VLOOKUP(I1992,[1]AUTOS!$C:$G,4,0),"")</f>
        <v>ROJO</v>
      </c>
      <c r="M1992" t="s">
        <v>43</v>
      </c>
      <c r="N1992" s="3">
        <v>1003.6199999999999</v>
      </c>
      <c r="O1992" s="3">
        <v>2500</v>
      </c>
      <c r="P1992" s="3">
        <v>2999.62</v>
      </c>
      <c r="Q1992" s="3">
        <v>0</v>
      </c>
    </row>
    <row r="1993" spans="1:17" hidden="1" x14ac:dyDescent="0.3">
      <c r="A1993">
        <v>30</v>
      </c>
      <c r="B1993" t="str">
        <f>VLOOKUP($A1993,[1]LISTA!$B:$C,2,0)</f>
        <v>JULIO</v>
      </c>
      <c r="C1993" s="1">
        <v>2025</v>
      </c>
      <c r="D1993" s="1" t="str">
        <f>IF($A1993&lt;=[1]RESULTADOS!$D$6,"YTD","YTG")</f>
        <v>YTD</v>
      </c>
      <c r="E1993" t="s">
        <v>691</v>
      </c>
      <c r="F1993" t="s">
        <v>667</v>
      </c>
      <c r="G1993" t="s">
        <v>667</v>
      </c>
      <c r="H1993" t="s">
        <v>668</v>
      </c>
      <c r="I1993" t="s">
        <v>139</v>
      </c>
      <c r="J1993" t="str">
        <f>IFERROR(VLOOKUP(I1993,[1]AUTOS!$C:$G,2,0),"")</f>
        <v>SWIFT</v>
      </c>
      <c r="K1993">
        <f>IFERROR(VLOOKUP(I1993,[1]AUTOS!$C:$G,3,0),"")</f>
        <v>2017</v>
      </c>
      <c r="L1993" t="str">
        <f>IFERROR(VLOOKUP(I1993,[1]AUTOS!$C:$G,4,0),"")</f>
        <v>ROJO</v>
      </c>
      <c r="M1993" t="s">
        <v>43</v>
      </c>
      <c r="N1993" s="3">
        <v>4104.01</v>
      </c>
      <c r="O1993" s="3">
        <v>2500</v>
      </c>
      <c r="P1993" s="3">
        <v>3600</v>
      </c>
      <c r="Q1993" s="3">
        <v>0</v>
      </c>
    </row>
    <row r="1994" spans="1:17" hidden="1" x14ac:dyDescent="0.3">
      <c r="A1994">
        <v>30</v>
      </c>
      <c r="B1994" t="str">
        <f>VLOOKUP($A1994,[1]LISTA!$B:$C,2,0)</f>
        <v>JULIO</v>
      </c>
      <c r="C1994" s="1">
        <v>2025</v>
      </c>
      <c r="D1994" s="1" t="str">
        <f>IF($A1994&lt;=[1]RESULTADOS!$D$6,"YTD","YTG")</f>
        <v>YTD</v>
      </c>
      <c r="E1994" t="s">
        <v>478</v>
      </c>
      <c r="F1994" t="s">
        <v>667</v>
      </c>
      <c r="G1994" t="s">
        <v>667</v>
      </c>
      <c r="H1994" t="s">
        <v>668</v>
      </c>
      <c r="I1994" t="s">
        <v>185</v>
      </c>
      <c r="J1994" t="str">
        <f>IFERROR(VLOOKUP(I1994,[1]AUTOS!$C:$G,2,0),"")</f>
        <v>MARCH</v>
      </c>
      <c r="K1994">
        <f>IFERROR(VLOOKUP(I1994,[1]AUTOS!$C:$G,3,0),"")</f>
        <v>2021</v>
      </c>
      <c r="L1994" t="str">
        <f>IFERROR(VLOOKUP(I1994,[1]AUTOS!$C:$G,4,0),"")</f>
        <v>ROJO</v>
      </c>
      <c r="M1994" t="s">
        <v>43</v>
      </c>
      <c r="N1994" s="3">
        <v>2526.6899999999996</v>
      </c>
      <c r="O1994" s="3">
        <v>2500</v>
      </c>
      <c r="P1994" s="3">
        <v>2500</v>
      </c>
      <c r="Q1994" s="3">
        <v>0</v>
      </c>
    </row>
    <row r="1995" spans="1:17" hidden="1" x14ac:dyDescent="0.3">
      <c r="A1995">
        <v>30</v>
      </c>
      <c r="B1995" t="str">
        <f>VLOOKUP($A1995,[1]LISTA!$B:$C,2,0)</f>
        <v>JULIO</v>
      </c>
      <c r="C1995" s="1">
        <v>2025</v>
      </c>
      <c r="D1995" s="1" t="str">
        <f>IF($A1995&lt;=[1]RESULTADOS!$D$6,"YTD","YTG")</f>
        <v>YTD</v>
      </c>
      <c r="E1995" t="s">
        <v>436</v>
      </c>
      <c r="F1995" t="s">
        <v>667</v>
      </c>
      <c r="G1995" t="s">
        <v>667</v>
      </c>
      <c r="H1995" t="s">
        <v>668</v>
      </c>
      <c r="I1995" t="s">
        <v>131</v>
      </c>
      <c r="J1995" t="str">
        <f>IFERROR(VLOOKUP(I1995,[1]AUTOS!$C:$G,2,0),"")</f>
        <v>AVEO</v>
      </c>
      <c r="K1995">
        <f>IFERROR(VLOOKUP(I1995,[1]AUTOS!$C:$G,3,0),"")</f>
        <v>2024</v>
      </c>
      <c r="L1995" t="str">
        <f>IFERROR(VLOOKUP(I1995,[1]AUTOS!$C:$G,4,0),"")</f>
        <v>GRIS</v>
      </c>
      <c r="M1995" t="s">
        <v>43</v>
      </c>
      <c r="N1995" s="3">
        <v>1485.1999999999998</v>
      </c>
      <c r="O1995" s="3">
        <v>2500</v>
      </c>
      <c r="P1995" s="3">
        <v>2985.2</v>
      </c>
      <c r="Q1995" s="3">
        <v>0</v>
      </c>
    </row>
    <row r="1996" spans="1:17" hidden="1" x14ac:dyDescent="0.3">
      <c r="A1996">
        <v>30</v>
      </c>
      <c r="B1996" t="str">
        <f>VLOOKUP($A1996,[1]LISTA!$B:$C,2,0)</f>
        <v>JULIO</v>
      </c>
      <c r="C1996" s="1">
        <v>2025</v>
      </c>
      <c r="D1996" s="1" t="str">
        <f>IF($A1996&lt;=[1]RESULTADOS!$D$6,"YTD","YTG")</f>
        <v>YTD</v>
      </c>
      <c r="E1996" t="s">
        <v>699</v>
      </c>
      <c r="F1996" t="s">
        <v>667</v>
      </c>
      <c r="G1996" t="s">
        <v>667</v>
      </c>
      <c r="H1996" t="s">
        <v>668</v>
      </c>
      <c r="I1996" t="s">
        <v>76</v>
      </c>
      <c r="J1996" t="str">
        <f>IFERROR(VLOOKUP(I1996,[1]AUTOS!$C:$G,2,0),"")</f>
        <v>AVEO</v>
      </c>
      <c r="K1996">
        <f>IFERROR(VLOOKUP(I1996,[1]AUTOS!$C:$G,3,0),"")</f>
        <v>2018</v>
      </c>
      <c r="L1996" t="str">
        <f>IFERROR(VLOOKUP(I1996,[1]AUTOS!$C:$G,4,0),"")</f>
        <v>GRIS</v>
      </c>
      <c r="M1996" t="s">
        <v>43</v>
      </c>
      <c r="N1996" s="3">
        <v>942.93000000000006</v>
      </c>
      <c r="O1996" s="3">
        <v>2500</v>
      </c>
      <c r="P1996" s="3">
        <v>2442.9300000000003</v>
      </c>
      <c r="Q1996" s="3">
        <v>500</v>
      </c>
    </row>
    <row r="1997" spans="1:17" hidden="1" x14ac:dyDescent="0.3">
      <c r="A1997">
        <v>30</v>
      </c>
      <c r="B1997" t="str">
        <f>VLOOKUP($A1997,[1]LISTA!$B:$C,2,0)</f>
        <v>JULIO</v>
      </c>
      <c r="C1997" s="1">
        <v>2025</v>
      </c>
      <c r="D1997" s="1" t="str">
        <f>IF($A1997&lt;=[1]RESULTADOS!$D$6,"YTD","YTG")</f>
        <v>YTD</v>
      </c>
      <c r="E1997" t="s">
        <v>456</v>
      </c>
      <c r="F1997" t="s">
        <v>667</v>
      </c>
      <c r="G1997" t="s">
        <v>667</v>
      </c>
      <c r="H1997" t="s">
        <v>668</v>
      </c>
      <c r="I1997" t="s">
        <v>146</v>
      </c>
      <c r="J1997" t="str">
        <f>IFERROR(VLOOKUP(I1997,[1]AUTOS!$C:$G,2,0),"")</f>
        <v>KIA RIO</v>
      </c>
      <c r="K1997">
        <f>IFERROR(VLOOKUP(I1997,[1]AUTOS!$C:$G,3,0),"")</f>
        <v>2023</v>
      </c>
      <c r="L1997" t="str">
        <f>IFERROR(VLOOKUP(I1997,[1]AUTOS!$C:$G,4,0),"")</f>
        <v>ROJO</v>
      </c>
      <c r="M1997" t="s">
        <v>140</v>
      </c>
      <c r="N1997" s="3">
        <v>4559.33</v>
      </c>
      <c r="O1997" s="3">
        <v>2500</v>
      </c>
      <c r="P1997" s="3">
        <v>4559.33</v>
      </c>
      <c r="Q1997" s="3">
        <v>0</v>
      </c>
    </row>
    <row r="1998" spans="1:17" hidden="1" x14ac:dyDescent="0.3">
      <c r="A1998">
        <v>30</v>
      </c>
      <c r="B1998" t="str">
        <f>VLOOKUP($A1998,[1]LISTA!$B:$C,2,0)</f>
        <v>JULIO</v>
      </c>
      <c r="C1998" s="1">
        <v>2025</v>
      </c>
      <c r="D1998" s="1" t="str">
        <f>IF($A1998&lt;=[1]RESULTADOS!$D$6,"YTD","YTG")</f>
        <v>YTD</v>
      </c>
      <c r="E1998" t="s">
        <v>411</v>
      </c>
      <c r="F1998" t="s">
        <v>667</v>
      </c>
      <c r="G1998" t="s">
        <v>667</v>
      </c>
      <c r="H1998" t="s">
        <v>668</v>
      </c>
      <c r="I1998" t="s">
        <v>178</v>
      </c>
      <c r="J1998" t="str">
        <f>IFERROR(VLOOKUP(I1998,[1]AUTOS!$C:$G,2,0),"")</f>
        <v>VERSA</v>
      </c>
      <c r="K1998">
        <f>IFERROR(VLOOKUP(I1998,[1]AUTOS!$C:$G,3,0),"")</f>
        <v>2020</v>
      </c>
      <c r="L1998" t="str">
        <f>IFERROR(VLOOKUP(I1998,[1]AUTOS!$C:$G,4,0),"")</f>
        <v>BLANCO</v>
      </c>
      <c r="M1998" t="s">
        <v>43</v>
      </c>
      <c r="N1998" s="3">
        <v>5607.99</v>
      </c>
      <c r="O1998" s="3">
        <v>2500</v>
      </c>
      <c r="P1998" s="3">
        <v>3500</v>
      </c>
      <c r="Q1998" s="3">
        <v>0</v>
      </c>
    </row>
    <row r="1999" spans="1:17" hidden="1" x14ac:dyDescent="0.3">
      <c r="A1999">
        <v>30</v>
      </c>
      <c r="B1999" t="str">
        <f>VLOOKUP($A1999,[1]LISTA!$B:$C,2,0)</f>
        <v>JULIO</v>
      </c>
      <c r="C1999" s="1">
        <v>2025</v>
      </c>
      <c r="D1999" s="1" t="str">
        <f>IF($A1999&lt;=[1]RESULTADOS!$D$6,"YTD","YTG")</f>
        <v>YTD</v>
      </c>
      <c r="E1999" t="s">
        <v>702</v>
      </c>
      <c r="F1999" t="s">
        <v>667</v>
      </c>
      <c r="G1999" t="s">
        <v>667</v>
      </c>
      <c r="H1999" t="s">
        <v>668</v>
      </c>
      <c r="I1999" t="s">
        <v>82</v>
      </c>
      <c r="J1999" t="str">
        <f>IFERROR(VLOOKUP(I1999,[1]AUTOS!$C:$G,2,0),"")</f>
        <v>AVEO</v>
      </c>
      <c r="K1999">
        <f>IFERROR(VLOOKUP(I1999,[1]AUTOS!$C:$G,3,0),"")</f>
        <v>2019</v>
      </c>
      <c r="L1999" t="str">
        <f>IFERROR(VLOOKUP(I1999,[1]AUTOS!$C:$G,4,0),"")</f>
        <v>PLATA</v>
      </c>
      <c r="M1999" t="s">
        <v>43</v>
      </c>
      <c r="N1999" s="3">
        <v>960.81</v>
      </c>
      <c r="O1999" s="3">
        <v>2500</v>
      </c>
      <c r="P1999" s="3">
        <v>0</v>
      </c>
      <c r="Q1999" s="3">
        <v>500</v>
      </c>
    </row>
    <row r="2000" spans="1:17" hidden="1" x14ac:dyDescent="0.3">
      <c r="A2000">
        <v>30</v>
      </c>
      <c r="B2000" t="str">
        <f>VLOOKUP($A2000,[1]LISTA!$B:$C,2,0)</f>
        <v>JULIO</v>
      </c>
      <c r="C2000" s="1">
        <v>2025</v>
      </c>
      <c r="D2000" s="1" t="str">
        <f>IF($A2000&lt;=[1]RESULTADOS!$D$6,"YTD","YTG")</f>
        <v>YTD</v>
      </c>
      <c r="E2000" t="s">
        <v>703</v>
      </c>
      <c r="F2000" t="s">
        <v>667</v>
      </c>
      <c r="G2000" t="s">
        <v>667</v>
      </c>
      <c r="H2000" t="s">
        <v>668</v>
      </c>
      <c r="I2000" t="s">
        <v>182</v>
      </c>
      <c r="J2000" t="str">
        <f>IFERROR(VLOOKUP(I2000,[1]AUTOS!$C:$G,2,0),"")</f>
        <v>AVEO</v>
      </c>
      <c r="K2000">
        <f>IFERROR(VLOOKUP(I2000,[1]AUTOS!$C:$G,3,0),"")</f>
        <v>2020</v>
      </c>
      <c r="L2000" t="str">
        <f>IFERROR(VLOOKUP(I2000,[1]AUTOS!$C:$G,4,0),"")</f>
        <v>AZUL</v>
      </c>
      <c r="M2000" t="s">
        <v>43</v>
      </c>
      <c r="N2000" s="3">
        <v>3893.9200000000005</v>
      </c>
      <c r="O2000" s="3">
        <v>2500</v>
      </c>
      <c r="P2000" s="3">
        <v>3000</v>
      </c>
      <c r="Q2000" s="3">
        <v>500</v>
      </c>
    </row>
    <row r="2001" spans="1:17" hidden="1" x14ac:dyDescent="0.3">
      <c r="A2001">
        <v>30</v>
      </c>
      <c r="B2001" t="str">
        <f>VLOOKUP($A2001,[1]LISTA!$B:$C,2,0)</f>
        <v>JULIO</v>
      </c>
      <c r="C2001" s="1">
        <v>2025</v>
      </c>
      <c r="D2001" s="1" t="str">
        <f>IF($A2001&lt;=[1]RESULTADOS!$D$6,"YTD","YTG")</f>
        <v>YTD</v>
      </c>
      <c r="E2001" t="s">
        <v>526</v>
      </c>
      <c r="F2001" t="s">
        <v>667</v>
      </c>
      <c r="G2001" t="s">
        <v>667</v>
      </c>
      <c r="H2001" t="s">
        <v>668</v>
      </c>
      <c r="I2001" t="s">
        <v>67</v>
      </c>
      <c r="J2001" t="str">
        <f>IFERROR(VLOOKUP(I2001,[1]AUTOS!$C:$G,2,0),"")</f>
        <v>KIA RIO</v>
      </c>
      <c r="K2001">
        <f>IFERROR(VLOOKUP(I2001,[1]AUTOS!$C:$G,3,0),"")</f>
        <v>2020</v>
      </c>
      <c r="L2001" t="str">
        <f>IFERROR(VLOOKUP(I2001,[1]AUTOS!$C:$G,4,0),"")</f>
        <v>GRIS</v>
      </c>
      <c r="M2001" t="s">
        <v>43</v>
      </c>
      <c r="N2001" s="3">
        <v>5560.19</v>
      </c>
      <c r="O2001" s="3">
        <v>2500</v>
      </c>
      <c r="P2001" s="3">
        <v>3000</v>
      </c>
      <c r="Q2001" s="3">
        <v>0</v>
      </c>
    </row>
    <row r="2002" spans="1:17" hidden="1" x14ac:dyDescent="0.3">
      <c r="A2002">
        <v>30</v>
      </c>
      <c r="B2002" t="str">
        <f>VLOOKUP($A2002,[1]LISTA!$B:$C,2,0)</f>
        <v>JULIO</v>
      </c>
      <c r="C2002" s="1">
        <v>2025</v>
      </c>
      <c r="D2002" s="1" t="str">
        <f>IF($A2002&lt;=[1]RESULTADOS!$D$6,"YTD","YTG")</f>
        <v>YTD</v>
      </c>
      <c r="E2002" t="s">
        <v>681</v>
      </c>
      <c r="F2002" t="s">
        <v>667</v>
      </c>
      <c r="G2002" t="s">
        <v>667</v>
      </c>
      <c r="H2002" t="s">
        <v>668</v>
      </c>
      <c r="I2002" t="s">
        <v>102</v>
      </c>
      <c r="J2002" t="str">
        <f>IFERROR(VLOOKUP(I2002,[1]AUTOS!$C:$G,2,0),"")</f>
        <v>AVEO</v>
      </c>
      <c r="K2002">
        <f>IFERROR(VLOOKUP(I2002,[1]AUTOS!$C:$G,3,0),"")</f>
        <v>2022</v>
      </c>
      <c r="L2002" t="str">
        <f>IFERROR(VLOOKUP(I2002,[1]AUTOS!$C:$G,4,0),"")</f>
        <v>AZUL</v>
      </c>
      <c r="M2002" t="s">
        <v>43</v>
      </c>
      <c r="N2002" s="3">
        <v>2372.7100000000005</v>
      </c>
      <c r="O2002" s="3">
        <v>2143</v>
      </c>
      <c r="P2002" s="3">
        <v>2195</v>
      </c>
      <c r="Q2002" s="3">
        <v>0</v>
      </c>
    </row>
    <row r="2003" spans="1:17" hidden="1" x14ac:dyDescent="0.3">
      <c r="A2003">
        <v>30</v>
      </c>
      <c r="B2003" t="str">
        <f>VLOOKUP($A2003,[1]LISTA!$B:$C,2,0)</f>
        <v>JULIO</v>
      </c>
      <c r="C2003" s="1">
        <v>2025</v>
      </c>
      <c r="D2003" s="1" t="str">
        <f>IF($A2003&lt;=[1]RESULTADOS!$D$6,"YTD","YTG")</f>
        <v>YTD</v>
      </c>
      <c r="E2003" t="s">
        <v>675</v>
      </c>
      <c r="F2003" t="s">
        <v>667</v>
      </c>
      <c r="G2003" t="s">
        <v>667</v>
      </c>
      <c r="H2003" t="s">
        <v>668</v>
      </c>
      <c r="I2003" t="s">
        <v>40</v>
      </c>
      <c r="J2003" t="str">
        <f>IFERROR(VLOOKUP(I2003,[1]AUTOS!$C:$G,2,0),"")</f>
        <v>VERSA</v>
      </c>
      <c r="K2003">
        <f>IFERROR(VLOOKUP(I2003,[1]AUTOS!$C:$G,3,0),"")</f>
        <v>2017</v>
      </c>
      <c r="L2003" t="str">
        <f>IFERROR(VLOOKUP(I2003,[1]AUTOS!$C:$G,4,0),"")</f>
        <v>ACERO</v>
      </c>
      <c r="M2003" t="s">
        <v>140</v>
      </c>
      <c r="N2003" s="3">
        <v>2398.08</v>
      </c>
      <c r="O2003" s="3">
        <v>2500</v>
      </c>
      <c r="P2003" s="3">
        <v>3018.08</v>
      </c>
      <c r="Q2003" s="3">
        <v>0</v>
      </c>
    </row>
    <row r="2004" spans="1:17" hidden="1" x14ac:dyDescent="0.3">
      <c r="A2004">
        <v>30</v>
      </c>
      <c r="B2004" t="str">
        <f>VLOOKUP($A2004,[1]LISTA!$B:$C,2,0)</f>
        <v>JULIO</v>
      </c>
      <c r="C2004" s="1">
        <v>2025</v>
      </c>
      <c r="D2004" s="1" t="str">
        <f>IF($A2004&lt;=[1]RESULTADOS!$D$6,"YTD","YTG")</f>
        <v>YTD</v>
      </c>
      <c r="E2004" t="s">
        <v>563</v>
      </c>
      <c r="F2004" t="s">
        <v>667</v>
      </c>
      <c r="G2004" t="s">
        <v>667</v>
      </c>
      <c r="H2004" t="s">
        <v>668</v>
      </c>
      <c r="I2004" t="s">
        <v>61</v>
      </c>
      <c r="J2004" t="str">
        <f>IFERROR(VLOOKUP(I2004,[1]AUTOS!$C:$G,2,0),"")</f>
        <v>KIA RIO</v>
      </c>
      <c r="K2004">
        <f>IFERROR(VLOOKUP(I2004,[1]AUTOS!$C:$G,3,0),"")</f>
        <v>2017</v>
      </c>
      <c r="L2004" t="str">
        <f>IFERROR(VLOOKUP(I2004,[1]AUTOS!$C:$G,4,0),"")</f>
        <v>ROJO</v>
      </c>
      <c r="M2004" t="s">
        <v>140</v>
      </c>
      <c r="N2004" s="3">
        <v>4252.6999999999989</v>
      </c>
      <c r="O2004" s="3">
        <v>2500</v>
      </c>
      <c r="P2004" s="3">
        <v>3000</v>
      </c>
      <c r="Q2004" s="3">
        <v>500</v>
      </c>
    </row>
    <row r="2005" spans="1:17" hidden="1" x14ac:dyDescent="0.3">
      <c r="A2005">
        <v>30</v>
      </c>
      <c r="B2005" t="str">
        <f>VLOOKUP($A2005,[1]LISTA!$B:$C,2,0)</f>
        <v>JULIO</v>
      </c>
      <c r="C2005" s="1">
        <v>2025</v>
      </c>
      <c r="D2005" s="1" t="str">
        <f>IF($A2005&lt;=[1]RESULTADOS!$D$6,"YTD","YTG")</f>
        <v>YTD</v>
      </c>
      <c r="E2005" t="s">
        <v>434</v>
      </c>
      <c r="F2005" t="s">
        <v>667</v>
      </c>
      <c r="G2005" t="s">
        <v>667</v>
      </c>
      <c r="H2005" t="s">
        <v>668</v>
      </c>
      <c r="I2005" t="s">
        <v>34</v>
      </c>
      <c r="J2005" t="str">
        <f>IFERROR(VLOOKUP(I2005,[1]AUTOS!$C:$G,2,0),"")</f>
        <v>AVEO</v>
      </c>
      <c r="K2005">
        <f>IFERROR(VLOOKUP(I2005,[1]AUTOS!$C:$G,3,0),"")</f>
        <v>2018</v>
      </c>
      <c r="L2005" t="str">
        <f>IFERROR(VLOOKUP(I2005,[1]AUTOS!$C:$G,4,0),"")</f>
        <v>ROJO</v>
      </c>
      <c r="M2005" t="s">
        <v>140</v>
      </c>
      <c r="N2005" s="3">
        <v>353</v>
      </c>
      <c r="O2005" s="3">
        <v>714</v>
      </c>
      <c r="P2005" s="3">
        <v>2853</v>
      </c>
      <c r="Q2005" s="3">
        <v>143</v>
      </c>
    </row>
    <row r="2006" spans="1:17" x14ac:dyDescent="0.3">
      <c r="A2006">
        <v>30</v>
      </c>
      <c r="B2006" t="str">
        <f>VLOOKUP($A2006,[1]LISTA!$B:$C,2,0)</f>
        <v>JULIO</v>
      </c>
      <c r="C2006" s="1">
        <v>2025</v>
      </c>
      <c r="D2006" s="1" t="str">
        <f>IF($A2006&lt;=[1]RESULTADOS!$D$6,"YTD","YTG")</f>
        <v>YTD</v>
      </c>
      <c r="E2006" t="s">
        <v>695</v>
      </c>
      <c r="F2006" t="s">
        <v>667</v>
      </c>
      <c r="G2006" t="s">
        <v>667</v>
      </c>
      <c r="H2006" t="s">
        <v>668</v>
      </c>
      <c r="I2006" t="s">
        <v>72</v>
      </c>
      <c r="J2006" t="str">
        <f>IFERROR(VLOOKUP(I2006,[1]AUTOS!$C:$G,2,0),"")</f>
        <v>VENTO</v>
      </c>
      <c r="K2006">
        <f>IFERROR(VLOOKUP(I2006,[1]AUTOS!$C:$G,3,0),"")</f>
        <v>2020</v>
      </c>
      <c r="L2006" t="str">
        <f>IFERROR(VLOOKUP(I2006,[1]AUTOS!$C:$G,4,0),"")</f>
        <v>GRIS</v>
      </c>
      <c r="M2006" t="s">
        <v>43</v>
      </c>
      <c r="N2006" s="3">
        <v>1437.5</v>
      </c>
      <c r="O2006" s="3">
        <v>2500</v>
      </c>
      <c r="P2006" s="3">
        <v>1437.5</v>
      </c>
      <c r="Q2006" s="3">
        <v>0</v>
      </c>
    </row>
    <row r="2007" spans="1:17" hidden="1" x14ac:dyDescent="0.3">
      <c r="A2007">
        <v>30</v>
      </c>
      <c r="B2007" t="str">
        <f>VLOOKUP($A2007,[1]LISTA!$B:$C,2,0)</f>
        <v>JULIO</v>
      </c>
      <c r="C2007" s="1">
        <v>2025</v>
      </c>
      <c r="D2007" s="1" t="str">
        <f>IF($A2007&lt;=[1]RESULTADOS!$D$6,"YTD","YTG")</f>
        <v>YTD</v>
      </c>
      <c r="E2007" t="s">
        <v>701</v>
      </c>
      <c r="F2007" t="s">
        <v>667</v>
      </c>
      <c r="G2007" t="s">
        <v>667</v>
      </c>
      <c r="H2007" t="s">
        <v>668</v>
      </c>
      <c r="I2007" t="s">
        <v>46</v>
      </c>
      <c r="J2007" t="str">
        <f>IFERROR(VLOOKUP(I2007,[1]AUTOS!$C:$G,2,0),"")</f>
        <v>MARCH</v>
      </c>
      <c r="K2007">
        <f>IFERROR(VLOOKUP(I2007,[1]AUTOS!$C:$G,3,0),"")</f>
        <v>2020</v>
      </c>
      <c r="L2007" t="str">
        <f>IFERROR(VLOOKUP(I2007,[1]AUTOS!$C:$G,4,0),"")</f>
        <v>TURQ</v>
      </c>
      <c r="M2007" t="s">
        <v>43</v>
      </c>
      <c r="N2007" s="3">
        <v>384.41999999999996</v>
      </c>
      <c r="O2007" s="3">
        <v>2500</v>
      </c>
      <c r="P2007" s="3">
        <v>384.41999999999996</v>
      </c>
      <c r="Q2007" s="3">
        <v>0</v>
      </c>
    </row>
    <row r="2008" spans="1:17" hidden="1" x14ac:dyDescent="0.3">
      <c r="A2008">
        <v>30</v>
      </c>
      <c r="B2008" t="str">
        <f>VLOOKUP($A2008,[1]LISTA!$B:$C,2,0)</f>
        <v>JULIO</v>
      </c>
      <c r="C2008" s="1">
        <v>2025</v>
      </c>
      <c r="D2008" s="1" t="str">
        <f>IF($A2008&lt;=[1]RESULTADOS!$D$6,"YTD","YTG")</f>
        <v>YTD</v>
      </c>
      <c r="E2008" t="s">
        <v>688</v>
      </c>
      <c r="F2008" t="s">
        <v>667</v>
      </c>
      <c r="G2008" t="s">
        <v>667</v>
      </c>
      <c r="H2008" t="s">
        <v>668</v>
      </c>
      <c r="I2008" t="s">
        <v>76</v>
      </c>
      <c r="J2008" t="str">
        <f>IFERROR(VLOOKUP(I2008,[1]AUTOS!$C:$G,2,0),"")</f>
        <v>AVEO</v>
      </c>
      <c r="K2008">
        <f>IFERROR(VLOOKUP(I2008,[1]AUTOS!$C:$G,3,0),"")</f>
        <v>2018</v>
      </c>
      <c r="L2008" t="str">
        <f>IFERROR(VLOOKUP(I2008,[1]AUTOS!$C:$G,4,0),"")</f>
        <v>GRIS</v>
      </c>
      <c r="M2008" t="s">
        <v>43</v>
      </c>
      <c r="N2008" s="3">
        <v>0</v>
      </c>
      <c r="O2008" s="3">
        <v>0</v>
      </c>
      <c r="P2008" s="3">
        <v>-500</v>
      </c>
      <c r="Q2008" s="3">
        <v>-500</v>
      </c>
    </row>
    <row r="2009" spans="1:17" hidden="1" x14ac:dyDescent="0.3">
      <c r="A2009">
        <v>30</v>
      </c>
      <c r="B2009" t="str">
        <f>VLOOKUP($A2009,[1]LISTA!$B:$C,2,0)</f>
        <v>JULIO</v>
      </c>
      <c r="C2009" s="1">
        <v>2025</v>
      </c>
      <c r="D2009" s="1" t="str">
        <f>IF($A2009&lt;=[1]RESULTADOS!$D$6,"YTD","YTG")</f>
        <v>YTD</v>
      </c>
      <c r="E2009" t="s">
        <v>403</v>
      </c>
      <c r="F2009" t="s">
        <v>667</v>
      </c>
      <c r="G2009" t="s">
        <v>667</v>
      </c>
      <c r="H2009" t="s">
        <v>668</v>
      </c>
      <c r="I2009" t="s">
        <v>51</v>
      </c>
      <c r="J2009" t="str">
        <f>IFERROR(VLOOKUP(I2009,[1]AUTOS!$C:$G,2,0),"")</f>
        <v>VENTO</v>
      </c>
      <c r="K2009">
        <f>IFERROR(VLOOKUP(I2009,[1]AUTOS!$C:$G,3,0),"")</f>
        <v>2017</v>
      </c>
      <c r="L2009" t="str">
        <f>IFERROR(VLOOKUP(I2009,[1]AUTOS!$C:$G,4,0),"")</f>
        <v>GRIS</v>
      </c>
      <c r="M2009" t="s">
        <v>43</v>
      </c>
      <c r="N2009" s="3">
        <v>1689.7800000000002</v>
      </c>
      <c r="O2009" s="3">
        <v>2300</v>
      </c>
      <c r="P2009" s="3">
        <v>2299.7800000000002</v>
      </c>
      <c r="Q2009" s="3">
        <v>0</v>
      </c>
    </row>
    <row r="2010" spans="1:17" hidden="1" x14ac:dyDescent="0.3">
      <c r="A2010">
        <v>30</v>
      </c>
      <c r="B2010" t="str">
        <f>VLOOKUP($A2010,[1]LISTA!$B:$C,2,0)</f>
        <v>JULIO</v>
      </c>
      <c r="C2010" s="1">
        <v>2025</v>
      </c>
      <c r="D2010" s="1" t="str">
        <f>IF($A2010&lt;=[1]RESULTADOS!$D$6,"YTD","YTG")</f>
        <v>YTD</v>
      </c>
      <c r="E2010" t="s">
        <v>470</v>
      </c>
      <c r="F2010" t="s">
        <v>667</v>
      </c>
      <c r="G2010" t="s">
        <v>667</v>
      </c>
      <c r="H2010" t="s">
        <v>668</v>
      </c>
      <c r="I2010" t="s">
        <v>73</v>
      </c>
      <c r="J2010" t="str">
        <f>IFERROR(VLOOKUP(I2010,[1]AUTOS!$C:$G,2,0),"")</f>
        <v>VERSA</v>
      </c>
      <c r="K2010">
        <f>IFERROR(VLOOKUP(I2010,[1]AUTOS!$C:$G,3,0),"")</f>
        <v>2023</v>
      </c>
      <c r="L2010" t="str">
        <f>IFERROR(VLOOKUP(I2010,[1]AUTOS!$C:$G,4,0),"")</f>
        <v>PLATA</v>
      </c>
      <c r="M2010" t="s">
        <v>43</v>
      </c>
      <c r="N2010" s="3">
        <v>2496.3900000000003</v>
      </c>
      <c r="O2010" s="3">
        <v>2500</v>
      </c>
      <c r="P2010" s="3">
        <v>2896.3900000000003</v>
      </c>
      <c r="Q2010" s="3">
        <v>0</v>
      </c>
    </row>
    <row r="2011" spans="1:17" hidden="1" x14ac:dyDescent="0.3">
      <c r="A2011">
        <v>30</v>
      </c>
      <c r="B2011" t="str">
        <f>VLOOKUP($A2011,[1]LISTA!$B:$C,2,0)</f>
        <v>JULIO</v>
      </c>
      <c r="C2011" s="1">
        <v>2025</v>
      </c>
      <c r="D2011" s="1" t="str">
        <f>IF($A2011&lt;=[1]RESULTADOS!$D$6,"YTD","YTG")</f>
        <v>YTD</v>
      </c>
      <c r="E2011" t="s">
        <v>402</v>
      </c>
      <c r="F2011" t="s">
        <v>667</v>
      </c>
      <c r="G2011" t="s">
        <v>667</v>
      </c>
      <c r="H2011" t="s">
        <v>668</v>
      </c>
      <c r="I2011" t="s">
        <v>59</v>
      </c>
      <c r="J2011" t="str">
        <f>IFERROR(VLOOKUP(I2011,[1]AUTOS!$C:$G,2,0),"")</f>
        <v>AVEO</v>
      </c>
      <c r="K2011">
        <f>IFERROR(VLOOKUP(I2011,[1]AUTOS!$C:$G,3,0),"")</f>
        <v>2019</v>
      </c>
      <c r="L2011" t="str">
        <f>IFERROR(VLOOKUP(I2011,[1]AUTOS!$C:$G,4,0),"")</f>
        <v>BLANCO</v>
      </c>
      <c r="M2011" t="s">
        <v>43</v>
      </c>
      <c r="N2011" s="3">
        <v>1294.54</v>
      </c>
      <c r="O2011" s="3">
        <v>2500</v>
      </c>
      <c r="P2011" s="3">
        <v>2499.54</v>
      </c>
      <c r="Q2011" s="3">
        <v>500</v>
      </c>
    </row>
    <row r="2012" spans="1:17" hidden="1" x14ac:dyDescent="0.3">
      <c r="A2012">
        <v>30</v>
      </c>
      <c r="B2012" t="str">
        <f>VLOOKUP($A2012,[1]LISTA!$B:$C,2,0)</f>
        <v>JULIO</v>
      </c>
      <c r="C2012" s="1">
        <v>2025</v>
      </c>
      <c r="D2012" s="1" t="str">
        <f>IF($A2012&lt;=[1]RESULTADOS!$D$6,"YTD","YTG")</f>
        <v>YTD</v>
      </c>
      <c r="E2012" t="s">
        <v>417</v>
      </c>
      <c r="F2012" t="s">
        <v>667</v>
      </c>
      <c r="G2012" t="s">
        <v>667</v>
      </c>
      <c r="H2012" t="s">
        <v>668</v>
      </c>
      <c r="I2012" t="s">
        <v>214</v>
      </c>
      <c r="J2012" t="str">
        <f>IFERROR(VLOOKUP(I2012,[1]AUTOS!$C:$G,2,0),"")</f>
        <v>VENTO</v>
      </c>
      <c r="K2012">
        <f>IFERROR(VLOOKUP(I2012,[1]AUTOS!$C:$G,3,0),"")</f>
        <v>2019</v>
      </c>
      <c r="L2012" t="str">
        <f>IFERROR(VLOOKUP(I2012,[1]AUTOS!$C:$G,4,0),"")</f>
        <v>BLANCO</v>
      </c>
      <c r="M2012" t="s">
        <v>215</v>
      </c>
      <c r="N2012" s="3">
        <v>1437.9900000000002</v>
      </c>
      <c r="O2012" s="3">
        <v>2500</v>
      </c>
      <c r="P2012" s="3">
        <v>1437.9900000000002</v>
      </c>
      <c r="Q2012" s="3">
        <v>500</v>
      </c>
    </row>
    <row r="2013" spans="1:17" hidden="1" x14ac:dyDescent="0.3">
      <c r="A2013">
        <v>30</v>
      </c>
      <c r="B2013" t="str">
        <f>VLOOKUP($A2013,[1]LISTA!$B:$C,2,0)</f>
        <v>JULIO</v>
      </c>
      <c r="C2013" s="1">
        <v>2025</v>
      </c>
      <c r="D2013" s="1" t="str">
        <f>IF($A2013&lt;=[1]RESULTADOS!$D$6,"YTD","YTG")</f>
        <v>YTD</v>
      </c>
      <c r="E2013" t="s">
        <v>377</v>
      </c>
      <c r="F2013" t="s">
        <v>667</v>
      </c>
      <c r="G2013" t="s">
        <v>667</v>
      </c>
      <c r="H2013" t="s">
        <v>668</v>
      </c>
      <c r="I2013" t="s">
        <v>42</v>
      </c>
      <c r="J2013" t="str">
        <f>IFERROR(VLOOKUP(I2013,[1]AUTOS!$C:$G,2,0),"")</f>
        <v>VENTO</v>
      </c>
      <c r="K2013">
        <f>IFERROR(VLOOKUP(I2013,[1]AUTOS!$C:$G,3,0),"")</f>
        <v>2018</v>
      </c>
      <c r="L2013" t="str">
        <f>IFERROR(VLOOKUP(I2013,[1]AUTOS!$C:$G,4,0),"")</f>
        <v>AMARILLO</v>
      </c>
      <c r="M2013" t="s">
        <v>43</v>
      </c>
      <c r="N2013" s="3">
        <v>4083.8199999999997</v>
      </c>
      <c r="O2013" s="3">
        <v>2500</v>
      </c>
      <c r="P2013" s="3">
        <v>3000</v>
      </c>
      <c r="Q2013" s="3">
        <v>500</v>
      </c>
    </row>
    <row r="2014" spans="1:17" hidden="1" x14ac:dyDescent="0.3">
      <c r="A2014">
        <v>31</v>
      </c>
      <c r="B2014" t="str">
        <f>VLOOKUP($A2014,[1]LISTA!$B:$C,2,0)</f>
        <v>JULIO</v>
      </c>
      <c r="C2014" s="1">
        <v>2025</v>
      </c>
      <c r="D2014" s="1" t="str">
        <f>IF($A2014&lt;=[1]RESULTADOS!$D$6,"YTD","YTG")</f>
        <v>YTD</v>
      </c>
      <c r="E2014" t="s">
        <v>492</v>
      </c>
      <c r="F2014" t="s">
        <v>667</v>
      </c>
      <c r="G2014" t="s">
        <v>667</v>
      </c>
      <c r="H2014" t="s">
        <v>668</v>
      </c>
      <c r="I2014" t="s">
        <v>144</v>
      </c>
      <c r="J2014" t="str">
        <f>IFERROR(VLOOKUP(I2014,[1]AUTOS!$C:$G,2,0),"")</f>
        <v>VERSA</v>
      </c>
      <c r="K2014">
        <f>IFERROR(VLOOKUP(I2014,[1]AUTOS!$C:$G,3,0),"")</f>
        <v>2020</v>
      </c>
      <c r="L2014" t="str">
        <f>IFERROR(VLOOKUP(I2014,[1]AUTOS!$C:$G,4,0),"")</f>
        <v>ROJO</v>
      </c>
      <c r="M2014" t="s">
        <v>43</v>
      </c>
      <c r="N2014" s="3">
        <v>195.19</v>
      </c>
      <c r="O2014" s="3">
        <v>2500</v>
      </c>
      <c r="P2014" s="3">
        <v>3000.19</v>
      </c>
      <c r="Q2014" s="3">
        <v>0</v>
      </c>
    </row>
    <row r="2015" spans="1:17" hidden="1" x14ac:dyDescent="0.3">
      <c r="A2015">
        <v>31</v>
      </c>
      <c r="B2015" t="str">
        <f>VLOOKUP($A2015,[1]LISTA!$B:$C,2,0)</f>
        <v>JULIO</v>
      </c>
      <c r="C2015" s="1">
        <v>2025</v>
      </c>
      <c r="D2015" s="1" t="str">
        <f>IF($A2015&lt;=[1]RESULTADOS!$D$6,"YTD","YTG")</f>
        <v>YTD</v>
      </c>
      <c r="E2015" t="s">
        <v>691</v>
      </c>
      <c r="F2015" t="s">
        <v>667</v>
      </c>
      <c r="G2015" t="s">
        <v>667</v>
      </c>
      <c r="H2015" t="s">
        <v>668</v>
      </c>
      <c r="I2015" t="s">
        <v>139</v>
      </c>
      <c r="J2015" t="str">
        <f>IFERROR(VLOOKUP(I2015,[1]AUTOS!$C:$G,2,0),"")</f>
        <v>SWIFT</v>
      </c>
      <c r="K2015">
        <f>IFERROR(VLOOKUP(I2015,[1]AUTOS!$C:$G,3,0),"")</f>
        <v>2017</v>
      </c>
      <c r="L2015" t="str">
        <f>IFERROR(VLOOKUP(I2015,[1]AUTOS!$C:$G,4,0),"")</f>
        <v>ROJO</v>
      </c>
      <c r="M2015" t="s">
        <v>43</v>
      </c>
      <c r="N2015" s="3">
        <v>4026.0300000000007</v>
      </c>
      <c r="O2015" s="3">
        <v>2500</v>
      </c>
      <c r="P2015" s="3">
        <v>3000</v>
      </c>
      <c r="Q2015" s="3">
        <v>0</v>
      </c>
    </row>
    <row r="2016" spans="1:17" hidden="1" x14ac:dyDescent="0.3">
      <c r="A2016">
        <v>31</v>
      </c>
      <c r="B2016" t="str">
        <f>VLOOKUP($A2016,[1]LISTA!$B:$C,2,0)</f>
        <v>JULIO</v>
      </c>
      <c r="C2016" s="1">
        <v>2025</v>
      </c>
      <c r="D2016" s="1" t="str">
        <f>IF($A2016&lt;=[1]RESULTADOS!$D$6,"YTD","YTG")</f>
        <v>YTD</v>
      </c>
      <c r="E2016" t="s">
        <v>478</v>
      </c>
      <c r="F2016" t="s">
        <v>667</v>
      </c>
      <c r="G2016" t="s">
        <v>667</v>
      </c>
      <c r="H2016" t="s">
        <v>668</v>
      </c>
      <c r="I2016" t="s">
        <v>185</v>
      </c>
      <c r="J2016" t="str">
        <f>IFERROR(VLOOKUP(I2016,[1]AUTOS!$C:$G,2,0),"")</f>
        <v>MARCH</v>
      </c>
      <c r="K2016">
        <f>IFERROR(VLOOKUP(I2016,[1]AUTOS!$C:$G,3,0),"")</f>
        <v>2021</v>
      </c>
      <c r="L2016" t="str">
        <f>IFERROR(VLOOKUP(I2016,[1]AUTOS!$C:$G,4,0),"")</f>
        <v>ROJO</v>
      </c>
      <c r="M2016" t="s">
        <v>43</v>
      </c>
      <c r="N2016" s="3">
        <v>3138.7200000000003</v>
      </c>
      <c r="O2016" s="3">
        <v>2500</v>
      </c>
      <c r="P2016" s="3">
        <v>2500</v>
      </c>
      <c r="Q2016" s="3">
        <v>0</v>
      </c>
    </row>
    <row r="2017" spans="1:17" hidden="1" x14ac:dyDescent="0.3">
      <c r="A2017">
        <v>31</v>
      </c>
      <c r="B2017" t="str">
        <f>VLOOKUP($A2017,[1]LISTA!$B:$C,2,0)</f>
        <v>JULIO</v>
      </c>
      <c r="C2017" s="1">
        <v>2025</v>
      </c>
      <c r="D2017" s="1" t="str">
        <f>IF($A2017&lt;=[1]RESULTADOS!$D$6,"YTD","YTG")</f>
        <v>YTD</v>
      </c>
      <c r="E2017" t="s">
        <v>436</v>
      </c>
      <c r="F2017" t="s">
        <v>667</v>
      </c>
      <c r="G2017" t="s">
        <v>667</v>
      </c>
      <c r="H2017" t="s">
        <v>668</v>
      </c>
      <c r="I2017" t="s">
        <v>131</v>
      </c>
      <c r="J2017" t="str">
        <f>IFERROR(VLOOKUP(I2017,[1]AUTOS!$C:$G,2,0),"")</f>
        <v>AVEO</v>
      </c>
      <c r="K2017">
        <f>IFERROR(VLOOKUP(I2017,[1]AUTOS!$C:$G,3,0),"")</f>
        <v>2024</v>
      </c>
      <c r="L2017" t="str">
        <f>IFERROR(VLOOKUP(I2017,[1]AUTOS!$C:$G,4,0),"")</f>
        <v>GRIS</v>
      </c>
      <c r="M2017" t="s">
        <v>43</v>
      </c>
      <c r="N2017" s="3">
        <v>1948.3099999999997</v>
      </c>
      <c r="O2017" s="3">
        <v>2500</v>
      </c>
      <c r="P2017" s="3">
        <v>2448.3099999999995</v>
      </c>
      <c r="Q2017" s="3">
        <v>0</v>
      </c>
    </row>
    <row r="2018" spans="1:17" hidden="1" x14ac:dyDescent="0.3">
      <c r="A2018">
        <v>31</v>
      </c>
      <c r="B2018" t="str">
        <f>VLOOKUP($A2018,[1]LISTA!$B:$C,2,0)</f>
        <v>JULIO</v>
      </c>
      <c r="C2018" s="1">
        <v>2025</v>
      </c>
      <c r="D2018" s="1" t="str">
        <f>IF($A2018&lt;=[1]RESULTADOS!$D$6,"YTD","YTG")</f>
        <v>YTD</v>
      </c>
      <c r="E2018" t="s">
        <v>699</v>
      </c>
      <c r="F2018" t="s">
        <v>667</v>
      </c>
      <c r="G2018" t="s">
        <v>667</v>
      </c>
      <c r="H2018" t="s">
        <v>668</v>
      </c>
      <c r="I2018" t="s">
        <v>76</v>
      </c>
      <c r="J2018" t="str">
        <f>IFERROR(VLOOKUP(I2018,[1]AUTOS!$C:$G,2,0),"")</f>
        <v>AVEO</v>
      </c>
      <c r="K2018">
        <f>IFERROR(VLOOKUP(I2018,[1]AUTOS!$C:$G,3,0),"")</f>
        <v>2018</v>
      </c>
      <c r="L2018" t="str">
        <f>IFERROR(VLOOKUP(I2018,[1]AUTOS!$C:$G,4,0),"")</f>
        <v>GRIS</v>
      </c>
      <c r="M2018" t="s">
        <v>43</v>
      </c>
      <c r="N2018" s="3">
        <v>1802.3799999999999</v>
      </c>
      <c r="O2018" s="3">
        <v>2143</v>
      </c>
      <c r="P2018" s="3">
        <v>3266.38</v>
      </c>
      <c r="Q2018" s="3">
        <v>500</v>
      </c>
    </row>
    <row r="2019" spans="1:17" hidden="1" x14ac:dyDescent="0.3">
      <c r="A2019">
        <v>31</v>
      </c>
      <c r="B2019" t="str">
        <f>VLOOKUP($A2019,[1]LISTA!$B:$C,2,0)</f>
        <v>JULIO</v>
      </c>
      <c r="C2019" s="1">
        <v>2025</v>
      </c>
      <c r="D2019" s="1" t="str">
        <f>IF($A2019&lt;=[1]RESULTADOS!$D$6,"YTD","YTG")</f>
        <v>YTD</v>
      </c>
      <c r="E2019" t="s">
        <v>456</v>
      </c>
      <c r="F2019" t="s">
        <v>667</v>
      </c>
      <c r="G2019" t="s">
        <v>667</v>
      </c>
      <c r="H2019" t="s">
        <v>668</v>
      </c>
      <c r="I2019" t="s">
        <v>146</v>
      </c>
      <c r="J2019" t="str">
        <f>IFERROR(VLOOKUP(I2019,[1]AUTOS!$C:$G,2,0),"")</f>
        <v>KIA RIO</v>
      </c>
      <c r="K2019">
        <f>IFERROR(VLOOKUP(I2019,[1]AUTOS!$C:$G,3,0),"")</f>
        <v>2023</v>
      </c>
      <c r="L2019" t="str">
        <f>IFERROR(VLOOKUP(I2019,[1]AUTOS!$C:$G,4,0),"")</f>
        <v>ROJO</v>
      </c>
      <c r="M2019" t="s">
        <v>140</v>
      </c>
      <c r="N2019" s="3">
        <v>3389.6899999999996</v>
      </c>
      <c r="O2019" s="3">
        <v>2500</v>
      </c>
      <c r="P2019" s="3">
        <v>3717.6899999999996</v>
      </c>
      <c r="Q2019" s="3">
        <v>0</v>
      </c>
    </row>
    <row r="2020" spans="1:17" hidden="1" x14ac:dyDescent="0.3">
      <c r="A2020">
        <v>31</v>
      </c>
      <c r="B2020" t="str">
        <f>VLOOKUP($A2020,[1]LISTA!$B:$C,2,0)</f>
        <v>JULIO</v>
      </c>
      <c r="C2020" s="1">
        <v>2025</v>
      </c>
      <c r="D2020" s="1" t="str">
        <f>IF($A2020&lt;=[1]RESULTADOS!$D$6,"YTD","YTG")</f>
        <v>YTD</v>
      </c>
      <c r="E2020" t="s">
        <v>411</v>
      </c>
      <c r="F2020" t="s">
        <v>667</v>
      </c>
      <c r="G2020" t="s">
        <v>667</v>
      </c>
      <c r="H2020" t="s">
        <v>668</v>
      </c>
      <c r="I2020" t="s">
        <v>178</v>
      </c>
      <c r="J2020" t="str">
        <f>IFERROR(VLOOKUP(I2020,[1]AUTOS!$C:$G,2,0),"")</f>
        <v>VERSA</v>
      </c>
      <c r="K2020">
        <f>IFERROR(VLOOKUP(I2020,[1]AUTOS!$C:$G,3,0),"")</f>
        <v>2020</v>
      </c>
      <c r="L2020" t="str">
        <f>IFERROR(VLOOKUP(I2020,[1]AUTOS!$C:$G,4,0),"")</f>
        <v>BLANCO</v>
      </c>
      <c r="M2020" t="s">
        <v>43</v>
      </c>
      <c r="N2020" s="3">
        <v>6557.9</v>
      </c>
      <c r="O2020" s="3">
        <v>2500</v>
      </c>
      <c r="P2020" s="3">
        <v>3500</v>
      </c>
      <c r="Q2020" s="3">
        <v>0</v>
      </c>
    </row>
    <row r="2021" spans="1:17" hidden="1" x14ac:dyDescent="0.3">
      <c r="A2021">
        <v>31</v>
      </c>
      <c r="B2021" t="str">
        <f>VLOOKUP($A2021,[1]LISTA!$B:$C,2,0)</f>
        <v>JULIO</v>
      </c>
      <c r="C2021" s="1">
        <v>2025</v>
      </c>
      <c r="D2021" s="1" t="str">
        <f>IF($A2021&lt;=[1]RESULTADOS!$D$6,"YTD","YTG")</f>
        <v>YTD</v>
      </c>
      <c r="E2021" t="s">
        <v>702</v>
      </c>
      <c r="F2021" t="s">
        <v>667</v>
      </c>
      <c r="G2021" t="s">
        <v>667</v>
      </c>
      <c r="H2021" t="s">
        <v>668</v>
      </c>
      <c r="I2021" t="s">
        <v>82</v>
      </c>
      <c r="J2021" t="str">
        <f>IFERROR(VLOOKUP(I2021,[1]AUTOS!$C:$G,2,0),"")</f>
        <v>AVEO</v>
      </c>
      <c r="K2021">
        <f>IFERROR(VLOOKUP(I2021,[1]AUTOS!$C:$G,3,0),"")</f>
        <v>2019</v>
      </c>
      <c r="L2021" t="str">
        <f>IFERROR(VLOOKUP(I2021,[1]AUTOS!$C:$G,4,0),"")</f>
        <v>PLATA</v>
      </c>
      <c r="M2021" t="s">
        <v>43</v>
      </c>
      <c r="N2021" s="3">
        <v>0</v>
      </c>
      <c r="O2021" s="3">
        <v>2500</v>
      </c>
      <c r="P2021" s="3">
        <v>3000</v>
      </c>
      <c r="Q2021" s="3">
        <v>500</v>
      </c>
    </row>
    <row r="2022" spans="1:17" hidden="1" x14ac:dyDescent="0.3">
      <c r="A2022">
        <v>31</v>
      </c>
      <c r="B2022" t="str">
        <f>VLOOKUP($A2022,[1]LISTA!$B:$C,2,0)</f>
        <v>JULIO</v>
      </c>
      <c r="C2022" s="1">
        <v>2025</v>
      </c>
      <c r="D2022" s="1" t="str">
        <f>IF($A2022&lt;=[1]RESULTADOS!$D$6,"YTD","YTG")</f>
        <v>YTD</v>
      </c>
      <c r="E2022" t="s">
        <v>703</v>
      </c>
      <c r="F2022" t="s">
        <v>667</v>
      </c>
      <c r="G2022" t="s">
        <v>667</v>
      </c>
      <c r="H2022" t="s">
        <v>668</v>
      </c>
      <c r="I2022" t="s">
        <v>182</v>
      </c>
      <c r="J2022" t="str">
        <f>IFERROR(VLOOKUP(I2022,[1]AUTOS!$C:$G,2,0),"")</f>
        <v>AVEO</v>
      </c>
      <c r="K2022">
        <f>IFERROR(VLOOKUP(I2022,[1]AUTOS!$C:$G,3,0),"")</f>
        <v>2020</v>
      </c>
      <c r="L2022" t="str">
        <f>IFERROR(VLOOKUP(I2022,[1]AUTOS!$C:$G,4,0),"")</f>
        <v>AZUL</v>
      </c>
      <c r="M2022" t="s">
        <v>43</v>
      </c>
      <c r="N2022" s="3">
        <v>6715.2699999999995</v>
      </c>
      <c r="O2022" s="3">
        <v>2500</v>
      </c>
      <c r="P2022" s="3">
        <v>3000</v>
      </c>
      <c r="Q2022" s="3">
        <v>500</v>
      </c>
    </row>
    <row r="2023" spans="1:17" hidden="1" x14ac:dyDescent="0.3">
      <c r="A2023">
        <v>31</v>
      </c>
      <c r="B2023" t="str">
        <f>VLOOKUP($A2023,[1]LISTA!$B:$C,2,0)</f>
        <v>JULIO</v>
      </c>
      <c r="C2023" s="1">
        <v>2025</v>
      </c>
      <c r="D2023" s="1" t="str">
        <f>IF($A2023&lt;=[1]RESULTADOS!$D$6,"YTD","YTG")</f>
        <v>YTD</v>
      </c>
      <c r="E2023" t="s">
        <v>526</v>
      </c>
      <c r="F2023" t="s">
        <v>667</v>
      </c>
      <c r="G2023" t="s">
        <v>667</v>
      </c>
      <c r="H2023" t="s">
        <v>668</v>
      </c>
      <c r="I2023" t="s">
        <v>67</v>
      </c>
      <c r="J2023" t="str">
        <f>IFERROR(VLOOKUP(I2023,[1]AUTOS!$C:$G,2,0),"")</f>
        <v>KIA RIO</v>
      </c>
      <c r="K2023">
        <f>IFERROR(VLOOKUP(I2023,[1]AUTOS!$C:$G,3,0),"")</f>
        <v>2020</v>
      </c>
      <c r="L2023" t="str">
        <f>IFERROR(VLOOKUP(I2023,[1]AUTOS!$C:$G,4,0),"")</f>
        <v>GRIS</v>
      </c>
      <c r="M2023" t="s">
        <v>43</v>
      </c>
      <c r="N2023" s="3">
        <v>4318.33</v>
      </c>
      <c r="O2023" s="3">
        <v>2500</v>
      </c>
      <c r="P2023" s="3">
        <v>3000</v>
      </c>
      <c r="Q2023" s="3">
        <v>0</v>
      </c>
    </row>
    <row r="2024" spans="1:17" hidden="1" x14ac:dyDescent="0.3">
      <c r="A2024">
        <v>31</v>
      </c>
      <c r="B2024" t="str">
        <f>VLOOKUP($A2024,[1]LISTA!$B:$C,2,0)</f>
        <v>JULIO</v>
      </c>
      <c r="C2024" s="1">
        <v>2025</v>
      </c>
      <c r="D2024" s="1" t="str">
        <f>IF($A2024&lt;=[1]RESULTADOS!$D$6,"YTD","YTG")</f>
        <v>YTD</v>
      </c>
      <c r="E2024" t="s">
        <v>681</v>
      </c>
      <c r="F2024" t="s">
        <v>667</v>
      </c>
      <c r="G2024" t="s">
        <v>667</v>
      </c>
      <c r="H2024" t="s">
        <v>668</v>
      </c>
      <c r="I2024" t="s">
        <v>102</v>
      </c>
      <c r="J2024" t="str">
        <f>IFERROR(VLOOKUP(I2024,[1]AUTOS!$C:$G,2,0),"")</f>
        <v>AVEO</v>
      </c>
      <c r="K2024">
        <f>IFERROR(VLOOKUP(I2024,[1]AUTOS!$C:$G,3,0),"")</f>
        <v>2022</v>
      </c>
      <c r="L2024" t="str">
        <f>IFERROR(VLOOKUP(I2024,[1]AUTOS!$C:$G,4,0),"")</f>
        <v>AZUL</v>
      </c>
      <c r="M2024" t="s">
        <v>43</v>
      </c>
      <c r="N2024" s="3">
        <v>3731.2500000000009</v>
      </c>
      <c r="O2024" s="3">
        <v>2500</v>
      </c>
      <c r="P2024" s="3">
        <v>3022</v>
      </c>
      <c r="Q2024" s="3">
        <v>0</v>
      </c>
    </row>
    <row r="2025" spans="1:17" hidden="1" x14ac:dyDescent="0.3">
      <c r="A2025">
        <v>31</v>
      </c>
      <c r="B2025" t="str">
        <f>VLOOKUP($A2025,[1]LISTA!$B:$C,2,0)</f>
        <v>JULIO</v>
      </c>
      <c r="C2025" s="1">
        <v>2025</v>
      </c>
      <c r="D2025" s="1" t="str">
        <f>IF($A2025&lt;=[1]RESULTADOS!$D$6,"YTD","YTG")</f>
        <v>YTD</v>
      </c>
      <c r="E2025" t="s">
        <v>675</v>
      </c>
      <c r="F2025" t="s">
        <v>667</v>
      </c>
      <c r="G2025" t="s">
        <v>667</v>
      </c>
      <c r="H2025" t="s">
        <v>668</v>
      </c>
      <c r="I2025" t="s">
        <v>40</v>
      </c>
      <c r="J2025" t="str">
        <f>IFERROR(VLOOKUP(I2025,[1]AUTOS!$C:$G,2,0),"")</f>
        <v>VERSA</v>
      </c>
      <c r="K2025">
        <f>IFERROR(VLOOKUP(I2025,[1]AUTOS!$C:$G,3,0),"")</f>
        <v>2017</v>
      </c>
      <c r="L2025" t="str">
        <f>IFERROR(VLOOKUP(I2025,[1]AUTOS!$C:$G,4,0),"")</f>
        <v>ACERO</v>
      </c>
      <c r="M2025" t="s">
        <v>140</v>
      </c>
      <c r="N2025" s="3">
        <v>2097.7699999999995</v>
      </c>
      <c r="O2025" s="3">
        <v>2500</v>
      </c>
      <c r="P2025" s="3">
        <v>2997.7699999999995</v>
      </c>
      <c r="Q2025" s="3">
        <v>0</v>
      </c>
    </row>
    <row r="2026" spans="1:17" hidden="1" x14ac:dyDescent="0.3">
      <c r="A2026">
        <v>31</v>
      </c>
      <c r="B2026" t="str">
        <f>VLOOKUP($A2026,[1]LISTA!$B:$C,2,0)</f>
        <v>JULIO</v>
      </c>
      <c r="C2026" s="1">
        <v>2025</v>
      </c>
      <c r="D2026" s="1" t="str">
        <f>IF($A2026&lt;=[1]RESULTADOS!$D$6,"YTD","YTG")</f>
        <v>YTD</v>
      </c>
      <c r="E2026" t="s">
        <v>563</v>
      </c>
      <c r="F2026" t="s">
        <v>667</v>
      </c>
      <c r="G2026" t="s">
        <v>667</v>
      </c>
      <c r="H2026" t="s">
        <v>668</v>
      </c>
      <c r="I2026" t="s">
        <v>61</v>
      </c>
      <c r="J2026" t="str">
        <f>IFERROR(VLOOKUP(I2026,[1]AUTOS!$C:$G,2,0),"")</f>
        <v>KIA RIO</v>
      </c>
      <c r="K2026">
        <f>IFERROR(VLOOKUP(I2026,[1]AUTOS!$C:$G,3,0),"")</f>
        <v>2017</v>
      </c>
      <c r="L2026" t="str">
        <f>IFERROR(VLOOKUP(I2026,[1]AUTOS!$C:$G,4,0),"")</f>
        <v>ROJO</v>
      </c>
      <c r="M2026" t="s">
        <v>140</v>
      </c>
      <c r="N2026" s="3">
        <v>5526.07</v>
      </c>
      <c r="O2026" s="3">
        <v>2500</v>
      </c>
      <c r="P2026" s="3">
        <v>3000</v>
      </c>
      <c r="Q2026" s="3">
        <v>500</v>
      </c>
    </row>
    <row r="2027" spans="1:17" hidden="1" x14ac:dyDescent="0.3">
      <c r="A2027">
        <v>31</v>
      </c>
      <c r="B2027" t="str">
        <f>VLOOKUP($A2027,[1]LISTA!$B:$C,2,0)</f>
        <v>JULIO</v>
      </c>
      <c r="C2027" s="1">
        <v>2025</v>
      </c>
      <c r="D2027" s="1" t="str">
        <f>IF($A2027&lt;=[1]RESULTADOS!$D$6,"YTD","YTG")</f>
        <v>YTD</v>
      </c>
      <c r="E2027" t="s">
        <v>434</v>
      </c>
      <c r="F2027" t="s">
        <v>667</v>
      </c>
      <c r="G2027" t="s">
        <v>667</v>
      </c>
      <c r="H2027" t="s">
        <v>668</v>
      </c>
      <c r="I2027" t="s">
        <v>34</v>
      </c>
      <c r="J2027" t="str">
        <f>IFERROR(VLOOKUP(I2027,[1]AUTOS!$C:$G,2,0),"")</f>
        <v>AVEO</v>
      </c>
      <c r="K2027">
        <f>IFERROR(VLOOKUP(I2027,[1]AUTOS!$C:$G,3,0),"")</f>
        <v>2018</v>
      </c>
      <c r="L2027" t="str">
        <f>IFERROR(VLOOKUP(I2027,[1]AUTOS!$C:$G,4,0),"")</f>
        <v>ROJO</v>
      </c>
      <c r="M2027" t="s">
        <v>140</v>
      </c>
      <c r="N2027" s="3">
        <v>743.16</v>
      </c>
      <c r="O2027" s="3">
        <v>2500</v>
      </c>
      <c r="P2027" s="3">
        <v>-256</v>
      </c>
      <c r="Q2027" s="3">
        <v>500</v>
      </c>
    </row>
    <row r="2028" spans="1:17" x14ac:dyDescent="0.3">
      <c r="A2028">
        <v>31</v>
      </c>
      <c r="B2028" t="str">
        <f>VLOOKUP($A2028,[1]LISTA!$B:$C,2,0)</f>
        <v>JULIO</v>
      </c>
      <c r="C2028" s="1">
        <v>2025</v>
      </c>
      <c r="D2028" s="1" t="str">
        <f>IF($A2028&lt;=[1]RESULTADOS!$D$6,"YTD","YTG")</f>
        <v>YTD</v>
      </c>
      <c r="E2028" t="s">
        <v>695</v>
      </c>
      <c r="F2028" t="s">
        <v>667</v>
      </c>
      <c r="G2028" t="s">
        <v>667</v>
      </c>
      <c r="H2028" t="s">
        <v>668</v>
      </c>
      <c r="I2028" t="s">
        <v>72</v>
      </c>
      <c r="J2028" t="str">
        <f>IFERROR(VLOOKUP(I2028,[1]AUTOS!$C:$G,2,0),"")</f>
        <v>VENTO</v>
      </c>
      <c r="K2028">
        <f>IFERROR(VLOOKUP(I2028,[1]AUTOS!$C:$G,3,0),"")</f>
        <v>2020</v>
      </c>
      <c r="L2028" t="str">
        <f>IFERROR(VLOOKUP(I2028,[1]AUTOS!$C:$G,4,0),"")</f>
        <v>GRIS</v>
      </c>
      <c r="M2028" t="s">
        <v>43</v>
      </c>
      <c r="N2028" s="3">
        <v>1867.83</v>
      </c>
      <c r="O2028" s="3">
        <v>2500</v>
      </c>
      <c r="P2028" s="3">
        <v>1867.83</v>
      </c>
      <c r="Q2028" s="3">
        <v>0</v>
      </c>
    </row>
    <row r="2029" spans="1:17" hidden="1" x14ac:dyDescent="0.3">
      <c r="A2029">
        <v>31</v>
      </c>
      <c r="B2029" t="str">
        <f>VLOOKUP($A2029,[1]LISTA!$B:$C,2,0)</f>
        <v>JULIO</v>
      </c>
      <c r="C2029" s="1">
        <v>2025</v>
      </c>
      <c r="D2029" s="1" t="str">
        <f>IF($A2029&lt;=[1]RESULTADOS!$D$6,"YTD","YTG")</f>
        <v>YTD</v>
      </c>
      <c r="E2029" t="s">
        <v>701</v>
      </c>
      <c r="F2029" t="s">
        <v>667</v>
      </c>
      <c r="G2029" t="s">
        <v>667</v>
      </c>
      <c r="H2029" t="s">
        <v>668</v>
      </c>
      <c r="I2029" t="s">
        <v>46</v>
      </c>
      <c r="J2029" t="str">
        <f>IFERROR(VLOOKUP(I2029,[1]AUTOS!$C:$G,2,0),"")</f>
        <v>MARCH</v>
      </c>
      <c r="K2029">
        <f>IFERROR(VLOOKUP(I2029,[1]AUTOS!$C:$G,3,0),"")</f>
        <v>2020</v>
      </c>
      <c r="L2029" t="str">
        <f>IFERROR(VLOOKUP(I2029,[1]AUTOS!$C:$G,4,0),"")</f>
        <v>TURQ</v>
      </c>
      <c r="M2029" t="s">
        <v>43</v>
      </c>
      <c r="N2029" s="3">
        <v>-108</v>
      </c>
      <c r="O2029" s="3">
        <v>1428.5</v>
      </c>
      <c r="P2029" s="3">
        <v>-108</v>
      </c>
      <c r="Q2029" s="3">
        <v>-1000</v>
      </c>
    </row>
    <row r="2030" spans="1:17" hidden="1" x14ac:dyDescent="0.3">
      <c r="A2030">
        <v>31</v>
      </c>
      <c r="B2030" t="str">
        <f>VLOOKUP($A2030,[1]LISTA!$B:$C,2,0)</f>
        <v>JULIO</v>
      </c>
      <c r="C2030" s="1">
        <v>2025</v>
      </c>
      <c r="D2030" s="1" t="str">
        <f>IF($A2030&lt;=[1]RESULTADOS!$D$6,"YTD","YTG")</f>
        <v>YTD</v>
      </c>
      <c r="E2030" t="s">
        <v>688</v>
      </c>
      <c r="F2030" t="s">
        <v>667</v>
      </c>
      <c r="G2030" t="s">
        <v>667</v>
      </c>
      <c r="H2030" t="s">
        <v>668</v>
      </c>
      <c r="I2030" t="s">
        <v>76</v>
      </c>
      <c r="J2030" t="str">
        <f>IFERROR(VLOOKUP(I2030,[1]AUTOS!$C:$G,2,0),"")</f>
        <v>AVEO</v>
      </c>
      <c r="K2030">
        <f>IFERROR(VLOOKUP(I2030,[1]AUTOS!$C:$G,3,0),"")</f>
        <v>2018</v>
      </c>
      <c r="L2030" t="str">
        <f>IFERROR(VLOOKUP(I2030,[1]AUTOS!$C:$G,4,0),"")</f>
        <v>GRIS</v>
      </c>
      <c r="M2030" t="s">
        <v>43</v>
      </c>
      <c r="N2030" s="3">
        <v>0</v>
      </c>
      <c r="O2030" s="3">
        <v>0</v>
      </c>
      <c r="P2030" s="3">
        <v>-500</v>
      </c>
      <c r="Q2030" s="3">
        <v>-500</v>
      </c>
    </row>
    <row r="2031" spans="1:17" hidden="1" x14ac:dyDescent="0.3">
      <c r="A2031">
        <v>31</v>
      </c>
      <c r="B2031" t="str">
        <f>VLOOKUP($A2031,[1]LISTA!$B:$C,2,0)</f>
        <v>JULIO</v>
      </c>
      <c r="C2031" s="1">
        <v>2025</v>
      </c>
      <c r="D2031" s="1" t="str">
        <f>IF($A2031&lt;=[1]RESULTADOS!$D$6,"YTD","YTG")</f>
        <v>YTD</v>
      </c>
      <c r="E2031" t="s">
        <v>403</v>
      </c>
      <c r="F2031" t="s">
        <v>667</v>
      </c>
      <c r="G2031" t="s">
        <v>667</v>
      </c>
      <c r="H2031" t="s">
        <v>668</v>
      </c>
      <c r="I2031" t="s">
        <v>51</v>
      </c>
      <c r="J2031" t="str">
        <f>IFERROR(VLOOKUP(I2031,[1]AUTOS!$C:$G,2,0),"")</f>
        <v>VENTO</v>
      </c>
      <c r="K2031">
        <f>IFERROR(VLOOKUP(I2031,[1]AUTOS!$C:$G,3,0),"")</f>
        <v>2017</v>
      </c>
      <c r="L2031" t="str">
        <f>IFERROR(VLOOKUP(I2031,[1]AUTOS!$C:$G,4,0),"")</f>
        <v>GRIS</v>
      </c>
      <c r="M2031" t="s">
        <v>43</v>
      </c>
      <c r="N2031" s="3">
        <v>2081.21</v>
      </c>
      <c r="O2031" s="3">
        <v>2300</v>
      </c>
      <c r="P2031" s="3">
        <v>2300.21</v>
      </c>
      <c r="Q2031" s="3">
        <v>0</v>
      </c>
    </row>
    <row r="2032" spans="1:17" hidden="1" x14ac:dyDescent="0.3">
      <c r="A2032">
        <v>31</v>
      </c>
      <c r="B2032" t="str">
        <f>VLOOKUP($A2032,[1]LISTA!$B:$C,2,0)</f>
        <v>JULIO</v>
      </c>
      <c r="C2032" s="1">
        <v>2025</v>
      </c>
      <c r="D2032" s="1" t="str">
        <f>IF($A2032&lt;=[1]RESULTADOS!$D$6,"YTD","YTG")</f>
        <v>YTD</v>
      </c>
      <c r="E2032" t="s">
        <v>470</v>
      </c>
      <c r="F2032" t="s">
        <v>667</v>
      </c>
      <c r="G2032" t="s">
        <v>667</v>
      </c>
      <c r="H2032" t="s">
        <v>668</v>
      </c>
      <c r="I2032" t="s">
        <v>73</v>
      </c>
      <c r="J2032" t="str">
        <f>IFERROR(VLOOKUP(I2032,[1]AUTOS!$C:$G,2,0),"")</f>
        <v>VERSA</v>
      </c>
      <c r="K2032">
        <f>IFERROR(VLOOKUP(I2032,[1]AUTOS!$C:$G,3,0),"")</f>
        <v>2023</v>
      </c>
      <c r="L2032" t="str">
        <f>IFERROR(VLOOKUP(I2032,[1]AUTOS!$C:$G,4,0),"")</f>
        <v>PLATA</v>
      </c>
      <c r="M2032" t="s">
        <v>43</v>
      </c>
      <c r="N2032" s="3">
        <v>2539.4500000000003</v>
      </c>
      <c r="O2032" s="3">
        <v>2500</v>
      </c>
      <c r="P2032" s="3">
        <v>2539.4500000000003</v>
      </c>
      <c r="Q2032" s="3">
        <v>0</v>
      </c>
    </row>
    <row r="2033" spans="1:17" hidden="1" x14ac:dyDescent="0.3">
      <c r="A2033">
        <v>31</v>
      </c>
      <c r="B2033" t="str">
        <f>VLOOKUP($A2033,[1]LISTA!$B:$C,2,0)</f>
        <v>JULIO</v>
      </c>
      <c r="C2033" s="1">
        <v>2025</v>
      </c>
      <c r="D2033" s="1" t="str">
        <f>IF($A2033&lt;=[1]RESULTADOS!$D$6,"YTD","YTG")</f>
        <v>YTD</v>
      </c>
      <c r="E2033" t="s">
        <v>402</v>
      </c>
      <c r="F2033" t="s">
        <v>667</v>
      </c>
      <c r="G2033" t="s">
        <v>667</v>
      </c>
      <c r="H2033" t="s">
        <v>668</v>
      </c>
      <c r="I2033" t="s">
        <v>59</v>
      </c>
      <c r="J2033" t="str">
        <f>IFERROR(VLOOKUP(I2033,[1]AUTOS!$C:$G,2,0),"")</f>
        <v>AVEO</v>
      </c>
      <c r="K2033">
        <f>IFERROR(VLOOKUP(I2033,[1]AUTOS!$C:$G,3,0),"")</f>
        <v>2019</v>
      </c>
      <c r="L2033" t="str">
        <f>IFERROR(VLOOKUP(I2033,[1]AUTOS!$C:$G,4,0),"")</f>
        <v>BLANCO</v>
      </c>
      <c r="M2033" t="s">
        <v>43</v>
      </c>
      <c r="N2033" s="3">
        <v>1672.67</v>
      </c>
      <c r="O2033" s="3">
        <v>2500</v>
      </c>
      <c r="P2033" s="3">
        <v>3534.67</v>
      </c>
      <c r="Q2033" s="3">
        <v>500</v>
      </c>
    </row>
    <row r="2034" spans="1:17" hidden="1" x14ac:dyDescent="0.3">
      <c r="A2034">
        <v>31</v>
      </c>
      <c r="B2034" t="str">
        <f>VLOOKUP($A2034,[1]LISTA!$B:$C,2,0)</f>
        <v>JULIO</v>
      </c>
      <c r="C2034" s="1">
        <v>2025</v>
      </c>
      <c r="D2034" s="1" t="str">
        <f>IF($A2034&lt;=[1]RESULTADOS!$D$6,"YTD","YTG")</f>
        <v>YTD</v>
      </c>
      <c r="E2034" t="s">
        <v>700</v>
      </c>
      <c r="F2034" t="s">
        <v>667</v>
      </c>
      <c r="G2034" t="s">
        <v>667</v>
      </c>
      <c r="H2034" t="s">
        <v>668</v>
      </c>
      <c r="I2034" t="s">
        <v>370</v>
      </c>
      <c r="J2034" t="str">
        <f>IFERROR(VLOOKUP(I2034,[1]AUTOS!$C:$G,2,0),"")</f>
        <v>KIA RIO</v>
      </c>
      <c r="K2034">
        <f>IFERROR(VLOOKUP(I2034,[1]AUTOS!$C:$G,3,0),"")</f>
        <v>2020</v>
      </c>
      <c r="L2034" t="str">
        <f>IFERROR(VLOOKUP(I2034,[1]AUTOS!$C:$G,4,0),"")</f>
        <v>AZUL</v>
      </c>
      <c r="M2034" t="s">
        <v>215</v>
      </c>
      <c r="N2034" s="3">
        <v>0</v>
      </c>
      <c r="O2034" s="3">
        <v>0</v>
      </c>
      <c r="P2034" s="3">
        <v>0</v>
      </c>
      <c r="Q2034" s="3">
        <v>-500</v>
      </c>
    </row>
    <row r="2035" spans="1:17" hidden="1" x14ac:dyDescent="0.3">
      <c r="A2035">
        <v>31</v>
      </c>
      <c r="B2035" t="str">
        <f>VLOOKUP($A2035,[1]LISTA!$B:$C,2,0)</f>
        <v>JULIO</v>
      </c>
      <c r="C2035" s="1">
        <v>2025</v>
      </c>
      <c r="D2035" s="1" t="str">
        <f>IF($A2035&lt;=[1]RESULTADOS!$D$6,"YTD","YTG")</f>
        <v>YTD</v>
      </c>
      <c r="E2035" t="s">
        <v>416</v>
      </c>
      <c r="F2035" t="s">
        <v>667</v>
      </c>
      <c r="G2035" t="s">
        <v>667</v>
      </c>
      <c r="H2035" t="s">
        <v>668</v>
      </c>
      <c r="I2035" t="s">
        <v>370</v>
      </c>
      <c r="J2035" t="str">
        <f>IFERROR(VLOOKUP(I2035,[1]AUTOS!$C:$G,2,0),"")</f>
        <v>KIA RIO</v>
      </c>
      <c r="K2035">
        <f>IFERROR(VLOOKUP(I2035,[1]AUTOS!$C:$G,3,0),"")</f>
        <v>2020</v>
      </c>
      <c r="L2035" t="str">
        <f>IFERROR(VLOOKUP(I2035,[1]AUTOS!$C:$G,4,0),"")</f>
        <v>AZUL</v>
      </c>
      <c r="M2035" t="s">
        <v>215</v>
      </c>
      <c r="N2035" s="3">
        <v>3350.09</v>
      </c>
      <c r="O2035" s="3">
        <v>2500</v>
      </c>
      <c r="P2035" s="3">
        <v>3000</v>
      </c>
      <c r="Q2035" s="3">
        <v>500</v>
      </c>
    </row>
    <row r="2036" spans="1:17" hidden="1" x14ac:dyDescent="0.3">
      <c r="A2036">
        <v>31</v>
      </c>
      <c r="B2036" t="str">
        <f>VLOOKUP($A2036,[1]LISTA!$B:$C,2,0)</f>
        <v>JULIO</v>
      </c>
      <c r="C2036" s="1">
        <v>2025</v>
      </c>
      <c r="D2036" s="1" t="str">
        <f>IF($A2036&lt;=[1]RESULTADOS!$D$6,"YTD","YTG")</f>
        <v>YTD</v>
      </c>
      <c r="E2036" t="s">
        <v>417</v>
      </c>
      <c r="F2036" t="s">
        <v>667</v>
      </c>
      <c r="G2036" t="s">
        <v>667</v>
      </c>
      <c r="H2036" t="s">
        <v>668</v>
      </c>
      <c r="I2036" t="s">
        <v>214</v>
      </c>
      <c r="J2036" t="str">
        <f>IFERROR(VLOOKUP(I2036,[1]AUTOS!$C:$G,2,0),"")</f>
        <v>VENTO</v>
      </c>
      <c r="K2036">
        <f>IFERROR(VLOOKUP(I2036,[1]AUTOS!$C:$G,3,0),"")</f>
        <v>2019</v>
      </c>
      <c r="L2036" t="str">
        <f>IFERROR(VLOOKUP(I2036,[1]AUTOS!$C:$G,4,0),"")</f>
        <v>BLANCO</v>
      </c>
      <c r="M2036" t="s">
        <v>215</v>
      </c>
      <c r="N2036" s="3">
        <v>2365.59</v>
      </c>
      <c r="O2036" s="3">
        <v>2500</v>
      </c>
      <c r="P2036" s="3">
        <v>4065.59</v>
      </c>
      <c r="Q2036" s="3">
        <v>500</v>
      </c>
    </row>
    <row r="2037" spans="1:17" hidden="1" x14ac:dyDescent="0.3">
      <c r="A2037">
        <v>31</v>
      </c>
      <c r="B2037" t="str">
        <f>VLOOKUP($A2037,[1]LISTA!$B:$C,2,0)</f>
        <v>JULIO</v>
      </c>
      <c r="C2037" s="1">
        <v>2025</v>
      </c>
      <c r="D2037" s="1" t="str">
        <f>IF($A2037&lt;=[1]RESULTADOS!$D$6,"YTD","YTG")</f>
        <v>YTD</v>
      </c>
      <c r="E2037" t="s">
        <v>377</v>
      </c>
      <c r="F2037" t="s">
        <v>667</v>
      </c>
      <c r="G2037" t="s">
        <v>667</v>
      </c>
      <c r="H2037" t="s">
        <v>668</v>
      </c>
      <c r="I2037" t="s">
        <v>42</v>
      </c>
      <c r="J2037" t="str">
        <f>IFERROR(VLOOKUP(I2037,[1]AUTOS!$C:$G,2,0),"")</f>
        <v>VENTO</v>
      </c>
      <c r="K2037">
        <f>IFERROR(VLOOKUP(I2037,[1]AUTOS!$C:$G,3,0),"")</f>
        <v>2018</v>
      </c>
      <c r="L2037" t="str">
        <f>IFERROR(VLOOKUP(I2037,[1]AUTOS!$C:$G,4,0),"")</f>
        <v>AMARILLO</v>
      </c>
      <c r="M2037" t="s">
        <v>43</v>
      </c>
      <c r="N2037" s="3">
        <v>0</v>
      </c>
      <c r="O2037" s="3">
        <v>0</v>
      </c>
      <c r="P2037" s="3">
        <v>0</v>
      </c>
      <c r="Q2037" s="3">
        <v>0</v>
      </c>
    </row>
    <row r="2038" spans="1:17" hidden="1" x14ac:dyDescent="0.3">
      <c r="A2038">
        <v>32</v>
      </c>
      <c r="B2038" t="str">
        <f>VLOOKUP($A2038,[1]LISTA!$B:$C,2,0)</f>
        <v>AGOSTO</v>
      </c>
      <c r="C2038" s="1">
        <v>2025</v>
      </c>
      <c r="D2038" s="1" t="str">
        <f>IF($A2038&lt;=[1]RESULTADOS!$D$6,"YTD","YTG")</f>
        <v>YTD</v>
      </c>
      <c r="E2038" t="s">
        <v>492</v>
      </c>
      <c r="F2038" t="s">
        <v>667</v>
      </c>
      <c r="G2038" t="s">
        <v>667</v>
      </c>
      <c r="H2038" t="s">
        <v>668</v>
      </c>
      <c r="I2038" t="s">
        <v>144</v>
      </c>
      <c r="J2038" t="str">
        <f>IFERROR(VLOOKUP(I2038,[1]AUTOS!$C:$G,2,0),"")</f>
        <v>VERSA</v>
      </c>
      <c r="K2038">
        <f>IFERROR(VLOOKUP(I2038,[1]AUTOS!$C:$G,3,0),"")</f>
        <v>2020</v>
      </c>
      <c r="L2038" t="str">
        <f>IFERROR(VLOOKUP(I2038,[1]AUTOS!$C:$G,4,0),"")</f>
        <v>ROJO</v>
      </c>
      <c r="M2038" t="s">
        <v>43</v>
      </c>
      <c r="N2038" s="3">
        <v>775.34</v>
      </c>
      <c r="O2038" s="3">
        <v>2500</v>
      </c>
      <c r="P2038" s="3">
        <v>3000.34</v>
      </c>
      <c r="Q2038" s="3">
        <v>0</v>
      </c>
    </row>
    <row r="2039" spans="1:17" hidden="1" x14ac:dyDescent="0.3">
      <c r="A2039">
        <v>32</v>
      </c>
      <c r="B2039" t="str">
        <f>VLOOKUP($A2039,[1]LISTA!$B:$C,2,0)</f>
        <v>AGOSTO</v>
      </c>
      <c r="C2039" s="1">
        <v>2025</v>
      </c>
      <c r="D2039" s="1" t="str">
        <f>IF($A2039&lt;=[1]RESULTADOS!$D$6,"YTD","YTG")</f>
        <v>YTD</v>
      </c>
      <c r="E2039" t="s">
        <v>691</v>
      </c>
      <c r="F2039" t="s">
        <v>667</v>
      </c>
      <c r="G2039" t="s">
        <v>667</v>
      </c>
      <c r="H2039" t="s">
        <v>668</v>
      </c>
      <c r="I2039" t="s">
        <v>139</v>
      </c>
      <c r="J2039" t="str">
        <f>IFERROR(VLOOKUP(I2039,[1]AUTOS!$C:$G,2,0),"")</f>
        <v>SWIFT</v>
      </c>
      <c r="K2039">
        <f>IFERROR(VLOOKUP(I2039,[1]AUTOS!$C:$G,3,0),"")</f>
        <v>2017</v>
      </c>
      <c r="L2039" t="str">
        <f>IFERROR(VLOOKUP(I2039,[1]AUTOS!$C:$G,4,0),"")</f>
        <v>ROJO</v>
      </c>
      <c r="M2039" t="s">
        <v>43</v>
      </c>
      <c r="N2039" s="3">
        <v>2741.2799999999997</v>
      </c>
      <c r="O2039" s="3">
        <v>2500</v>
      </c>
      <c r="P2039" s="3">
        <v>2741.2799999999997</v>
      </c>
      <c r="Q2039" s="3">
        <v>0</v>
      </c>
    </row>
    <row r="2040" spans="1:17" hidden="1" x14ac:dyDescent="0.3">
      <c r="A2040">
        <v>32</v>
      </c>
      <c r="B2040" t="str">
        <f>VLOOKUP($A2040,[1]LISTA!$B:$C,2,0)</f>
        <v>AGOSTO</v>
      </c>
      <c r="C2040" s="1">
        <v>2025</v>
      </c>
      <c r="D2040" s="1" t="str">
        <f>IF($A2040&lt;=[1]RESULTADOS!$D$6,"YTD","YTG")</f>
        <v>YTD</v>
      </c>
      <c r="E2040" t="s">
        <v>399</v>
      </c>
      <c r="F2040" t="s">
        <v>667</v>
      </c>
      <c r="G2040" t="s">
        <v>667</v>
      </c>
      <c r="H2040" t="s">
        <v>668</v>
      </c>
      <c r="I2040" t="s">
        <v>116</v>
      </c>
      <c r="J2040" t="str">
        <f>IFERROR(VLOOKUP(I2040,[1]AUTOS!$C:$G,2,0),"")</f>
        <v>AVEO</v>
      </c>
      <c r="K2040">
        <f>IFERROR(VLOOKUP(I2040,[1]AUTOS!$C:$G,3,0),"")</f>
        <v>2022</v>
      </c>
      <c r="L2040" t="str">
        <f>IFERROR(VLOOKUP(I2040,[1]AUTOS!$C:$G,4,0),"")</f>
        <v>AZUL</v>
      </c>
      <c r="M2040" t="s">
        <v>43</v>
      </c>
      <c r="N2040" s="3">
        <v>5847.3600000000006</v>
      </c>
      <c r="O2040" s="3">
        <v>2500</v>
      </c>
      <c r="P2040" s="3">
        <v>3000</v>
      </c>
      <c r="Q2040" s="3">
        <v>500</v>
      </c>
    </row>
    <row r="2041" spans="1:17" hidden="1" x14ac:dyDescent="0.3">
      <c r="A2041">
        <v>32</v>
      </c>
      <c r="B2041" t="str">
        <f>VLOOKUP($A2041,[1]LISTA!$B:$C,2,0)</f>
        <v>AGOSTO</v>
      </c>
      <c r="C2041" s="1">
        <v>2025</v>
      </c>
      <c r="D2041" s="1" t="str">
        <f>IF($A2041&lt;=[1]RESULTADOS!$D$6,"YTD","YTG")</f>
        <v>YTD</v>
      </c>
      <c r="E2041" t="s">
        <v>704</v>
      </c>
      <c r="F2041" t="s">
        <v>667</v>
      </c>
      <c r="G2041" t="s">
        <v>667</v>
      </c>
      <c r="H2041" t="s">
        <v>668</v>
      </c>
      <c r="I2041" t="s">
        <v>37</v>
      </c>
      <c r="J2041" t="str">
        <f>IFERROR(VLOOKUP(I2041,[1]AUTOS!$C:$G,2,0),"")</f>
        <v>BEAT</v>
      </c>
      <c r="K2041">
        <f>IFERROR(VLOOKUP(I2041,[1]AUTOS!$C:$G,3,0),"")</f>
        <v>2020</v>
      </c>
      <c r="L2041" t="str">
        <f>IFERROR(VLOOKUP(I2041,[1]AUTOS!$C:$G,4,0),"")</f>
        <v>GRIS</v>
      </c>
      <c r="M2041" t="s">
        <v>140</v>
      </c>
      <c r="N2041" s="3">
        <v>1260.29</v>
      </c>
      <c r="O2041" s="3">
        <v>536</v>
      </c>
      <c r="P2041" s="3">
        <v>643</v>
      </c>
      <c r="Q2041" s="3">
        <v>107</v>
      </c>
    </row>
    <row r="2042" spans="1:17" hidden="1" x14ac:dyDescent="0.3">
      <c r="A2042">
        <v>32</v>
      </c>
      <c r="B2042" t="str">
        <f>VLOOKUP($A2042,[1]LISTA!$B:$C,2,0)</f>
        <v>AGOSTO</v>
      </c>
      <c r="C2042" s="1">
        <v>2025</v>
      </c>
      <c r="D2042" s="1" t="str">
        <f>IF($A2042&lt;=[1]RESULTADOS!$D$6,"YTD","YTG")</f>
        <v>YTD</v>
      </c>
      <c r="E2042" t="s">
        <v>478</v>
      </c>
      <c r="F2042" t="s">
        <v>667</v>
      </c>
      <c r="G2042" t="s">
        <v>667</v>
      </c>
      <c r="H2042" t="s">
        <v>668</v>
      </c>
      <c r="I2042" t="s">
        <v>185</v>
      </c>
      <c r="J2042" t="str">
        <f>IFERROR(VLOOKUP(I2042,[1]AUTOS!$C:$G,2,0),"")</f>
        <v>MARCH</v>
      </c>
      <c r="K2042">
        <f>IFERROR(VLOOKUP(I2042,[1]AUTOS!$C:$G,3,0),"")</f>
        <v>2021</v>
      </c>
      <c r="L2042" t="str">
        <f>IFERROR(VLOOKUP(I2042,[1]AUTOS!$C:$G,4,0),"")</f>
        <v>ROJO</v>
      </c>
      <c r="M2042" t="s">
        <v>43</v>
      </c>
      <c r="N2042" s="3">
        <v>2532.1800000000003</v>
      </c>
      <c r="O2042" s="3">
        <v>2500</v>
      </c>
      <c r="P2042" s="3">
        <v>2500</v>
      </c>
      <c r="Q2042" s="3">
        <v>0</v>
      </c>
    </row>
    <row r="2043" spans="1:17" hidden="1" x14ac:dyDescent="0.3">
      <c r="A2043">
        <v>32</v>
      </c>
      <c r="B2043" t="str">
        <f>VLOOKUP($A2043,[1]LISTA!$B:$C,2,0)</f>
        <v>AGOSTO</v>
      </c>
      <c r="C2043" s="1">
        <v>2025</v>
      </c>
      <c r="D2043" s="1" t="str">
        <f>IF($A2043&lt;=[1]RESULTADOS!$D$6,"YTD","YTG")</f>
        <v>YTD</v>
      </c>
      <c r="E2043" t="s">
        <v>436</v>
      </c>
      <c r="F2043" t="s">
        <v>667</v>
      </c>
      <c r="G2043" t="s">
        <v>667</v>
      </c>
      <c r="H2043" t="s">
        <v>668</v>
      </c>
      <c r="I2043" t="s">
        <v>131</v>
      </c>
      <c r="J2043" t="str">
        <f>IFERROR(VLOOKUP(I2043,[1]AUTOS!$C:$G,2,0),"")</f>
        <v>AVEO</v>
      </c>
      <c r="K2043">
        <f>IFERROR(VLOOKUP(I2043,[1]AUTOS!$C:$G,3,0),"")</f>
        <v>2024</v>
      </c>
      <c r="L2043" t="str">
        <f>IFERROR(VLOOKUP(I2043,[1]AUTOS!$C:$G,4,0),"")</f>
        <v>GRIS</v>
      </c>
      <c r="M2043" t="s">
        <v>43</v>
      </c>
      <c r="N2043" s="3">
        <v>1987.8200000000002</v>
      </c>
      <c r="O2043" s="3">
        <v>2500</v>
      </c>
      <c r="P2043" s="3">
        <v>2587.8200000000002</v>
      </c>
      <c r="Q2043" s="3">
        <v>0</v>
      </c>
    </row>
    <row r="2044" spans="1:17" hidden="1" x14ac:dyDescent="0.3">
      <c r="A2044">
        <v>32</v>
      </c>
      <c r="B2044" t="str">
        <f>VLOOKUP($A2044,[1]LISTA!$B:$C,2,0)</f>
        <v>AGOSTO</v>
      </c>
      <c r="C2044" s="1">
        <v>2025</v>
      </c>
      <c r="D2044" s="1" t="str">
        <f>IF($A2044&lt;=[1]RESULTADOS!$D$6,"YTD","YTG")</f>
        <v>YTD</v>
      </c>
      <c r="E2044" t="s">
        <v>699</v>
      </c>
      <c r="F2044" t="s">
        <v>667</v>
      </c>
      <c r="G2044" t="s">
        <v>667</v>
      </c>
      <c r="H2044" t="s">
        <v>668</v>
      </c>
      <c r="I2044" t="s">
        <v>76</v>
      </c>
      <c r="J2044" t="str">
        <f>IFERROR(VLOOKUP(I2044,[1]AUTOS!$C:$G,2,0),"")</f>
        <v>AVEO</v>
      </c>
      <c r="K2044">
        <f>IFERROR(VLOOKUP(I2044,[1]AUTOS!$C:$G,3,0),"")</f>
        <v>2018</v>
      </c>
      <c r="L2044" t="str">
        <f>IFERROR(VLOOKUP(I2044,[1]AUTOS!$C:$G,4,0),"")</f>
        <v>GRIS</v>
      </c>
      <c r="M2044" t="s">
        <v>43</v>
      </c>
      <c r="N2044" s="3">
        <v>1417.57</v>
      </c>
      <c r="O2044" s="3">
        <v>2500</v>
      </c>
      <c r="P2044" s="3">
        <v>2999.5699999999997</v>
      </c>
      <c r="Q2044" s="3">
        <v>500</v>
      </c>
    </row>
    <row r="2045" spans="1:17" hidden="1" x14ac:dyDescent="0.3">
      <c r="A2045">
        <v>32</v>
      </c>
      <c r="B2045" t="str">
        <f>VLOOKUP($A2045,[1]LISTA!$B:$C,2,0)</f>
        <v>AGOSTO</v>
      </c>
      <c r="C2045" s="1">
        <v>2025</v>
      </c>
      <c r="D2045" s="1" t="str">
        <f>IF($A2045&lt;=[1]RESULTADOS!$D$6,"YTD","YTG")</f>
        <v>YTD</v>
      </c>
      <c r="E2045" t="s">
        <v>456</v>
      </c>
      <c r="F2045" t="s">
        <v>667</v>
      </c>
      <c r="G2045" t="s">
        <v>667</v>
      </c>
      <c r="H2045" t="s">
        <v>668</v>
      </c>
      <c r="I2045" t="s">
        <v>146</v>
      </c>
      <c r="J2045" t="str">
        <f>IFERROR(VLOOKUP(I2045,[1]AUTOS!$C:$G,2,0),"")</f>
        <v>KIA RIO</v>
      </c>
      <c r="K2045">
        <f>IFERROR(VLOOKUP(I2045,[1]AUTOS!$C:$G,3,0),"")</f>
        <v>2023</v>
      </c>
      <c r="L2045" t="str">
        <f>IFERROR(VLOOKUP(I2045,[1]AUTOS!$C:$G,4,0),"")</f>
        <v>ROJO</v>
      </c>
      <c r="M2045" t="s">
        <v>140</v>
      </c>
      <c r="N2045" s="3">
        <v>3179.949999999998</v>
      </c>
      <c r="O2045" s="3">
        <v>2500</v>
      </c>
      <c r="P2045" s="3">
        <v>2917</v>
      </c>
      <c r="Q2045" s="3">
        <v>0</v>
      </c>
    </row>
    <row r="2046" spans="1:17" hidden="1" x14ac:dyDescent="0.3">
      <c r="A2046">
        <v>32</v>
      </c>
      <c r="B2046" t="str">
        <f>VLOOKUP($A2046,[1]LISTA!$B:$C,2,0)</f>
        <v>AGOSTO</v>
      </c>
      <c r="C2046" s="1">
        <v>2025</v>
      </c>
      <c r="D2046" s="1" t="str">
        <f>IF($A2046&lt;=[1]RESULTADOS!$D$6,"YTD","YTG")</f>
        <v>YTD</v>
      </c>
      <c r="E2046" t="s">
        <v>411</v>
      </c>
      <c r="F2046" t="s">
        <v>667</v>
      </c>
      <c r="G2046" t="s">
        <v>667</v>
      </c>
      <c r="H2046" t="s">
        <v>668</v>
      </c>
      <c r="I2046" t="s">
        <v>178</v>
      </c>
      <c r="J2046" t="str">
        <f>IFERROR(VLOOKUP(I2046,[1]AUTOS!$C:$G,2,0),"")</f>
        <v>VERSA</v>
      </c>
      <c r="K2046">
        <f>IFERROR(VLOOKUP(I2046,[1]AUTOS!$C:$G,3,0),"")</f>
        <v>2020</v>
      </c>
      <c r="L2046" t="str">
        <f>IFERROR(VLOOKUP(I2046,[1]AUTOS!$C:$G,4,0),"")</f>
        <v>BLANCO</v>
      </c>
      <c r="M2046" t="s">
        <v>43</v>
      </c>
      <c r="N2046" s="3">
        <v>5905.29</v>
      </c>
      <c r="O2046" s="3">
        <v>2500</v>
      </c>
      <c r="P2046" s="3">
        <v>3500</v>
      </c>
      <c r="Q2046" s="3">
        <v>0</v>
      </c>
    </row>
    <row r="2047" spans="1:17" hidden="1" x14ac:dyDescent="0.3">
      <c r="A2047">
        <v>32</v>
      </c>
      <c r="B2047" t="str">
        <f>VLOOKUP($A2047,[1]LISTA!$B:$C,2,0)</f>
        <v>AGOSTO</v>
      </c>
      <c r="C2047" s="1">
        <v>2025</v>
      </c>
      <c r="D2047" s="1" t="str">
        <f>IF($A2047&lt;=[1]RESULTADOS!$D$6,"YTD","YTG")</f>
        <v>YTD</v>
      </c>
      <c r="E2047" t="s">
        <v>702</v>
      </c>
      <c r="F2047" t="s">
        <v>667</v>
      </c>
      <c r="G2047" t="s">
        <v>667</v>
      </c>
      <c r="H2047" t="s">
        <v>668</v>
      </c>
      <c r="I2047" t="s">
        <v>82</v>
      </c>
      <c r="J2047" t="str">
        <f>IFERROR(VLOOKUP(I2047,[1]AUTOS!$C:$G,2,0),"")</f>
        <v>AVEO</v>
      </c>
      <c r="K2047">
        <f>IFERROR(VLOOKUP(I2047,[1]AUTOS!$C:$G,3,0),"")</f>
        <v>2019</v>
      </c>
      <c r="L2047" t="str">
        <f>IFERROR(VLOOKUP(I2047,[1]AUTOS!$C:$G,4,0),"")</f>
        <v>PLATA</v>
      </c>
      <c r="M2047" t="s">
        <v>43</v>
      </c>
      <c r="N2047" s="3">
        <v>0</v>
      </c>
      <c r="O2047" s="3">
        <v>2500</v>
      </c>
      <c r="P2047" s="3">
        <v>3000</v>
      </c>
      <c r="Q2047" s="3">
        <v>500</v>
      </c>
    </row>
    <row r="2048" spans="1:17" hidden="1" x14ac:dyDescent="0.3">
      <c r="A2048">
        <v>32</v>
      </c>
      <c r="B2048" t="str">
        <f>VLOOKUP($A2048,[1]LISTA!$B:$C,2,0)</f>
        <v>AGOSTO</v>
      </c>
      <c r="C2048" s="1">
        <v>2025</v>
      </c>
      <c r="D2048" s="1" t="str">
        <f>IF($A2048&lt;=[1]RESULTADOS!$D$6,"YTD","YTG")</f>
        <v>YTD</v>
      </c>
      <c r="E2048" t="s">
        <v>703</v>
      </c>
      <c r="F2048" t="s">
        <v>667</v>
      </c>
      <c r="G2048" t="s">
        <v>667</v>
      </c>
      <c r="H2048" t="s">
        <v>668</v>
      </c>
      <c r="I2048" t="s">
        <v>182</v>
      </c>
      <c r="J2048" t="str">
        <f>IFERROR(VLOOKUP(I2048,[1]AUTOS!$C:$G,2,0),"")</f>
        <v>AVEO</v>
      </c>
      <c r="K2048">
        <f>IFERROR(VLOOKUP(I2048,[1]AUTOS!$C:$G,3,0),"")</f>
        <v>2020</v>
      </c>
      <c r="L2048" t="str">
        <f>IFERROR(VLOOKUP(I2048,[1]AUTOS!$C:$G,4,0),"")</f>
        <v>AZUL</v>
      </c>
      <c r="M2048" t="s">
        <v>43</v>
      </c>
      <c r="N2048" s="3">
        <v>4685.17</v>
      </c>
      <c r="O2048" s="3">
        <v>2500</v>
      </c>
      <c r="P2048" s="3">
        <v>3000</v>
      </c>
      <c r="Q2048" s="3">
        <v>500</v>
      </c>
    </row>
    <row r="2049" spans="1:17" hidden="1" x14ac:dyDescent="0.3">
      <c r="A2049">
        <v>32</v>
      </c>
      <c r="B2049" t="str">
        <f>VLOOKUP($A2049,[1]LISTA!$B:$C,2,0)</f>
        <v>AGOSTO</v>
      </c>
      <c r="C2049" s="1">
        <v>2025</v>
      </c>
      <c r="D2049" s="1" t="str">
        <f>IF($A2049&lt;=[1]RESULTADOS!$D$6,"YTD","YTG")</f>
        <v>YTD</v>
      </c>
      <c r="E2049" t="s">
        <v>526</v>
      </c>
      <c r="F2049" t="s">
        <v>667</v>
      </c>
      <c r="G2049" t="s">
        <v>667</v>
      </c>
      <c r="H2049" t="s">
        <v>668</v>
      </c>
      <c r="I2049" t="s">
        <v>67</v>
      </c>
      <c r="J2049" t="str">
        <f>IFERROR(VLOOKUP(I2049,[1]AUTOS!$C:$G,2,0),"")</f>
        <v>KIA RIO</v>
      </c>
      <c r="K2049">
        <f>IFERROR(VLOOKUP(I2049,[1]AUTOS!$C:$G,3,0),"")</f>
        <v>2020</v>
      </c>
      <c r="L2049" t="str">
        <f>IFERROR(VLOOKUP(I2049,[1]AUTOS!$C:$G,4,0),"")</f>
        <v>GRIS</v>
      </c>
      <c r="M2049" t="s">
        <v>43</v>
      </c>
      <c r="N2049" s="3">
        <v>4938.2900000000009</v>
      </c>
      <c r="O2049" s="3">
        <v>2500</v>
      </c>
      <c r="P2049" s="3">
        <v>3000</v>
      </c>
      <c r="Q2049" s="3">
        <v>0</v>
      </c>
    </row>
    <row r="2050" spans="1:17" hidden="1" x14ac:dyDescent="0.3">
      <c r="A2050">
        <v>32</v>
      </c>
      <c r="B2050" t="str">
        <f>VLOOKUP($A2050,[1]LISTA!$B:$C,2,0)</f>
        <v>AGOSTO</v>
      </c>
      <c r="C2050" s="1">
        <v>2025</v>
      </c>
      <c r="D2050" s="1" t="str">
        <f>IF($A2050&lt;=[1]RESULTADOS!$D$6,"YTD","YTG")</f>
        <v>YTD</v>
      </c>
      <c r="E2050" t="s">
        <v>681</v>
      </c>
      <c r="F2050" t="s">
        <v>667</v>
      </c>
      <c r="G2050" t="s">
        <v>667</v>
      </c>
      <c r="H2050" t="s">
        <v>668</v>
      </c>
      <c r="I2050" t="s">
        <v>102</v>
      </c>
      <c r="J2050" t="str">
        <f>IFERROR(VLOOKUP(I2050,[1]AUTOS!$C:$G,2,0),"")</f>
        <v>AVEO</v>
      </c>
      <c r="K2050">
        <f>IFERROR(VLOOKUP(I2050,[1]AUTOS!$C:$G,3,0),"")</f>
        <v>2022</v>
      </c>
      <c r="L2050" t="str">
        <f>IFERROR(VLOOKUP(I2050,[1]AUTOS!$C:$G,4,0),"")</f>
        <v>AZUL</v>
      </c>
      <c r="M2050" t="s">
        <v>43</v>
      </c>
      <c r="N2050" s="3">
        <v>3954.6900000000005</v>
      </c>
      <c r="O2050" s="3">
        <v>2500</v>
      </c>
      <c r="P2050" s="3">
        <v>2993</v>
      </c>
      <c r="Q2050" s="3">
        <v>0</v>
      </c>
    </row>
    <row r="2051" spans="1:17" hidden="1" x14ac:dyDescent="0.3">
      <c r="A2051">
        <v>32</v>
      </c>
      <c r="B2051" t="str">
        <f>VLOOKUP($A2051,[1]LISTA!$B:$C,2,0)</f>
        <v>AGOSTO</v>
      </c>
      <c r="C2051" s="1">
        <v>2025</v>
      </c>
      <c r="D2051" s="1" t="str">
        <f>IF($A2051&lt;=[1]RESULTADOS!$D$6,"YTD","YTG")</f>
        <v>YTD</v>
      </c>
      <c r="E2051" t="s">
        <v>675</v>
      </c>
      <c r="F2051" t="s">
        <v>667</v>
      </c>
      <c r="G2051" t="s">
        <v>667</v>
      </c>
      <c r="H2051" t="s">
        <v>668</v>
      </c>
      <c r="I2051" t="s">
        <v>40</v>
      </c>
      <c r="J2051" t="str">
        <f>IFERROR(VLOOKUP(I2051,[1]AUTOS!$C:$G,2,0),"")</f>
        <v>VERSA</v>
      </c>
      <c r="K2051">
        <f>IFERROR(VLOOKUP(I2051,[1]AUTOS!$C:$G,3,0),"")</f>
        <v>2017</v>
      </c>
      <c r="L2051" t="str">
        <f>IFERROR(VLOOKUP(I2051,[1]AUTOS!$C:$G,4,0),"")</f>
        <v>ACERO</v>
      </c>
      <c r="M2051" t="s">
        <v>140</v>
      </c>
      <c r="N2051" s="3">
        <v>2540.3900000000003</v>
      </c>
      <c r="O2051" s="3">
        <v>2500</v>
      </c>
      <c r="P2051" s="3">
        <v>3010.3900000000003</v>
      </c>
      <c r="Q2051" s="3">
        <v>0</v>
      </c>
    </row>
    <row r="2052" spans="1:17" hidden="1" x14ac:dyDescent="0.3">
      <c r="A2052">
        <v>32</v>
      </c>
      <c r="B2052" t="str">
        <f>VLOOKUP($A2052,[1]LISTA!$B:$C,2,0)</f>
        <v>AGOSTO</v>
      </c>
      <c r="C2052" s="1">
        <v>2025</v>
      </c>
      <c r="D2052" s="1" t="str">
        <f>IF($A2052&lt;=[1]RESULTADOS!$D$6,"YTD","YTG")</f>
        <v>YTD</v>
      </c>
      <c r="E2052" t="s">
        <v>563</v>
      </c>
      <c r="F2052" t="s">
        <v>667</v>
      </c>
      <c r="G2052" t="s">
        <v>667</v>
      </c>
      <c r="H2052" t="s">
        <v>668</v>
      </c>
      <c r="I2052" t="s">
        <v>61</v>
      </c>
      <c r="J2052" t="str">
        <f>IFERROR(VLOOKUP(I2052,[1]AUTOS!$C:$G,2,0),"")</f>
        <v>KIA RIO</v>
      </c>
      <c r="K2052">
        <f>IFERROR(VLOOKUP(I2052,[1]AUTOS!$C:$G,3,0),"")</f>
        <v>2017</v>
      </c>
      <c r="L2052" t="str">
        <f>IFERROR(VLOOKUP(I2052,[1]AUTOS!$C:$G,4,0),"")</f>
        <v>ROJO</v>
      </c>
      <c r="M2052" t="s">
        <v>140</v>
      </c>
      <c r="N2052" s="3">
        <v>5830.48</v>
      </c>
      <c r="O2052" s="3">
        <v>2500</v>
      </c>
      <c r="P2052" s="3">
        <v>2500</v>
      </c>
      <c r="Q2052" s="3">
        <v>0</v>
      </c>
    </row>
    <row r="2053" spans="1:17" hidden="1" x14ac:dyDescent="0.3">
      <c r="A2053">
        <v>32</v>
      </c>
      <c r="B2053" t="str">
        <f>VLOOKUP($A2053,[1]LISTA!$B:$C,2,0)</f>
        <v>AGOSTO</v>
      </c>
      <c r="C2053" s="1">
        <v>2025</v>
      </c>
      <c r="D2053" s="1" t="str">
        <f>IF($A2053&lt;=[1]RESULTADOS!$D$6,"YTD","YTG")</f>
        <v>YTD</v>
      </c>
      <c r="E2053" t="s">
        <v>434</v>
      </c>
      <c r="F2053" t="s">
        <v>667</v>
      </c>
      <c r="G2053" t="s">
        <v>667</v>
      </c>
      <c r="H2053" t="s">
        <v>668</v>
      </c>
      <c r="I2053" t="s">
        <v>34</v>
      </c>
      <c r="J2053" t="str">
        <f>IFERROR(VLOOKUP(I2053,[1]AUTOS!$C:$G,2,0),"")</f>
        <v>AVEO</v>
      </c>
      <c r="K2053">
        <f>IFERROR(VLOOKUP(I2053,[1]AUTOS!$C:$G,3,0),"")</f>
        <v>2018</v>
      </c>
      <c r="L2053" t="str">
        <f>IFERROR(VLOOKUP(I2053,[1]AUTOS!$C:$G,4,0),"")</f>
        <v>ROJO</v>
      </c>
      <c r="M2053" t="s">
        <v>140</v>
      </c>
      <c r="N2053" s="3">
        <v>273.08000000000004</v>
      </c>
      <c r="O2053" s="3">
        <v>2500</v>
      </c>
      <c r="P2053" s="3">
        <v>1273.08</v>
      </c>
      <c r="Q2053" s="3">
        <v>500</v>
      </c>
    </row>
    <row r="2054" spans="1:17" x14ac:dyDescent="0.3">
      <c r="A2054">
        <v>32</v>
      </c>
      <c r="B2054" t="str">
        <f>VLOOKUP($A2054,[1]LISTA!$B:$C,2,0)</f>
        <v>AGOSTO</v>
      </c>
      <c r="C2054" s="1">
        <v>2025</v>
      </c>
      <c r="D2054" s="1" t="str">
        <f>IF($A2054&lt;=[1]RESULTADOS!$D$6,"YTD","YTG")</f>
        <v>YTD</v>
      </c>
      <c r="E2054" t="s">
        <v>695</v>
      </c>
      <c r="F2054" t="s">
        <v>667</v>
      </c>
      <c r="G2054" t="s">
        <v>667</v>
      </c>
      <c r="H2054" t="s">
        <v>668</v>
      </c>
      <c r="I2054" t="s">
        <v>72</v>
      </c>
      <c r="J2054" t="str">
        <f>IFERROR(VLOOKUP(I2054,[1]AUTOS!$C:$G,2,0),"")</f>
        <v>VENTO</v>
      </c>
      <c r="K2054">
        <f>IFERROR(VLOOKUP(I2054,[1]AUTOS!$C:$G,3,0),"")</f>
        <v>2020</v>
      </c>
      <c r="L2054" t="str">
        <f>IFERROR(VLOOKUP(I2054,[1]AUTOS!$C:$G,4,0),"")</f>
        <v>GRIS</v>
      </c>
      <c r="M2054" t="s">
        <v>43</v>
      </c>
      <c r="N2054" s="3">
        <v>-201</v>
      </c>
      <c r="O2054" s="3">
        <v>1071.42</v>
      </c>
      <c r="P2054" s="3">
        <v>-201</v>
      </c>
      <c r="Q2054" s="3">
        <v>-3646</v>
      </c>
    </row>
    <row r="2055" spans="1:17" hidden="1" x14ac:dyDescent="0.3">
      <c r="A2055">
        <v>32</v>
      </c>
      <c r="B2055" t="str">
        <f>VLOOKUP($A2055,[1]LISTA!$B:$C,2,0)</f>
        <v>AGOSTO</v>
      </c>
      <c r="C2055" s="1">
        <v>2025</v>
      </c>
      <c r="D2055" s="1" t="str">
        <f>IF($A2055&lt;=[1]RESULTADOS!$D$6,"YTD","YTG")</f>
        <v>YTD</v>
      </c>
      <c r="E2055" t="s">
        <v>701</v>
      </c>
      <c r="F2055" t="s">
        <v>667</v>
      </c>
      <c r="G2055" t="s">
        <v>667</v>
      </c>
      <c r="H2055" t="s">
        <v>668</v>
      </c>
      <c r="I2055" t="s">
        <v>46</v>
      </c>
      <c r="J2055" t="str">
        <f>IFERROR(VLOOKUP(I2055,[1]AUTOS!$C:$G,2,0),"")</f>
        <v>MARCH</v>
      </c>
      <c r="K2055">
        <f>IFERROR(VLOOKUP(I2055,[1]AUTOS!$C:$G,3,0),"")</f>
        <v>2020</v>
      </c>
      <c r="L2055" t="str">
        <f>IFERROR(VLOOKUP(I2055,[1]AUTOS!$C:$G,4,0),"")</f>
        <v>TURQ</v>
      </c>
      <c r="M2055" t="s">
        <v>43</v>
      </c>
      <c r="N2055" s="3">
        <v>-30</v>
      </c>
      <c r="O2055" s="3">
        <v>0</v>
      </c>
      <c r="P2055" s="3">
        <v>-30</v>
      </c>
      <c r="Q2055" s="3">
        <v>0</v>
      </c>
    </row>
    <row r="2056" spans="1:17" hidden="1" x14ac:dyDescent="0.3">
      <c r="A2056">
        <v>32</v>
      </c>
      <c r="B2056" t="str">
        <f>VLOOKUP($A2056,[1]LISTA!$B:$C,2,0)</f>
        <v>AGOSTO</v>
      </c>
      <c r="C2056" s="1">
        <v>2025</v>
      </c>
      <c r="D2056" s="1" t="str">
        <f>IF($A2056&lt;=[1]RESULTADOS!$D$6,"YTD","YTG")</f>
        <v>YTD</v>
      </c>
      <c r="E2056" t="s">
        <v>688</v>
      </c>
      <c r="F2056" t="s">
        <v>667</v>
      </c>
      <c r="G2056" t="s">
        <v>667</v>
      </c>
      <c r="H2056" t="s">
        <v>668</v>
      </c>
      <c r="I2056" t="s">
        <v>76</v>
      </c>
      <c r="J2056" t="str">
        <f>IFERROR(VLOOKUP(I2056,[1]AUTOS!$C:$G,2,0),"")</f>
        <v>AVEO</v>
      </c>
      <c r="K2056">
        <f>IFERROR(VLOOKUP(I2056,[1]AUTOS!$C:$G,3,0),"")</f>
        <v>2018</v>
      </c>
      <c r="L2056" t="str">
        <f>IFERROR(VLOOKUP(I2056,[1]AUTOS!$C:$G,4,0),"")</f>
        <v>GRIS</v>
      </c>
      <c r="M2056" t="s">
        <v>43</v>
      </c>
      <c r="N2056" s="3">
        <v>0</v>
      </c>
      <c r="O2056" s="3">
        <v>0</v>
      </c>
      <c r="P2056" s="3">
        <v>-500</v>
      </c>
      <c r="Q2056" s="3">
        <v>-500</v>
      </c>
    </row>
    <row r="2057" spans="1:17" hidden="1" x14ac:dyDescent="0.3">
      <c r="A2057">
        <v>32</v>
      </c>
      <c r="B2057" t="str">
        <f>VLOOKUP($A2057,[1]LISTA!$B:$C,2,0)</f>
        <v>AGOSTO</v>
      </c>
      <c r="C2057" s="1">
        <v>2025</v>
      </c>
      <c r="D2057" s="1" t="str">
        <f>IF($A2057&lt;=[1]RESULTADOS!$D$6,"YTD","YTG")</f>
        <v>YTD</v>
      </c>
      <c r="E2057" t="s">
        <v>403</v>
      </c>
      <c r="F2057" t="s">
        <v>667</v>
      </c>
      <c r="G2057" t="s">
        <v>667</v>
      </c>
      <c r="H2057" t="s">
        <v>668</v>
      </c>
      <c r="I2057" t="s">
        <v>51</v>
      </c>
      <c r="J2057" t="str">
        <f>IFERROR(VLOOKUP(I2057,[1]AUTOS!$C:$G,2,0),"")</f>
        <v>VENTO</v>
      </c>
      <c r="K2057">
        <f>IFERROR(VLOOKUP(I2057,[1]AUTOS!$C:$G,3,0),"")</f>
        <v>2017</v>
      </c>
      <c r="L2057" t="str">
        <f>IFERROR(VLOOKUP(I2057,[1]AUTOS!$C:$G,4,0),"")</f>
        <v>GRIS</v>
      </c>
      <c r="M2057" t="s">
        <v>43</v>
      </c>
      <c r="N2057" s="3">
        <v>1685.4</v>
      </c>
      <c r="O2057" s="3">
        <v>2300</v>
      </c>
      <c r="P2057" s="3">
        <v>2300.4</v>
      </c>
      <c r="Q2057" s="3">
        <v>0</v>
      </c>
    </row>
    <row r="2058" spans="1:17" hidden="1" x14ac:dyDescent="0.3">
      <c r="A2058">
        <v>32</v>
      </c>
      <c r="B2058" t="str">
        <f>VLOOKUP($A2058,[1]LISTA!$B:$C,2,0)</f>
        <v>AGOSTO</v>
      </c>
      <c r="C2058" s="1">
        <v>2025</v>
      </c>
      <c r="D2058" s="1" t="str">
        <f>IF($A2058&lt;=[1]RESULTADOS!$D$6,"YTD","YTG")</f>
        <v>YTD</v>
      </c>
      <c r="E2058" t="s">
        <v>470</v>
      </c>
      <c r="F2058" t="s">
        <v>667</v>
      </c>
      <c r="G2058" t="s">
        <v>667</v>
      </c>
      <c r="H2058" t="s">
        <v>668</v>
      </c>
      <c r="I2058" t="s">
        <v>73</v>
      </c>
      <c r="J2058" t="str">
        <f>IFERROR(VLOOKUP(I2058,[1]AUTOS!$C:$G,2,0),"")</f>
        <v>VERSA</v>
      </c>
      <c r="K2058">
        <f>IFERROR(VLOOKUP(I2058,[1]AUTOS!$C:$G,3,0),"")</f>
        <v>2023</v>
      </c>
      <c r="L2058" t="str">
        <f>IFERROR(VLOOKUP(I2058,[1]AUTOS!$C:$G,4,0),"")</f>
        <v>PLATA</v>
      </c>
      <c r="M2058" t="s">
        <v>43</v>
      </c>
      <c r="N2058" s="3">
        <v>1984.62</v>
      </c>
      <c r="O2058" s="3">
        <v>2500</v>
      </c>
      <c r="P2058" s="3">
        <v>3078.62</v>
      </c>
      <c r="Q2058" s="3">
        <v>0</v>
      </c>
    </row>
    <row r="2059" spans="1:17" hidden="1" x14ac:dyDescent="0.3">
      <c r="A2059">
        <v>32</v>
      </c>
      <c r="B2059" t="str">
        <f>VLOOKUP($A2059,[1]LISTA!$B:$C,2,0)</f>
        <v>AGOSTO</v>
      </c>
      <c r="C2059" s="1">
        <v>2025</v>
      </c>
      <c r="D2059" s="1" t="str">
        <f>IF($A2059&lt;=[1]RESULTADOS!$D$6,"YTD","YTG")</f>
        <v>YTD</v>
      </c>
      <c r="E2059" t="s">
        <v>402</v>
      </c>
      <c r="F2059" t="s">
        <v>667</v>
      </c>
      <c r="G2059" t="s">
        <v>667</v>
      </c>
      <c r="H2059" t="s">
        <v>668</v>
      </c>
      <c r="I2059" t="s">
        <v>59</v>
      </c>
      <c r="J2059" t="str">
        <f>IFERROR(VLOOKUP(I2059,[1]AUTOS!$C:$G,2,0),"")</f>
        <v>AVEO</v>
      </c>
      <c r="K2059">
        <f>IFERROR(VLOOKUP(I2059,[1]AUTOS!$C:$G,3,0),"")</f>
        <v>2019</v>
      </c>
      <c r="L2059" t="str">
        <f>IFERROR(VLOOKUP(I2059,[1]AUTOS!$C:$G,4,0),"")</f>
        <v>BLANCO</v>
      </c>
      <c r="M2059" t="s">
        <v>43</v>
      </c>
      <c r="N2059" s="3">
        <v>1343.6299999999997</v>
      </c>
      <c r="O2059" s="3">
        <v>2500</v>
      </c>
      <c r="P2059" s="3">
        <v>3027.6299999999997</v>
      </c>
      <c r="Q2059" s="3">
        <v>500</v>
      </c>
    </row>
    <row r="2060" spans="1:17" hidden="1" x14ac:dyDescent="0.3">
      <c r="A2060">
        <v>32</v>
      </c>
      <c r="B2060" t="str">
        <f>VLOOKUP($A2060,[1]LISTA!$B:$C,2,0)</f>
        <v>AGOSTO</v>
      </c>
      <c r="C2060" s="1">
        <v>2025</v>
      </c>
      <c r="D2060" s="1" t="str">
        <f>IF($A2060&lt;=[1]RESULTADOS!$D$6,"YTD","YTG")</f>
        <v>YTD</v>
      </c>
      <c r="E2060" t="s">
        <v>700</v>
      </c>
      <c r="F2060" t="s">
        <v>667</v>
      </c>
      <c r="G2060" t="s">
        <v>667</v>
      </c>
      <c r="H2060" t="s">
        <v>668</v>
      </c>
      <c r="I2060" t="s">
        <v>370</v>
      </c>
      <c r="J2060" t="str">
        <f>IFERROR(VLOOKUP(I2060,[1]AUTOS!$C:$G,2,0),"")</f>
        <v>KIA RIO</v>
      </c>
      <c r="K2060">
        <f>IFERROR(VLOOKUP(I2060,[1]AUTOS!$C:$G,3,0),"")</f>
        <v>2020</v>
      </c>
      <c r="L2060" t="str">
        <f>IFERROR(VLOOKUP(I2060,[1]AUTOS!$C:$G,4,0),"")</f>
        <v>AZUL</v>
      </c>
      <c r="M2060" t="s">
        <v>215</v>
      </c>
      <c r="N2060" s="3">
        <v>0</v>
      </c>
      <c r="O2060" s="3">
        <v>0</v>
      </c>
      <c r="P2060" s="3">
        <v>0</v>
      </c>
      <c r="Q2060" s="3">
        <v>-500</v>
      </c>
    </row>
    <row r="2061" spans="1:17" hidden="1" x14ac:dyDescent="0.3">
      <c r="A2061">
        <v>32</v>
      </c>
      <c r="B2061" t="str">
        <f>VLOOKUP($A2061,[1]LISTA!$B:$C,2,0)</f>
        <v>AGOSTO</v>
      </c>
      <c r="C2061" s="1">
        <v>2025</v>
      </c>
      <c r="D2061" s="1" t="str">
        <f>IF($A2061&lt;=[1]RESULTADOS!$D$6,"YTD","YTG")</f>
        <v>YTD</v>
      </c>
      <c r="E2061" t="s">
        <v>416</v>
      </c>
      <c r="F2061" t="s">
        <v>667</v>
      </c>
      <c r="G2061" t="s">
        <v>667</v>
      </c>
      <c r="H2061" t="s">
        <v>668</v>
      </c>
      <c r="I2061" t="s">
        <v>214</v>
      </c>
      <c r="J2061" t="str">
        <f>IFERROR(VLOOKUP(I2061,[1]AUTOS!$C:$G,2,0),"")</f>
        <v>VENTO</v>
      </c>
      <c r="K2061">
        <f>IFERROR(VLOOKUP(I2061,[1]AUTOS!$C:$G,3,0),"")</f>
        <v>2019</v>
      </c>
      <c r="L2061" t="str">
        <f>IFERROR(VLOOKUP(I2061,[1]AUTOS!$C:$G,4,0),"")</f>
        <v>BLANCO</v>
      </c>
      <c r="M2061" t="s">
        <v>215</v>
      </c>
      <c r="N2061" s="3">
        <v>6229.17</v>
      </c>
      <c r="O2061" s="3">
        <v>2500</v>
      </c>
      <c r="P2061" s="3">
        <v>3000</v>
      </c>
      <c r="Q2061" s="3">
        <v>500</v>
      </c>
    </row>
    <row r="2062" spans="1:17" hidden="1" x14ac:dyDescent="0.3">
      <c r="A2062">
        <v>32</v>
      </c>
      <c r="B2062" t="str">
        <f>VLOOKUP($A2062,[1]LISTA!$B:$C,2,0)</f>
        <v>AGOSTO</v>
      </c>
      <c r="C2062" s="1">
        <v>2025</v>
      </c>
      <c r="D2062" s="1" t="str">
        <f>IF($A2062&lt;=[1]RESULTADOS!$D$6,"YTD","YTG")</f>
        <v>YTD</v>
      </c>
      <c r="E2062" t="s">
        <v>417</v>
      </c>
      <c r="F2062" t="s">
        <v>667</v>
      </c>
      <c r="G2062" t="s">
        <v>667</v>
      </c>
      <c r="H2062" t="s">
        <v>668</v>
      </c>
      <c r="I2062" t="s">
        <v>370</v>
      </c>
      <c r="J2062" t="str">
        <f>IFERROR(VLOOKUP(I2062,[1]AUTOS!$C:$G,2,0),"")</f>
        <v>KIA RIO</v>
      </c>
      <c r="K2062">
        <f>IFERROR(VLOOKUP(I2062,[1]AUTOS!$C:$G,3,0),"")</f>
        <v>2020</v>
      </c>
      <c r="L2062" t="str">
        <f>IFERROR(VLOOKUP(I2062,[1]AUTOS!$C:$G,4,0),"")</f>
        <v>AZUL</v>
      </c>
      <c r="M2062" t="s">
        <v>215</v>
      </c>
      <c r="N2062" s="3">
        <v>436.84000000000003</v>
      </c>
      <c r="O2062" s="3">
        <v>2500</v>
      </c>
      <c r="P2062" s="3">
        <v>3000.84</v>
      </c>
      <c r="Q2062" s="3">
        <v>500</v>
      </c>
    </row>
    <row r="2063" spans="1:17" hidden="1" x14ac:dyDescent="0.3">
      <c r="A2063">
        <v>33</v>
      </c>
      <c r="B2063" t="str">
        <f>VLOOKUP($A2063,[1]LISTA!$B:$C,2,0)</f>
        <v>AGOSTO</v>
      </c>
      <c r="C2063" s="1">
        <v>2025</v>
      </c>
      <c r="D2063" s="1" t="str">
        <f>IF($A2063&lt;=[1]RESULTADOS!$D$6,"YTD","YTG")</f>
        <v>YTD</v>
      </c>
      <c r="E2063" t="s">
        <v>492</v>
      </c>
      <c r="F2063" t="s">
        <v>667</v>
      </c>
      <c r="G2063" t="s">
        <v>667</v>
      </c>
      <c r="H2063" t="s">
        <v>668</v>
      </c>
      <c r="I2063" t="s">
        <v>144</v>
      </c>
      <c r="J2063" t="str">
        <f>IFERROR(VLOOKUP(I2063,[1]AUTOS!$C:$G,2,0),"")</f>
        <v>VERSA</v>
      </c>
      <c r="K2063">
        <f>IFERROR(VLOOKUP(I2063,[1]AUTOS!$C:$G,3,0),"")</f>
        <v>2020</v>
      </c>
      <c r="L2063" t="str">
        <f>IFERROR(VLOOKUP(I2063,[1]AUTOS!$C:$G,4,0),"")</f>
        <v>ROJO</v>
      </c>
      <c r="M2063" t="s">
        <v>43</v>
      </c>
      <c r="N2063" s="3">
        <v>360.25</v>
      </c>
      <c r="O2063" s="3">
        <v>2500</v>
      </c>
      <c r="P2063" s="3">
        <v>3000.25</v>
      </c>
      <c r="Q2063" s="3">
        <v>0</v>
      </c>
    </row>
    <row r="2064" spans="1:17" hidden="1" x14ac:dyDescent="0.3">
      <c r="A2064">
        <v>33</v>
      </c>
      <c r="B2064" t="str">
        <f>VLOOKUP($A2064,[1]LISTA!$B:$C,2,0)</f>
        <v>AGOSTO</v>
      </c>
      <c r="C2064" s="1">
        <v>2025</v>
      </c>
      <c r="D2064" s="1" t="str">
        <f>IF($A2064&lt;=[1]RESULTADOS!$D$6,"YTD","YTG")</f>
        <v>YTD</v>
      </c>
      <c r="E2064" t="s">
        <v>705</v>
      </c>
      <c r="F2064" t="s">
        <v>667</v>
      </c>
      <c r="G2064" t="s">
        <v>667</v>
      </c>
      <c r="H2064" t="s">
        <v>668</v>
      </c>
      <c r="I2064" t="s">
        <v>82</v>
      </c>
      <c r="J2064" t="str">
        <f>IFERROR(VLOOKUP(I2064,[1]AUTOS!$C:$G,2,0),"")</f>
        <v>AVEO</v>
      </c>
      <c r="K2064">
        <f>IFERROR(VLOOKUP(I2064,[1]AUTOS!$C:$G,3,0),"")</f>
        <v>2019</v>
      </c>
      <c r="L2064" t="str">
        <f>IFERROR(VLOOKUP(I2064,[1]AUTOS!$C:$G,4,0),"")</f>
        <v>PLATA</v>
      </c>
      <c r="M2064" t="s">
        <v>43</v>
      </c>
      <c r="N2064" s="3">
        <v>6094.08</v>
      </c>
      <c r="O2064" s="3">
        <v>1250</v>
      </c>
      <c r="P2064" s="3">
        <v>1500</v>
      </c>
      <c r="Q2064" s="3">
        <v>250</v>
      </c>
    </row>
    <row r="2065" spans="1:17" hidden="1" x14ac:dyDescent="0.3">
      <c r="A2065">
        <v>33</v>
      </c>
      <c r="B2065" t="str">
        <f>VLOOKUP($A2065,[1]LISTA!$B:$C,2,0)</f>
        <v>AGOSTO</v>
      </c>
      <c r="C2065" s="1">
        <v>2025</v>
      </c>
      <c r="D2065" s="1" t="str">
        <f>IF($A2065&lt;=[1]RESULTADOS!$D$6,"YTD","YTG")</f>
        <v>YTD</v>
      </c>
      <c r="E2065" t="s">
        <v>691</v>
      </c>
      <c r="F2065" t="s">
        <v>667</v>
      </c>
      <c r="G2065" t="s">
        <v>667</v>
      </c>
      <c r="H2065" t="s">
        <v>668</v>
      </c>
      <c r="I2065" t="s">
        <v>139</v>
      </c>
      <c r="J2065" t="str">
        <f>IFERROR(VLOOKUP(I2065,[1]AUTOS!$C:$G,2,0),"")</f>
        <v>SWIFT</v>
      </c>
      <c r="K2065">
        <f>IFERROR(VLOOKUP(I2065,[1]AUTOS!$C:$G,3,0),"")</f>
        <v>2017</v>
      </c>
      <c r="L2065" t="str">
        <f>IFERROR(VLOOKUP(I2065,[1]AUTOS!$C:$G,4,0),"")</f>
        <v>ROJO</v>
      </c>
      <c r="M2065" t="s">
        <v>43</v>
      </c>
      <c r="N2065" s="3">
        <v>5173.6000000000004</v>
      </c>
      <c r="O2065" s="3">
        <v>2500</v>
      </c>
      <c r="P2065" s="3">
        <v>4275.68</v>
      </c>
      <c r="Q2065" s="3">
        <v>0</v>
      </c>
    </row>
    <row r="2066" spans="1:17" hidden="1" x14ac:dyDescent="0.3">
      <c r="A2066">
        <v>33</v>
      </c>
      <c r="B2066" t="str">
        <f>VLOOKUP($A2066,[1]LISTA!$B:$C,2,0)</f>
        <v>AGOSTO</v>
      </c>
      <c r="C2066" s="1">
        <v>2025</v>
      </c>
      <c r="D2066" s="1" t="str">
        <f>IF($A2066&lt;=[1]RESULTADOS!$D$6,"YTD","YTG")</f>
        <v>YTD</v>
      </c>
      <c r="E2066" t="s">
        <v>399</v>
      </c>
      <c r="F2066" t="s">
        <v>667</v>
      </c>
      <c r="G2066" t="s">
        <v>667</v>
      </c>
      <c r="H2066" t="s">
        <v>668</v>
      </c>
      <c r="I2066" t="s">
        <v>162</v>
      </c>
      <c r="J2066" t="str">
        <f>IFERROR(VLOOKUP(I2066,[1]AUTOS!$C:$G,2,0),"")</f>
        <v>HYUNDAI</v>
      </c>
      <c r="K2066">
        <f>IFERROR(VLOOKUP(I2066,[1]AUTOS!$C:$G,3,0),"")</f>
        <v>2022</v>
      </c>
      <c r="L2066" t="str">
        <f>IFERROR(VLOOKUP(I2066,[1]AUTOS!$C:$G,4,0),"")</f>
        <v>PLATA</v>
      </c>
      <c r="M2066" t="s">
        <v>43</v>
      </c>
      <c r="N2066" s="3">
        <v>4970.55</v>
      </c>
      <c r="O2066" s="3">
        <v>1428.56</v>
      </c>
      <c r="P2066" s="3">
        <v>1928.56</v>
      </c>
      <c r="Q2066" s="3">
        <v>500</v>
      </c>
    </row>
    <row r="2067" spans="1:17" hidden="1" x14ac:dyDescent="0.3">
      <c r="A2067">
        <v>33</v>
      </c>
      <c r="B2067" t="str">
        <f>VLOOKUP($A2067,[1]LISTA!$B:$C,2,0)</f>
        <v>AGOSTO</v>
      </c>
      <c r="C2067" s="1">
        <v>2025</v>
      </c>
      <c r="D2067" s="1" t="str">
        <f>IF($A2067&lt;=[1]RESULTADOS!$D$6,"YTD","YTG")</f>
        <v>YTD</v>
      </c>
      <c r="E2067" t="s">
        <v>704</v>
      </c>
      <c r="F2067" t="s">
        <v>667</v>
      </c>
      <c r="G2067" t="s">
        <v>667</v>
      </c>
      <c r="H2067" t="s">
        <v>668</v>
      </c>
      <c r="I2067" t="s">
        <v>37</v>
      </c>
      <c r="J2067" t="str">
        <f>IFERROR(VLOOKUP(I2067,[1]AUTOS!$C:$G,2,0),"")</f>
        <v>BEAT</v>
      </c>
      <c r="K2067">
        <f>IFERROR(VLOOKUP(I2067,[1]AUTOS!$C:$G,3,0),"")</f>
        <v>2020</v>
      </c>
      <c r="L2067" t="str">
        <f>IFERROR(VLOOKUP(I2067,[1]AUTOS!$C:$G,4,0),"")</f>
        <v>GRIS</v>
      </c>
      <c r="M2067" t="s">
        <v>140</v>
      </c>
      <c r="N2067" s="3">
        <v>2213.88</v>
      </c>
      <c r="O2067" s="3">
        <v>2500</v>
      </c>
      <c r="P2067" s="3">
        <v>2999.88</v>
      </c>
      <c r="Q2067" s="3">
        <v>500</v>
      </c>
    </row>
    <row r="2068" spans="1:17" hidden="1" x14ac:dyDescent="0.3">
      <c r="A2068">
        <v>33</v>
      </c>
      <c r="B2068" t="str">
        <f>VLOOKUP($A2068,[1]LISTA!$B:$C,2,0)</f>
        <v>AGOSTO</v>
      </c>
      <c r="C2068" s="1">
        <v>2025</v>
      </c>
      <c r="D2068" s="1" t="str">
        <f>IF($A2068&lt;=[1]RESULTADOS!$D$6,"YTD","YTG")</f>
        <v>YTD</v>
      </c>
      <c r="E2068" t="s">
        <v>478</v>
      </c>
      <c r="F2068" t="s">
        <v>667</v>
      </c>
      <c r="G2068" t="s">
        <v>667</v>
      </c>
      <c r="H2068" t="s">
        <v>668</v>
      </c>
      <c r="I2068" t="s">
        <v>185</v>
      </c>
      <c r="J2068" t="str">
        <f>IFERROR(VLOOKUP(I2068,[1]AUTOS!$C:$G,2,0),"")</f>
        <v>MARCH</v>
      </c>
      <c r="K2068">
        <f>IFERROR(VLOOKUP(I2068,[1]AUTOS!$C:$G,3,0),"")</f>
        <v>2021</v>
      </c>
      <c r="L2068" t="str">
        <f>IFERROR(VLOOKUP(I2068,[1]AUTOS!$C:$G,4,0),"")</f>
        <v>ROJO</v>
      </c>
      <c r="M2068" t="s">
        <v>43</v>
      </c>
      <c r="N2068" s="3">
        <v>2895.83</v>
      </c>
      <c r="O2068" s="3">
        <v>2500</v>
      </c>
      <c r="P2068" s="3">
        <v>2500</v>
      </c>
      <c r="Q2068" s="3">
        <v>0</v>
      </c>
    </row>
    <row r="2069" spans="1:17" hidden="1" x14ac:dyDescent="0.3">
      <c r="A2069">
        <v>33</v>
      </c>
      <c r="B2069" t="str">
        <f>VLOOKUP($A2069,[1]LISTA!$B:$C,2,0)</f>
        <v>AGOSTO</v>
      </c>
      <c r="C2069" s="1">
        <v>2025</v>
      </c>
      <c r="D2069" s="1" t="str">
        <f>IF($A2069&lt;=[1]RESULTADOS!$D$6,"YTD","YTG")</f>
        <v>YTD</v>
      </c>
      <c r="E2069" t="s">
        <v>436</v>
      </c>
      <c r="F2069" t="s">
        <v>667</v>
      </c>
      <c r="G2069" t="s">
        <v>667</v>
      </c>
      <c r="H2069" t="s">
        <v>668</v>
      </c>
      <c r="I2069" t="s">
        <v>131</v>
      </c>
      <c r="J2069" t="str">
        <f>IFERROR(VLOOKUP(I2069,[1]AUTOS!$C:$G,2,0),"")</f>
        <v>AVEO</v>
      </c>
      <c r="K2069">
        <f>IFERROR(VLOOKUP(I2069,[1]AUTOS!$C:$G,3,0),"")</f>
        <v>2024</v>
      </c>
      <c r="L2069" t="str">
        <f>IFERROR(VLOOKUP(I2069,[1]AUTOS!$C:$G,4,0),"")</f>
        <v>GRIS</v>
      </c>
      <c r="M2069" t="s">
        <v>43</v>
      </c>
      <c r="N2069" s="3">
        <v>2086.85</v>
      </c>
      <c r="O2069" s="3">
        <v>2500</v>
      </c>
      <c r="P2069" s="3">
        <v>3695.85</v>
      </c>
      <c r="Q2069" s="3">
        <v>0</v>
      </c>
    </row>
    <row r="2070" spans="1:17" hidden="1" x14ac:dyDescent="0.3">
      <c r="A2070">
        <v>33</v>
      </c>
      <c r="B2070" t="str">
        <f>VLOOKUP($A2070,[1]LISTA!$B:$C,2,0)</f>
        <v>AGOSTO</v>
      </c>
      <c r="C2070" s="1">
        <v>2025</v>
      </c>
      <c r="D2070" s="1" t="str">
        <f>IF($A2070&lt;=[1]RESULTADOS!$D$6,"YTD","YTG")</f>
        <v>YTD</v>
      </c>
      <c r="E2070" t="s">
        <v>699</v>
      </c>
      <c r="F2070" t="s">
        <v>667</v>
      </c>
      <c r="G2070" t="s">
        <v>667</v>
      </c>
      <c r="H2070" t="s">
        <v>668</v>
      </c>
      <c r="I2070" t="s">
        <v>76</v>
      </c>
      <c r="J2070" t="str">
        <f>IFERROR(VLOOKUP(I2070,[1]AUTOS!$C:$G,2,0),"")</f>
        <v>AVEO</v>
      </c>
      <c r="K2070">
        <f>IFERROR(VLOOKUP(I2070,[1]AUTOS!$C:$G,3,0),"")</f>
        <v>2018</v>
      </c>
      <c r="L2070" t="str">
        <f>IFERROR(VLOOKUP(I2070,[1]AUTOS!$C:$G,4,0),"")</f>
        <v>GRIS</v>
      </c>
      <c r="M2070" t="s">
        <v>43</v>
      </c>
      <c r="N2070" s="3">
        <v>0</v>
      </c>
      <c r="O2070" s="3">
        <v>2500</v>
      </c>
      <c r="P2070" s="3">
        <v>1300</v>
      </c>
      <c r="Q2070" s="3">
        <v>500</v>
      </c>
    </row>
    <row r="2071" spans="1:17" hidden="1" x14ac:dyDescent="0.3">
      <c r="A2071">
        <v>33</v>
      </c>
      <c r="B2071" t="str">
        <f>VLOOKUP($A2071,[1]LISTA!$B:$C,2,0)</f>
        <v>AGOSTO</v>
      </c>
      <c r="C2071" s="1">
        <v>2025</v>
      </c>
      <c r="D2071" s="1" t="str">
        <f>IF($A2071&lt;=[1]RESULTADOS!$D$6,"YTD","YTG")</f>
        <v>YTD</v>
      </c>
      <c r="E2071" t="s">
        <v>456</v>
      </c>
      <c r="F2071" t="s">
        <v>667</v>
      </c>
      <c r="G2071" t="s">
        <v>667</v>
      </c>
      <c r="H2071" t="s">
        <v>668</v>
      </c>
      <c r="I2071" t="s">
        <v>146</v>
      </c>
      <c r="J2071" t="str">
        <f>IFERROR(VLOOKUP(I2071,[1]AUTOS!$C:$G,2,0),"")</f>
        <v>KIA RIO</v>
      </c>
      <c r="K2071">
        <f>IFERROR(VLOOKUP(I2071,[1]AUTOS!$C:$G,3,0),"")</f>
        <v>2023</v>
      </c>
      <c r="L2071" t="str">
        <f>IFERROR(VLOOKUP(I2071,[1]AUTOS!$C:$G,4,0),"")</f>
        <v>ROJO</v>
      </c>
      <c r="M2071" t="s">
        <v>140</v>
      </c>
      <c r="N2071" s="3">
        <v>3689.3500000000008</v>
      </c>
      <c r="O2071" s="3">
        <v>2500</v>
      </c>
      <c r="P2071" s="3">
        <v>2500</v>
      </c>
      <c r="Q2071" s="3">
        <v>0</v>
      </c>
    </row>
    <row r="2072" spans="1:17" hidden="1" x14ac:dyDescent="0.3">
      <c r="A2072">
        <v>33</v>
      </c>
      <c r="B2072" t="str">
        <f>VLOOKUP($A2072,[1]LISTA!$B:$C,2,0)</f>
        <v>AGOSTO</v>
      </c>
      <c r="C2072" s="1">
        <v>2025</v>
      </c>
      <c r="D2072" s="1" t="str">
        <f>IF($A2072&lt;=[1]RESULTADOS!$D$6,"YTD","YTG")</f>
        <v>YTD</v>
      </c>
      <c r="E2072" t="s">
        <v>411</v>
      </c>
      <c r="F2072" t="s">
        <v>667</v>
      </c>
      <c r="G2072" t="s">
        <v>667</v>
      </c>
      <c r="H2072" t="s">
        <v>668</v>
      </c>
      <c r="I2072" t="s">
        <v>178</v>
      </c>
      <c r="J2072" t="str">
        <f>IFERROR(VLOOKUP(I2072,[1]AUTOS!$C:$G,2,0),"")</f>
        <v>VERSA</v>
      </c>
      <c r="K2072">
        <f>IFERROR(VLOOKUP(I2072,[1]AUTOS!$C:$G,3,0),"")</f>
        <v>2020</v>
      </c>
      <c r="L2072" t="str">
        <f>IFERROR(VLOOKUP(I2072,[1]AUTOS!$C:$G,4,0),"")</f>
        <v>BLANCO</v>
      </c>
      <c r="M2072" t="s">
        <v>43</v>
      </c>
      <c r="N2072" s="3">
        <v>4909.3100000000004</v>
      </c>
      <c r="O2072" s="3">
        <v>2500</v>
      </c>
      <c r="P2072" s="3">
        <v>3500</v>
      </c>
      <c r="Q2072" s="3">
        <v>0</v>
      </c>
    </row>
    <row r="2073" spans="1:17" hidden="1" x14ac:dyDescent="0.3">
      <c r="A2073">
        <v>33</v>
      </c>
      <c r="B2073" t="str">
        <f>VLOOKUP($A2073,[1]LISTA!$B:$C,2,0)</f>
        <v>AGOSTO</v>
      </c>
      <c r="C2073" s="1">
        <v>2025</v>
      </c>
      <c r="D2073" s="1" t="str">
        <f>IF($A2073&lt;=[1]RESULTADOS!$D$6,"YTD","YTG")</f>
        <v>YTD</v>
      </c>
      <c r="E2073" t="s">
        <v>703</v>
      </c>
      <c r="F2073" t="s">
        <v>667</v>
      </c>
      <c r="G2073" t="s">
        <v>667</v>
      </c>
      <c r="H2073" t="s">
        <v>668</v>
      </c>
      <c r="I2073" t="s">
        <v>182</v>
      </c>
      <c r="J2073" t="str">
        <f>IFERROR(VLOOKUP(I2073,[1]AUTOS!$C:$G,2,0),"")</f>
        <v>AVEO</v>
      </c>
      <c r="K2073">
        <f>IFERROR(VLOOKUP(I2073,[1]AUTOS!$C:$G,3,0),"")</f>
        <v>2020</v>
      </c>
      <c r="L2073" t="str">
        <f>IFERROR(VLOOKUP(I2073,[1]AUTOS!$C:$G,4,0),"")</f>
        <v>AZUL</v>
      </c>
      <c r="M2073" t="s">
        <v>43</v>
      </c>
      <c r="N2073" s="3">
        <v>4165.1399999999994</v>
      </c>
      <c r="O2073" s="3">
        <v>2500</v>
      </c>
      <c r="P2073" s="3">
        <v>3000</v>
      </c>
      <c r="Q2073" s="3">
        <v>500</v>
      </c>
    </row>
    <row r="2074" spans="1:17" hidden="1" x14ac:dyDescent="0.3">
      <c r="A2074">
        <v>33</v>
      </c>
      <c r="B2074" t="str">
        <f>VLOOKUP($A2074,[1]LISTA!$B:$C,2,0)</f>
        <v>AGOSTO</v>
      </c>
      <c r="C2074" s="1">
        <v>2025</v>
      </c>
      <c r="D2074" s="1" t="str">
        <f>IF($A2074&lt;=[1]RESULTADOS!$D$6,"YTD","YTG")</f>
        <v>YTD</v>
      </c>
      <c r="E2074" t="s">
        <v>526</v>
      </c>
      <c r="F2074" t="s">
        <v>667</v>
      </c>
      <c r="G2074" t="s">
        <v>667</v>
      </c>
      <c r="H2074" t="s">
        <v>668</v>
      </c>
      <c r="I2074" t="s">
        <v>67</v>
      </c>
      <c r="J2074" t="str">
        <f>IFERROR(VLOOKUP(I2074,[1]AUTOS!$C:$G,2,0),"")</f>
        <v>KIA RIO</v>
      </c>
      <c r="K2074">
        <f>IFERROR(VLOOKUP(I2074,[1]AUTOS!$C:$G,3,0),"")</f>
        <v>2020</v>
      </c>
      <c r="L2074" t="str">
        <f>IFERROR(VLOOKUP(I2074,[1]AUTOS!$C:$G,4,0),"")</f>
        <v>GRIS</v>
      </c>
      <c r="M2074" t="s">
        <v>43</v>
      </c>
      <c r="N2074" s="3">
        <v>7387.0800000000017</v>
      </c>
      <c r="O2074" s="3">
        <v>2500</v>
      </c>
      <c r="P2074" s="3">
        <v>2500</v>
      </c>
      <c r="Q2074" s="3">
        <v>0</v>
      </c>
    </row>
    <row r="2075" spans="1:17" hidden="1" x14ac:dyDescent="0.3">
      <c r="A2075">
        <v>33</v>
      </c>
      <c r="B2075" t="str">
        <f>VLOOKUP($A2075,[1]LISTA!$B:$C,2,0)</f>
        <v>AGOSTO</v>
      </c>
      <c r="C2075" s="1">
        <v>2025</v>
      </c>
      <c r="D2075" s="1" t="str">
        <f>IF($A2075&lt;=[1]RESULTADOS!$D$6,"YTD","YTG")</f>
        <v>YTD</v>
      </c>
      <c r="E2075" t="s">
        <v>681</v>
      </c>
      <c r="F2075" t="s">
        <v>667</v>
      </c>
      <c r="G2075" t="s">
        <v>667</v>
      </c>
      <c r="H2075" t="s">
        <v>668</v>
      </c>
      <c r="I2075" t="s">
        <v>102</v>
      </c>
      <c r="J2075" t="str">
        <f>IFERROR(VLOOKUP(I2075,[1]AUTOS!$C:$G,2,0),"")</f>
        <v>AVEO</v>
      </c>
      <c r="K2075">
        <f>IFERROR(VLOOKUP(I2075,[1]AUTOS!$C:$G,3,0),"")</f>
        <v>2022</v>
      </c>
      <c r="L2075" t="str">
        <f>IFERROR(VLOOKUP(I2075,[1]AUTOS!$C:$G,4,0),"")</f>
        <v>AZUL</v>
      </c>
      <c r="M2075" t="s">
        <v>43</v>
      </c>
      <c r="N2075" s="3">
        <v>4060.7200000000003</v>
      </c>
      <c r="O2075" s="3">
        <v>2500</v>
      </c>
      <c r="P2075" s="3">
        <v>3038</v>
      </c>
      <c r="Q2075" s="3">
        <v>0</v>
      </c>
    </row>
    <row r="2076" spans="1:17" hidden="1" x14ac:dyDescent="0.3">
      <c r="A2076">
        <v>33</v>
      </c>
      <c r="B2076" t="str">
        <f>VLOOKUP($A2076,[1]LISTA!$B:$C,2,0)</f>
        <v>AGOSTO</v>
      </c>
      <c r="C2076" s="1">
        <v>2025</v>
      </c>
      <c r="D2076" s="1" t="str">
        <f>IF($A2076&lt;=[1]RESULTADOS!$D$6,"YTD","YTG")</f>
        <v>YTD</v>
      </c>
      <c r="E2076" t="s">
        <v>675</v>
      </c>
      <c r="F2076" t="s">
        <v>667</v>
      </c>
      <c r="G2076" t="s">
        <v>667</v>
      </c>
      <c r="H2076" t="s">
        <v>668</v>
      </c>
      <c r="I2076" t="s">
        <v>40</v>
      </c>
      <c r="J2076" t="str">
        <f>IFERROR(VLOOKUP(I2076,[1]AUTOS!$C:$G,2,0),"")</f>
        <v>VERSA</v>
      </c>
      <c r="K2076">
        <f>IFERROR(VLOOKUP(I2076,[1]AUTOS!$C:$G,3,0),"")</f>
        <v>2017</v>
      </c>
      <c r="L2076" t="str">
        <f>IFERROR(VLOOKUP(I2076,[1]AUTOS!$C:$G,4,0),"")</f>
        <v>ACERO</v>
      </c>
      <c r="M2076" t="s">
        <v>140</v>
      </c>
      <c r="N2076" s="3">
        <v>2352.5700000000002</v>
      </c>
      <c r="O2076" s="3">
        <v>2500</v>
      </c>
      <c r="P2076" s="3">
        <v>2952.57</v>
      </c>
      <c r="Q2076" s="3">
        <v>0</v>
      </c>
    </row>
    <row r="2077" spans="1:17" hidden="1" x14ac:dyDescent="0.3">
      <c r="A2077">
        <v>33</v>
      </c>
      <c r="B2077" t="str">
        <f>VLOOKUP($A2077,[1]LISTA!$B:$C,2,0)</f>
        <v>AGOSTO</v>
      </c>
      <c r="C2077" s="1">
        <v>2025</v>
      </c>
      <c r="D2077" s="1" t="str">
        <f>IF($A2077&lt;=[1]RESULTADOS!$D$6,"YTD","YTG")</f>
        <v>YTD</v>
      </c>
      <c r="E2077" t="s">
        <v>563</v>
      </c>
      <c r="F2077" t="s">
        <v>667</v>
      </c>
      <c r="G2077" t="s">
        <v>667</v>
      </c>
      <c r="H2077" t="s">
        <v>668</v>
      </c>
      <c r="I2077" t="s">
        <v>61</v>
      </c>
      <c r="J2077" t="str">
        <f>IFERROR(VLOOKUP(I2077,[1]AUTOS!$C:$G,2,0),"")</f>
        <v>KIA RIO</v>
      </c>
      <c r="K2077">
        <f>IFERROR(VLOOKUP(I2077,[1]AUTOS!$C:$G,3,0),"")</f>
        <v>2017</v>
      </c>
      <c r="L2077" t="str">
        <f>IFERROR(VLOOKUP(I2077,[1]AUTOS!$C:$G,4,0),"")</f>
        <v>ROJO</v>
      </c>
      <c r="M2077" t="s">
        <v>140</v>
      </c>
      <c r="N2077" s="3">
        <v>4261.09</v>
      </c>
      <c r="O2077" s="3">
        <v>2500</v>
      </c>
      <c r="P2077" s="3">
        <v>2500</v>
      </c>
      <c r="Q2077" s="3">
        <v>0</v>
      </c>
    </row>
    <row r="2078" spans="1:17" hidden="1" x14ac:dyDescent="0.3">
      <c r="A2078">
        <v>33</v>
      </c>
      <c r="B2078" t="str">
        <f>VLOOKUP($A2078,[1]LISTA!$B:$C,2,0)</f>
        <v>AGOSTO</v>
      </c>
      <c r="C2078" s="1">
        <v>2025</v>
      </c>
      <c r="D2078" s="1" t="str">
        <f>IF($A2078&lt;=[1]RESULTADOS!$D$6,"YTD","YTG")</f>
        <v>YTD</v>
      </c>
      <c r="E2078" t="s">
        <v>434</v>
      </c>
      <c r="F2078" t="s">
        <v>667</v>
      </c>
      <c r="G2078" t="s">
        <v>667</v>
      </c>
      <c r="H2078" t="s">
        <v>668</v>
      </c>
      <c r="I2078" t="s">
        <v>34</v>
      </c>
      <c r="J2078" t="str">
        <f>IFERROR(VLOOKUP(I2078,[1]AUTOS!$C:$G,2,0),"")</f>
        <v>AVEO</v>
      </c>
      <c r="K2078">
        <f>IFERROR(VLOOKUP(I2078,[1]AUTOS!$C:$G,3,0),"")</f>
        <v>2018</v>
      </c>
      <c r="L2078" t="str">
        <f>IFERROR(VLOOKUP(I2078,[1]AUTOS!$C:$G,4,0),"")</f>
        <v>ROJO</v>
      </c>
      <c r="M2078" t="s">
        <v>140</v>
      </c>
      <c r="N2078" s="3">
        <v>636.90000000000009</v>
      </c>
      <c r="O2078" s="3">
        <v>2500</v>
      </c>
      <c r="P2078" s="3">
        <v>3136.9</v>
      </c>
      <c r="Q2078" s="3">
        <v>500</v>
      </c>
    </row>
    <row r="2079" spans="1:17" hidden="1" x14ac:dyDescent="0.3">
      <c r="A2079">
        <v>33</v>
      </c>
      <c r="B2079" t="str">
        <f>VLOOKUP($A2079,[1]LISTA!$B:$C,2,0)</f>
        <v>AGOSTO</v>
      </c>
      <c r="C2079" s="1">
        <v>2025</v>
      </c>
      <c r="D2079" s="1" t="str">
        <f>IF($A2079&lt;=[1]RESULTADOS!$D$6,"YTD","YTG")</f>
        <v>YTD</v>
      </c>
      <c r="E2079" t="s">
        <v>688</v>
      </c>
      <c r="F2079" t="s">
        <v>667</v>
      </c>
      <c r="G2079" t="s">
        <v>667</v>
      </c>
      <c r="H2079" t="s">
        <v>668</v>
      </c>
      <c r="I2079" t="s">
        <v>76</v>
      </c>
      <c r="J2079" t="str">
        <f>IFERROR(VLOOKUP(I2079,[1]AUTOS!$C:$G,2,0),"")</f>
        <v>AVEO</v>
      </c>
      <c r="K2079">
        <f>IFERROR(VLOOKUP(I2079,[1]AUTOS!$C:$G,3,0),"")</f>
        <v>2018</v>
      </c>
      <c r="L2079" t="str">
        <f>IFERROR(VLOOKUP(I2079,[1]AUTOS!$C:$G,4,0),"")</f>
        <v>GRIS</v>
      </c>
      <c r="M2079" t="s">
        <v>43</v>
      </c>
      <c r="N2079" s="3">
        <v>0</v>
      </c>
      <c r="O2079" s="3">
        <v>0</v>
      </c>
      <c r="P2079" s="3">
        <v>-500</v>
      </c>
      <c r="Q2079" s="3">
        <v>-500</v>
      </c>
    </row>
    <row r="2080" spans="1:17" x14ac:dyDescent="0.3">
      <c r="A2080">
        <v>33</v>
      </c>
      <c r="B2080" t="str">
        <f>VLOOKUP($A2080,[1]LISTA!$B:$C,2,0)</f>
        <v>AGOSTO</v>
      </c>
      <c r="C2080" s="1">
        <v>2025</v>
      </c>
      <c r="D2080" s="1" t="str">
        <f>IF($A2080&lt;=[1]RESULTADOS!$D$6,"YTD","YTG")</f>
        <v>YTD</v>
      </c>
      <c r="E2080" t="s">
        <v>403</v>
      </c>
      <c r="F2080" t="s">
        <v>667</v>
      </c>
      <c r="G2080" t="s">
        <v>667</v>
      </c>
      <c r="H2080" t="s">
        <v>668</v>
      </c>
      <c r="I2080" t="s">
        <v>72</v>
      </c>
      <c r="J2080" t="str">
        <f>IFERROR(VLOOKUP(I2080,[1]AUTOS!$C:$G,2,0),"")</f>
        <v>VENTO</v>
      </c>
      <c r="K2080">
        <f>IFERROR(VLOOKUP(I2080,[1]AUTOS!$C:$G,3,0),"")</f>
        <v>2020</v>
      </c>
      <c r="L2080" t="str">
        <f>IFERROR(VLOOKUP(I2080,[1]AUTOS!$C:$G,4,0),"")</f>
        <v>GRIS</v>
      </c>
      <c r="M2080" t="s">
        <v>43</v>
      </c>
      <c r="N2080" s="3">
        <v>2888.03</v>
      </c>
      <c r="O2080" s="3">
        <v>2500</v>
      </c>
      <c r="P2080" s="3">
        <v>2500</v>
      </c>
      <c r="Q2080" s="3">
        <v>0</v>
      </c>
    </row>
    <row r="2081" spans="1:17" hidden="1" x14ac:dyDescent="0.3">
      <c r="A2081">
        <v>33</v>
      </c>
      <c r="B2081" t="str">
        <f>VLOOKUP($A2081,[1]LISTA!$B:$C,2,0)</f>
        <v>AGOSTO</v>
      </c>
      <c r="C2081" s="1">
        <v>2025</v>
      </c>
      <c r="D2081" s="1" t="str">
        <f>IF($A2081&lt;=[1]RESULTADOS!$D$6,"YTD","YTG")</f>
        <v>YTD</v>
      </c>
      <c r="E2081" t="s">
        <v>470</v>
      </c>
      <c r="F2081" t="s">
        <v>667</v>
      </c>
      <c r="G2081" t="s">
        <v>667</v>
      </c>
      <c r="H2081" t="s">
        <v>668</v>
      </c>
      <c r="I2081" t="s">
        <v>73</v>
      </c>
      <c r="J2081" t="str">
        <f>IFERROR(VLOOKUP(I2081,[1]AUTOS!$C:$G,2,0),"")</f>
        <v>VERSA</v>
      </c>
      <c r="K2081">
        <f>IFERROR(VLOOKUP(I2081,[1]AUTOS!$C:$G,3,0),"")</f>
        <v>2023</v>
      </c>
      <c r="L2081" t="str">
        <f>IFERROR(VLOOKUP(I2081,[1]AUTOS!$C:$G,4,0),"")</f>
        <v>PLATA</v>
      </c>
      <c r="M2081" t="s">
        <v>43</v>
      </c>
      <c r="N2081" s="3">
        <v>1880.8700000000001</v>
      </c>
      <c r="O2081" s="3">
        <v>2500</v>
      </c>
      <c r="P2081" s="3">
        <v>2480.87</v>
      </c>
      <c r="Q2081" s="3">
        <v>0</v>
      </c>
    </row>
    <row r="2082" spans="1:17" hidden="1" x14ac:dyDescent="0.3">
      <c r="A2082">
        <v>33</v>
      </c>
      <c r="B2082" t="str">
        <f>VLOOKUP($A2082,[1]LISTA!$B:$C,2,0)</f>
        <v>AGOSTO</v>
      </c>
      <c r="C2082" s="1">
        <v>2025</v>
      </c>
      <c r="D2082" s="1" t="str">
        <f>IF($A2082&lt;=[1]RESULTADOS!$D$6,"YTD","YTG")</f>
        <v>YTD</v>
      </c>
      <c r="E2082" t="s">
        <v>402</v>
      </c>
      <c r="F2082" t="s">
        <v>667</v>
      </c>
      <c r="G2082" t="s">
        <v>667</v>
      </c>
      <c r="H2082" t="s">
        <v>668</v>
      </c>
      <c r="I2082" t="s">
        <v>59</v>
      </c>
      <c r="J2082" t="str">
        <f>IFERROR(VLOOKUP(I2082,[1]AUTOS!$C:$G,2,0),"")</f>
        <v>AVEO</v>
      </c>
      <c r="K2082">
        <f>IFERROR(VLOOKUP(I2082,[1]AUTOS!$C:$G,3,0),"")</f>
        <v>2019</v>
      </c>
      <c r="L2082" t="str">
        <f>IFERROR(VLOOKUP(I2082,[1]AUTOS!$C:$G,4,0),"")</f>
        <v>BLANCO</v>
      </c>
      <c r="M2082" t="s">
        <v>43</v>
      </c>
      <c r="N2082" s="3">
        <v>691.93000000000029</v>
      </c>
      <c r="O2082" s="3">
        <v>2500</v>
      </c>
      <c r="P2082" s="3">
        <v>2491.9300000000003</v>
      </c>
      <c r="Q2082" s="3">
        <v>500</v>
      </c>
    </row>
    <row r="2083" spans="1:17" hidden="1" x14ac:dyDescent="0.3">
      <c r="A2083">
        <v>33</v>
      </c>
      <c r="B2083" t="str">
        <f>VLOOKUP($A2083,[1]LISTA!$B:$C,2,0)</f>
        <v>AGOSTO</v>
      </c>
      <c r="C2083" s="1">
        <v>2025</v>
      </c>
      <c r="D2083" s="1" t="str">
        <f>IF($A2083&lt;=[1]RESULTADOS!$D$6,"YTD","YTG")</f>
        <v>YTD</v>
      </c>
      <c r="E2083" t="s">
        <v>700</v>
      </c>
      <c r="F2083" t="s">
        <v>667</v>
      </c>
      <c r="G2083" t="s">
        <v>667</v>
      </c>
      <c r="H2083" t="s">
        <v>668</v>
      </c>
      <c r="I2083" t="s">
        <v>370</v>
      </c>
      <c r="J2083" t="str">
        <f>IFERROR(VLOOKUP(I2083,[1]AUTOS!$C:$G,2,0),"")</f>
        <v>KIA RIO</v>
      </c>
      <c r="K2083">
        <f>IFERROR(VLOOKUP(I2083,[1]AUTOS!$C:$G,3,0),"")</f>
        <v>2020</v>
      </c>
      <c r="L2083" t="str">
        <f>IFERROR(VLOOKUP(I2083,[1]AUTOS!$C:$G,4,0),"")</f>
        <v>AZUL</v>
      </c>
      <c r="M2083" t="s">
        <v>215</v>
      </c>
      <c r="N2083" s="3">
        <v>0</v>
      </c>
      <c r="O2083" s="3">
        <v>0</v>
      </c>
      <c r="P2083" s="3">
        <v>0</v>
      </c>
      <c r="Q2083" s="3">
        <v>-321</v>
      </c>
    </row>
    <row r="2084" spans="1:17" hidden="1" x14ac:dyDescent="0.3">
      <c r="A2084">
        <v>33</v>
      </c>
      <c r="B2084" t="str">
        <f>VLOOKUP($A2084,[1]LISTA!$B:$C,2,0)</f>
        <v>AGOSTO</v>
      </c>
      <c r="C2084" s="1">
        <v>2025</v>
      </c>
      <c r="D2084" s="1" t="str">
        <f>IF($A2084&lt;=[1]RESULTADOS!$D$6,"YTD","YTG")</f>
        <v>YTD</v>
      </c>
      <c r="E2084" t="s">
        <v>416</v>
      </c>
      <c r="F2084" t="s">
        <v>667</v>
      </c>
      <c r="G2084" t="s">
        <v>667</v>
      </c>
      <c r="H2084" t="s">
        <v>668</v>
      </c>
      <c r="I2084" t="s">
        <v>214</v>
      </c>
      <c r="J2084" t="str">
        <f>IFERROR(VLOOKUP(I2084,[1]AUTOS!$C:$G,2,0),"")</f>
        <v>VENTO</v>
      </c>
      <c r="K2084">
        <f>IFERROR(VLOOKUP(I2084,[1]AUTOS!$C:$G,3,0),"")</f>
        <v>2019</v>
      </c>
      <c r="L2084" t="str">
        <f>IFERROR(VLOOKUP(I2084,[1]AUTOS!$C:$G,4,0),"")</f>
        <v>BLANCO</v>
      </c>
      <c r="M2084" t="s">
        <v>215</v>
      </c>
      <c r="N2084" s="3">
        <v>3029.06</v>
      </c>
      <c r="O2084" s="3">
        <v>2500</v>
      </c>
      <c r="P2084" s="3">
        <v>3000</v>
      </c>
      <c r="Q2084" s="3">
        <v>500</v>
      </c>
    </row>
    <row r="2085" spans="1:17" hidden="1" x14ac:dyDescent="0.3">
      <c r="A2085">
        <v>33</v>
      </c>
      <c r="B2085" t="str">
        <f>VLOOKUP($A2085,[1]LISTA!$B:$C,2,0)</f>
        <v>AGOSTO</v>
      </c>
      <c r="C2085" s="1">
        <v>2025</v>
      </c>
      <c r="D2085" s="1" t="str">
        <f>IF($A2085&lt;=[1]RESULTADOS!$D$6,"YTD","YTG")</f>
        <v>YTD</v>
      </c>
      <c r="E2085" t="s">
        <v>417</v>
      </c>
      <c r="F2085" t="s">
        <v>667</v>
      </c>
      <c r="G2085" t="s">
        <v>667</v>
      </c>
      <c r="H2085" t="s">
        <v>668</v>
      </c>
      <c r="I2085" t="s">
        <v>370</v>
      </c>
      <c r="J2085" t="str">
        <f>IFERROR(VLOOKUP(I2085,[1]AUTOS!$C:$G,2,0),"")</f>
        <v>KIA RIO</v>
      </c>
      <c r="K2085">
        <f>IFERROR(VLOOKUP(I2085,[1]AUTOS!$C:$G,3,0),"")</f>
        <v>2020</v>
      </c>
      <c r="L2085" t="str">
        <f>IFERROR(VLOOKUP(I2085,[1]AUTOS!$C:$G,4,0),"")</f>
        <v>AZUL</v>
      </c>
      <c r="M2085" t="s">
        <v>215</v>
      </c>
      <c r="N2085" s="3">
        <v>1803.5599999999997</v>
      </c>
      <c r="O2085" s="3">
        <v>2500</v>
      </c>
      <c r="P2085" s="3">
        <v>1290</v>
      </c>
      <c r="Q2085" s="3">
        <v>500</v>
      </c>
    </row>
    <row r="2086" spans="1:17" hidden="1" x14ac:dyDescent="0.3">
      <c r="A2086">
        <v>33</v>
      </c>
      <c r="B2086" t="str">
        <f>VLOOKUP($A2086,[1]LISTA!$B:$C,2,0)</f>
        <v>AGOSTO</v>
      </c>
      <c r="C2086" s="1">
        <v>2025</v>
      </c>
      <c r="D2086" s="1" t="str">
        <f>IF($A2086&lt;=[1]RESULTADOS!$D$6,"YTD","YTG")</f>
        <v>YTD</v>
      </c>
      <c r="E2086" t="s">
        <v>377</v>
      </c>
      <c r="F2086" t="s">
        <v>667</v>
      </c>
      <c r="G2086" t="s">
        <v>667</v>
      </c>
      <c r="H2086" t="s">
        <v>668</v>
      </c>
      <c r="I2086" t="s">
        <v>51</v>
      </c>
      <c r="J2086" t="str">
        <f>IFERROR(VLOOKUP(I2086,[1]AUTOS!$C:$G,2,0),"")</f>
        <v>VENTO</v>
      </c>
      <c r="K2086">
        <f>IFERROR(VLOOKUP(I2086,[1]AUTOS!$C:$G,3,0),"")</f>
        <v>2017</v>
      </c>
      <c r="L2086" t="str">
        <f>IFERROR(VLOOKUP(I2086,[1]AUTOS!$C:$G,4,0),"")</f>
        <v>GRIS</v>
      </c>
      <c r="M2086" t="s">
        <v>43</v>
      </c>
      <c r="N2086" s="3">
        <v>2377.38</v>
      </c>
      <c r="O2086" s="3">
        <v>1071.42</v>
      </c>
      <c r="P2086" s="3">
        <v>1571.42</v>
      </c>
      <c r="Q2086" s="3">
        <v>500</v>
      </c>
    </row>
    <row r="2087" spans="1:17" hidden="1" x14ac:dyDescent="0.3">
      <c r="A2087">
        <v>34</v>
      </c>
      <c r="B2087" t="str">
        <f>VLOOKUP($A2087,[1]LISTA!$B:$C,2,0)</f>
        <v>AGOSTO</v>
      </c>
      <c r="C2087" s="1">
        <v>2025</v>
      </c>
      <c r="D2087" s="1" t="str">
        <f>IF($A2087&lt;=[1]RESULTADOS!$D$6,"YTD","YTG")</f>
        <v>YTD</v>
      </c>
      <c r="E2087" t="s">
        <v>492</v>
      </c>
      <c r="F2087" t="s">
        <v>667</v>
      </c>
      <c r="G2087" t="s">
        <v>667</v>
      </c>
      <c r="H2087" t="s">
        <v>668</v>
      </c>
      <c r="I2087" t="s">
        <v>144</v>
      </c>
      <c r="J2087" t="str">
        <f>IFERROR(VLOOKUP(I2087,[1]AUTOS!$C:$G,2,0),"")</f>
        <v>VERSA</v>
      </c>
      <c r="K2087">
        <f>IFERROR(VLOOKUP(I2087,[1]AUTOS!$C:$G,3,0),"")</f>
        <v>2020</v>
      </c>
      <c r="L2087" t="str">
        <f>IFERROR(VLOOKUP(I2087,[1]AUTOS!$C:$G,4,0),"")</f>
        <v>ROJO</v>
      </c>
      <c r="M2087" t="s">
        <v>43</v>
      </c>
      <c r="N2087" s="3">
        <v>0</v>
      </c>
      <c r="O2087" s="3">
        <v>2500</v>
      </c>
      <c r="P2087" s="3">
        <v>3000</v>
      </c>
      <c r="Q2087" s="3">
        <v>0</v>
      </c>
    </row>
    <row r="2088" spans="1:17" hidden="1" x14ac:dyDescent="0.3">
      <c r="A2088">
        <v>34</v>
      </c>
      <c r="B2088" t="str">
        <f>VLOOKUP($A2088,[1]LISTA!$B:$C,2,0)</f>
        <v>AGOSTO</v>
      </c>
      <c r="C2088" s="1">
        <v>2025</v>
      </c>
      <c r="D2088" s="1" t="str">
        <f>IF($A2088&lt;=[1]RESULTADOS!$D$6,"YTD","YTG")</f>
        <v>YTD</v>
      </c>
      <c r="E2088" t="s">
        <v>705</v>
      </c>
      <c r="F2088" t="s">
        <v>667</v>
      </c>
      <c r="G2088" t="s">
        <v>667</v>
      </c>
      <c r="H2088" t="s">
        <v>668</v>
      </c>
      <c r="I2088" t="s">
        <v>82</v>
      </c>
      <c r="J2088" t="str">
        <f>IFERROR(VLOOKUP(I2088,[1]AUTOS!$C:$G,2,0),"")</f>
        <v>AVEO</v>
      </c>
      <c r="K2088">
        <f>IFERROR(VLOOKUP(I2088,[1]AUTOS!$C:$G,3,0),"")</f>
        <v>2019</v>
      </c>
      <c r="L2088" t="str">
        <f>IFERROR(VLOOKUP(I2088,[1]AUTOS!$C:$G,4,0),"")</f>
        <v>PLATA</v>
      </c>
      <c r="M2088" t="s">
        <v>43</v>
      </c>
      <c r="N2088" s="3">
        <v>11426.76</v>
      </c>
      <c r="O2088" s="3">
        <v>2500</v>
      </c>
      <c r="P2088" s="3">
        <v>3000</v>
      </c>
      <c r="Q2088" s="3">
        <v>500</v>
      </c>
    </row>
    <row r="2089" spans="1:17" hidden="1" x14ac:dyDescent="0.3">
      <c r="A2089">
        <v>34</v>
      </c>
      <c r="B2089" t="str">
        <f>VLOOKUP($A2089,[1]LISTA!$B:$C,2,0)</f>
        <v>AGOSTO</v>
      </c>
      <c r="C2089" s="1">
        <v>2025</v>
      </c>
      <c r="D2089" s="1" t="str">
        <f>IF($A2089&lt;=[1]RESULTADOS!$D$6,"YTD","YTG")</f>
        <v>YTD</v>
      </c>
      <c r="E2089" t="s">
        <v>691</v>
      </c>
      <c r="F2089" t="s">
        <v>667</v>
      </c>
      <c r="G2089" t="s">
        <v>667</v>
      </c>
      <c r="H2089" t="s">
        <v>668</v>
      </c>
      <c r="I2089" t="s">
        <v>139</v>
      </c>
      <c r="J2089" t="str">
        <f>IFERROR(VLOOKUP(I2089,[1]AUTOS!$C:$G,2,0),"")</f>
        <v>SWIFT</v>
      </c>
      <c r="K2089">
        <f>IFERROR(VLOOKUP(I2089,[1]AUTOS!$C:$G,3,0),"")</f>
        <v>2017</v>
      </c>
      <c r="L2089" t="str">
        <f>IFERROR(VLOOKUP(I2089,[1]AUTOS!$C:$G,4,0),"")</f>
        <v>ROJO</v>
      </c>
      <c r="M2089" t="s">
        <v>43</v>
      </c>
      <c r="N2089" s="3">
        <v>3820.8599999999997</v>
      </c>
      <c r="O2089" s="3">
        <v>2500</v>
      </c>
      <c r="P2089" s="3">
        <v>3000</v>
      </c>
      <c r="Q2089" s="3">
        <v>0</v>
      </c>
    </row>
    <row r="2090" spans="1:17" hidden="1" x14ac:dyDescent="0.3">
      <c r="A2090">
        <v>34</v>
      </c>
      <c r="B2090" t="str">
        <f>VLOOKUP($A2090,[1]LISTA!$B:$C,2,0)</f>
        <v>AGOSTO</v>
      </c>
      <c r="C2090" s="1">
        <v>2025</v>
      </c>
      <c r="D2090" s="1" t="str">
        <f>IF($A2090&lt;=[1]RESULTADOS!$D$6,"YTD","YTG")</f>
        <v>YTD</v>
      </c>
      <c r="E2090" t="s">
        <v>486</v>
      </c>
      <c r="F2090" t="s">
        <v>667</v>
      </c>
      <c r="G2090" t="s">
        <v>667</v>
      </c>
      <c r="H2090" t="s">
        <v>668</v>
      </c>
      <c r="I2090" t="s">
        <v>46</v>
      </c>
      <c r="J2090" t="str">
        <f>IFERROR(VLOOKUP(I2090,[1]AUTOS!$C:$G,2,0),"")</f>
        <v>MARCH</v>
      </c>
      <c r="K2090">
        <f>IFERROR(VLOOKUP(I2090,[1]AUTOS!$C:$G,3,0),"")</f>
        <v>2020</v>
      </c>
      <c r="L2090" t="str">
        <f>IFERROR(VLOOKUP(I2090,[1]AUTOS!$C:$G,4,0),"")</f>
        <v>TURQ</v>
      </c>
      <c r="M2090" t="s">
        <v>43</v>
      </c>
      <c r="N2090" s="3">
        <v>5214.6499999999996</v>
      </c>
      <c r="O2090" s="3">
        <v>2143</v>
      </c>
      <c r="P2090" s="3">
        <v>2643</v>
      </c>
      <c r="Q2090" s="3">
        <v>500</v>
      </c>
    </row>
    <row r="2091" spans="1:17" hidden="1" x14ac:dyDescent="0.3">
      <c r="A2091">
        <v>34</v>
      </c>
      <c r="B2091" t="str">
        <f>VLOOKUP($A2091,[1]LISTA!$B:$C,2,0)</f>
        <v>AGOSTO</v>
      </c>
      <c r="C2091" s="1">
        <v>2025</v>
      </c>
      <c r="D2091" s="1" t="str">
        <f>IF($A2091&lt;=[1]RESULTADOS!$D$6,"YTD","YTG")</f>
        <v>YTD</v>
      </c>
      <c r="E2091" t="s">
        <v>399</v>
      </c>
      <c r="F2091" t="s">
        <v>667</v>
      </c>
      <c r="G2091" t="s">
        <v>667</v>
      </c>
      <c r="H2091" t="s">
        <v>668</v>
      </c>
      <c r="I2091" t="s">
        <v>162</v>
      </c>
      <c r="J2091" t="str">
        <f>IFERROR(VLOOKUP(I2091,[1]AUTOS!$C:$G,2,0),"")</f>
        <v>HYUNDAI</v>
      </c>
      <c r="K2091">
        <f>IFERROR(VLOOKUP(I2091,[1]AUTOS!$C:$G,3,0),"")</f>
        <v>2022</v>
      </c>
      <c r="L2091" t="str">
        <f>IFERROR(VLOOKUP(I2091,[1]AUTOS!$C:$G,4,0),"")</f>
        <v>PLATA</v>
      </c>
      <c r="M2091" t="s">
        <v>43</v>
      </c>
      <c r="N2091" s="3">
        <v>7601.08</v>
      </c>
      <c r="O2091" s="3">
        <v>2500</v>
      </c>
      <c r="P2091" s="3">
        <v>3000</v>
      </c>
      <c r="Q2091" s="3">
        <v>500</v>
      </c>
    </row>
    <row r="2092" spans="1:17" hidden="1" x14ac:dyDescent="0.3">
      <c r="A2092">
        <v>34</v>
      </c>
      <c r="B2092" t="str">
        <f>VLOOKUP($A2092,[1]LISTA!$B:$C,2,0)</f>
        <v>AGOSTO</v>
      </c>
      <c r="C2092" s="1">
        <v>2025</v>
      </c>
      <c r="D2092" s="1" t="str">
        <f>IF($A2092&lt;=[1]RESULTADOS!$D$6,"YTD","YTG")</f>
        <v>YTD</v>
      </c>
      <c r="E2092" t="s">
        <v>704</v>
      </c>
      <c r="F2092" t="s">
        <v>667</v>
      </c>
      <c r="G2092" t="s">
        <v>667</v>
      </c>
      <c r="H2092" t="s">
        <v>668</v>
      </c>
      <c r="I2092" t="s">
        <v>37</v>
      </c>
      <c r="J2092" t="str">
        <f>IFERROR(VLOOKUP(I2092,[1]AUTOS!$C:$G,2,0),"")</f>
        <v>BEAT</v>
      </c>
      <c r="K2092">
        <f>IFERROR(VLOOKUP(I2092,[1]AUTOS!$C:$G,3,0),"")</f>
        <v>2020</v>
      </c>
      <c r="L2092" t="str">
        <f>IFERROR(VLOOKUP(I2092,[1]AUTOS!$C:$G,4,0),"")</f>
        <v>GRIS</v>
      </c>
      <c r="M2092" t="s">
        <v>140</v>
      </c>
      <c r="N2092" s="3">
        <v>4810.9400000000005</v>
      </c>
      <c r="O2092" s="3">
        <v>2500</v>
      </c>
      <c r="P2092" s="3">
        <v>3000</v>
      </c>
      <c r="Q2092" s="3">
        <v>500</v>
      </c>
    </row>
    <row r="2093" spans="1:17" hidden="1" x14ac:dyDescent="0.3">
      <c r="A2093">
        <v>34</v>
      </c>
      <c r="B2093" t="str">
        <f>VLOOKUP($A2093,[1]LISTA!$B:$C,2,0)</f>
        <v>AGOSTO</v>
      </c>
      <c r="C2093" s="1">
        <v>2025</v>
      </c>
      <c r="D2093" s="1" t="str">
        <f>IF($A2093&lt;=[1]RESULTADOS!$D$6,"YTD","YTG")</f>
        <v>YTD</v>
      </c>
      <c r="E2093" t="s">
        <v>478</v>
      </c>
      <c r="F2093" t="s">
        <v>667</v>
      </c>
      <c r="G2093" t="s">
        <v>667</v>
      </c>
      <c r="H2093" t="s">
        <v>668</v>
      </c>
      <c r="I2093" t="s">
        <v>185</v>
      </c>
      <c r="J2093" t="str">
        <f>IFERROR(VLOOKUP(I2093,[1]AUTOS!$C:$G,2,0),"")</f>
        <v>MARCH</v>
      </c>
      <c r="K2093">
        <f>IFERROR(VLOOKUP(I2093,[1]AUTOS!$C:$G,3,0),"")</f>
        <v>2021</v>
      </c>
      <c r="L2093" t="str">
        <f>IFERROR(VLOOKUP(I2093,[1]AUTOS!$C:$G,4,0),"")</f>
        <v>ROJO</v>
      </c>
      <c r="M2093" t="s">
        <v>43</v>
      </c>
      <c r="N2093" s="3">
        <v>2500.0899999999997</v>
      </c>
      <c r="O2093" s="3">
        <v>2500</v>
      </c>
      <c r="P2093" s="3">
        <v>2500</v>
      </c>
      <c r="Q2093" s="3">
        <v>0</v>
      </c>
    </row>
    <row r="2094" spans="1:17" hidden="1" x14ac:dyDescent="0.3">
      <c r="A2094">
        <v>34</v>
      </c>
      <c r="B2094" t="str">
        <f>VLOOKUP($A2094,[1]LISTA!$B:$C,2,0)</f>
        <v>AGOSTO</v>
      </c>
      <c r="C2094" s="1">
        <v>2025</v>
      </c>
      <c r="D2094" s="1" t="str">
        <f>IF($A2094&lt;=[1]RESULTADOS!$D$6,"YTD","YTG")</f>
        <v>YTD</v>
      </c>
      <c r="E2094" t="s">
        <v>436</v>
      </c>
      <c r="F2094" t="s">
        <v>667</v>
      </c>
      <c r="G2094" t="s">
        <v>667</v>
      </c>
      <c r="H2094" t="s">
        <v>668</v>
      </c>
      <c r="I2094" t="s">
        <v>131</v>
      </c>
      <c r="J2094" t="str">
        <f>IFERROR(VLOOKUP(I2094,[1]AUTOS!$C:$G,2,0),"")</f>
        <v>AVEO</v>
      </c>
      <c r="K2094">
        <f>IFERROR(VLOOKUP(I2094,[1]AUTOS!$C:$G,3,0),"")</f>
        <v>2024</v>
      </c>
      <c r="L2094" t="str">
        <f>IFERROR(VLOOKUP(I2094,[1]AUTOS!$C:$G,4,0),"")</f>
        <v>GRIS</v>
      </c>
      <c r="M2094" t="s">
        <v>43</v>
      </c>
      <c r="N2094" s="3">
        <v>764.98</v>
      </c>
      <c r="O2094" s="3">
        <v>2500</v>
      </c>
      <c r="P2094" s="3">
        <v>2264.98</v>
      </c>
      <c r="Q2094" s="3">
        <v>0</v>
      </c>
    </row>
    <row r="2095" spans="1:17" hidden="1" x14ac:dyDescent="0.3">
      <c r="A2095">
        <v>34</v>
      </c>
      <c r="B2095" t="str">
        <f>VLOOKUP($A2095,[1]LISTA!$B:$C,2,0)</f>
        <v>AGOSTO</v>
      </c>
      <c r="C2095" s="1">
        <v>2025</v>
      </c>
      <c r="D2095" s="1" t="str">
        <f>IF($A2095&lt;=[1]RESULTADOS!$D$6,"YTD","YTG")</f>
        <v>YTD</v>
      </c>
      <c r="E2095" t="s">
        <v>699</v>
      </c>
      <c r="F2095" t="s">
        <v>667</v>
      </c>
      <c r="G2095" t="s">
        <v>667</v>
      </c>
      <c r="H2095" t="s">
        <v>668</v>
      </c>
      <c r="I2095" t="s">
        <v>76</v>
      </c>
      <c r="J2095" t="str">
        <f>IFERROR(VLOOKUP(I2095,[1]AUTOS!$C:$G,2,0),"")</f>
        <v>AVEO</v>
      </c>
      <c r="K2095">
        <f>IFERROR(VLOOKUP(I2095,[1]AUTOS!$C:$G,3,0),"")</f>
        <v>2018</v>
      </c>
      <c r="L2095" t="str">
        <f>IFERROR(VLOOKUP(I2095,[1]AUTOS!$C:$G,4,0),"")</f>
        <v>GRIS</v>
      </c>
      <c r="M2095" t="s">
        <v>43</v>
      </c>
      <c r="N2095" s="3">
        <v>771.97</v>
      </c>
      <c r="O2095" s="3">
        <v>2500</v>
      </c>
      <c r="P2095" s="3">
        <v>2471.9700000000003</v>
      </c>
      <c r="Q2095" s="3">
        <v>500</v>
      </c>
    </row>
    <row r="2096" spans="1:17" hidden="1" x14ac:dyDescent="0.3">
      <c r="A2096">
        <v>34</v>
      </c>
      <c r="B2096" t="str">
        <f>VLOOKUP($A2096,[1]LISTA!$B:$C,2,0)</f>
        <v>AGOSTO</v>
      </c>
      <c r="C2096" s="1">
        <v>2025</v>
      </c>
      <c r="D2096" s="1" t="str">
        <f>IF($A2096&lt;=[1]RESULTADOS!$D$6,"YTD","YTG")</f>
        <v>YTD</v>
      </c>
      <c r="E2096" t="s">
        <v>456</v>
      </c>
      <c r="F2096" t="s">
        <v>667</v>
      </c>
      <c r="G2096" t="s">
        <v>667</v>
      </c>
      <c r="H2096" t="s">
        <v>668</v>
      </c>
      <c r="I2096" t="s">
        <v>146</v>
      </c>
      <c r="J2096" t="str">
        <f>IFERROR(VLOOKUP(I2096,[1]AUTOS!$C:$G,2,0),"")</f>
        <v>KIA RIO</v>
      </c>
      <c r="K2096">
        <f>IFERROR(VLOOKUP(I2096,[1]AUTOS!$C:$G,3,0),"")</f>
        <v>2023</v>
      </c>
      <c r="L2096" t="str">
        <f>IFERROR(VLOOKUP(I2096,[1]AUTOS!$C:$G,4,0),"")</f>
        <v>ROJO</v>
      </c>
      <c r="M2096" t="s">
        <v>140</v>
      </c>
      <c r="N2096" s="3">
        <v>3336.6900000000005</v>
      </c>
      <c r="O2096" s="3">
        <v>2500</v>
      </c>
      <c r="P2096" s="3">
        <v>3100</v>
      </c>
      <c r="Q2096" s="3">
        <v>0</v>
      </c>
    </row>
    <row r="2097" spans="1:17" hidden="1" x14ac:dyDescent="0.3">
      <c r="A2097">
        <v>34</v>
      </c>
      <c r="B2097" t="str">
        <f>VLOOKUP($A2097,[1]LISTA!$B:$C,2,0)</f>
        <v>AGOSTO</v>
      </c>
      <c r="C2097" s="1">
        <v>2025</v>
      </c>
      <c r="D2097" s="1" t="str">
        <f>IF($A2097&lt;=[1]RESULTADOS!$D$6,"YTD","YTG")</f>
        <v>YTD</v>
      </c>
      <c r="E2097" t="s">
        <v>411</v>
      </c>
      <c r="F2097" t="s">
        <v>667</v>
      </c>
      <c r="G2097" t="s">
        <v>667</v>
      </c>
      <c r="H2097" t="s">
        <v>668</v>
      </c>
      <c r="I2097" t="s">
        <v>178</v>
      </c>
      <c r="J2097" t="str">
        <f>IFERROR(VLOOKUP(I2097,[1]AUTOS!$C:$G,2,0),"")</f>
        <v>VERSA</v>
      </c>
      <c r="K2097">
        <f>IFERROR(VLOOKUP(I2097,[1]AUTOS!$C:$G,3,0),"")</f>
        <v>2020</v>
      </c>
      <c r="L2097" t="str">
        <f>IFERROR(VLOOKUP(I2097,[1]AUTOS!$C:$G,4,0),"")</f>
        <v>BLANCO</v>
      </c>
      <c r="M2097" t="s">
        <v>43</v>
      </c>
      <c r="N2097" s="3">
        <v>3847.8999999999996</v>
      </c>
      <c r="O2097" s="3">
        <v>2500</v>
      </c>
      <c r="P2097" s="3">
        <v>2800</v>
      </c>
      <c r="Q2097" s="3">
        <v>0</v>
      </c>
    </row>
    <row r="2098" spans="1:17" hidden="1" x14ac:dyDescent="0.3">
      <c r="A2098">
        <v>34</v>
      </c>
      <c r="B2098" t="str">
        <f>VLOOKUP($A2098,[1]LISTA!$B:$C,2,0)</f>
        <v>AGOSTO</v>
      </c>
      <c r="C2098" s="1">
        <v>2025</v>
      </c>
      <c r="D2098" s="1" t="str">
        <f>IF($A2098&lt;=[1]RESULTADOS!$D$6,"YTD","YTG")</f>
        <v>YTD</v>
      </c>
      <c r="E2098" t="s">
        <v>703</v>
      </c>
      <c r="F2098" t="s">
        <v>667</v>
      </c>
      <c r="G2098" t="s">
        <v>667</v>
      </c>
      <c r="H2098" t="s">
        <v>668</v>
      </c>
      <c r="I2098" t="s">
        <v>182</v>
      </c>
      <c r="J2098" t="str">
        <f>IFERROR(VLOOKUP(I2098,[1]AUTOS!$C:$G,2,0),"")</f>
        <v>AVEO</v>
      </c>
      <c r="K2098">
        <f>IFERROR(VLOOKUP(I2098,[1]AUTOS!$C:$G,3,0),"")</f>
        <v>2020</v>
      </c>
      <c r="L2098" t="str">
        <f>IFERROR(VLOOKUP(I2098,[1]AUTOS!$C:$G,4,0),"")</f>
        <v>AZUL</v>
      </c>
      <c r="M2098" t="s">
        <v>43</v>
      </c>
      <c r="N2098" s="3">
        <v>2728.13</v>
      </c>
      <c r="O2098" s="3">
        <v>2500</v>
      </c>
      <c r="P2098" s="3">
        <v>3000.13</v>
      </c>
      <c r="Q2098" s="3">
        <v>500</v>
      </c>
    </row>
    <row r="2099" spans="1:17" hidden="1" x14ac:dyDescent="0.3">
      <c r="A2099">
        <v>34</v>
      </c>
      <c r="B2099" t="str">
        <f>VLOOKUP($A2099,[1]LISTA!$B:$C,2,0)</f>
        <v>AGOSTO</v>
      </c>
      <c r="C2099" s="1">
        <v>2025</v>
      </c>
      <c r="D2099" s="1" t="str">
        <f>IF($A2099&lt;=[1]RESULTADOS!$D$6,"YTD","YTG")</f>
        <v>YTD</v>
      </c>
      <c r="E2099" t="s">
        <v>526</v>
      </c>
      <c r="F2099" t="s">
        <v>667</v>
      </c>
      <c r="G2099" t="s">
        <v>667</v>
      </c>
      <c r="H2099" t="s">
        <v>668</v>
      </c>
      <c r="I2099" t="s">
        <v>67</v>
      </c>
      <c r="J2099" t="str">
        <f>IFERROR(VLOOKUP(I2099,[1]AUTOS!$C:$G,2,0),"")</f>
        <v>KIA RIO</v>
      </c>
      <c r="K2099">
        <f>IFERROR(VLOOKUP(I2099,[1]AUTOS!$C:$G,3,0),"")</f>
        <v>2020</v>
      </c>
      <c r="L2099" t="str">
        <f>IFERROR(VLOOKUP(I2099,[1]AUTOS!$C:$G,4,0),"")</f>
        <v>GRIS</v>
      </c>
      <c r="M2099" t="s">
        <v>43</v>
      </c>
      <c r="N2099" s="3">
        <v>4706.42</v>
      </c>
      <c r="O2099" s="3">
        <v>2500</v>
      </c>
      <c r="P2099" s="3">
        <v>2500</v>
      </c>
      <c r="Q2099" s="3">
        <v>0</v>
      </c>
    </row>
    <row r="2100" spans="1:17" hidden="1" x14ac:dyDescent="0.3">
      <c r="A2100">
        <v>34</v>
      </c>
      <c r="B2100" t="str">
        <f>VLOOKUP($A2100,[1]LISTA!$B:$C,2,0)</f>
        <v>AGOSTO</v>
      </c>
      <c r="C2100" s="1">
        <v>2025</v>
      </c>
      <c r="D2100" s="1" t="str">
        <f>IF($A2100&lt;=[1]RESULTADOS!$D$6,"YTD","YTG")</f>
        <v>YTD</v>
      </c>
      <c r="E2100" t="s">
        <v>681</v>
      </c>
      <c r="F2100" t="s">
        <v>667</v>
      </c>
      <c r="G2100" t="s">
        <v>667</v>
      </c>
      <c r="H2100" t="s">
        <v>668</v>
      </c>
      <c r="I2100" t="s">
        <v>102</v>
      </c>
      <c r="J2100" t="str">
        <f>IFERROR(VLOOKUP(I2100,[1]AUTOS!$C:$G,2,0),"")</f>
        <v>AVEO</v>
      </c>
      <c r="K2100">
        <f>IFERROR(VLOOKUP(I2100,[1]AUTOS!$C:$G,3,0),"")</f>
        <v>2022</v>
      </c>
      <c r="L2100" t="str">
        <f>IFERROR(VLOOKUP(I2100,[1]AUTOS!$C:$G,4,0),"")</f>
        <v>AZUL</v>
      </c>
      <c r="M2100" t="s">
        <v>43</v>
      </c>
      <c r="N2100" s="3">
        <v>3963.2299999999996</v>
      </c>
      <c r="O2100" s="3">
        <v>2500</v>
      </c>
      <c r="P2100" s="3">
        <v>2977</v>
      </c>
      <c r="Q2100" s="3">
        <v>0</v>
      </c>
    </row>
    <row r="2101" spans="1:17" hidden="1" x14ac:dyDescent="0.3">
      <c r="A2101">
        <v>34</v>
      </c>
      <c r="B2101" t="str">
        <f>VLOOKUP($A2101,[1]LISTA!$B:$C,2,0)</f>
        <v>AGOSTO</v>
      </c>
      <c r="C2101" s="1">
        <v>2025</v>
      </c>
      <c r="D2101" s="1" t="str">
        <f>IF($A2101&lt;=[1]RESULTADOS!$D$6,"YTD","YTG")</f>
        <v>YTD</v>
      </c>
      <c r="E2101" t="s">
        <v>675</v>
      </c>
      <c r="F2101" t="s">
        <v>667</v>
      </c>
      <c r="G2101" t="s">
        <v>667</v>
      </c>
      <c r="H2101" t="s">
        <v>668</v>
      </c>
      <c r="I2101" t="s">
        <v>440</v>
      </c>
      <c r="J2101" t="str">
        <f>IFERROR(VLOOKUP(I2101,[1]AUTOS!$C:$G,2,0),"")</f>
        <v>AVEO</v>
      </c>
      <c r="K2101">
        <f>IFERROR(VLOOKUP(I2101,[1]AUTOS!$C:$G,3,0),"")</f>
        <v>2021</v>
      </c>
      <c r="L2101" t="str">
        <f>IFERROR(VLOOKUP(I2101,[1]AUTOS!$C:$G,4,0),"")</f>
        <v>GRIS</v>
      </c>
      <c r="M2101" t="s">
        <v>140</v>
      </c>
      <c r="N2101" s="3">
        <v>2714.13</v>
      </c>
      <c r="O2101" s="3">
        <v>2143</v>
      </c>
      <c r="P2101" s="3">
        <v>2187</v>
      </c>
      <c r="Q2101" s="3">
        <v>0</v>
      </c>
    </row>
    <row r="2102" spans="1:17" hidden="1" x14ac:dyDescent="0.3">
      <c r="A2102">
        <v>34</v>
      </c>
      <c r="B2102" t="str">
        <f>VLOOKUP($A2102,[1]LISTA!$B:$C,2,0)</f>
        <v>AGOSTO</v>
      </c>
      <c r="C2102" s="1">
        <v>2025</v>
      </c>
      <c r="D2102" s="1" t="str">
        <f>IF($A2102&lt;=[1]RESULTADOS!$D$6,"YTD","YTG")</f>
        <v>YTD</v>
      </c>
      <c r="E2102" t="s">
        <v>675</v>
      </c>
      <c r="F2102" t="s">
        <v>667</v>
      </c>
      <c r="G2102" t="s">
        <v>667</v>
      </c>
      <c r="H2102" t="s">
        <v>668</v>
      </c>
      <c r="I2102" t="s">
        <v>42</v>
      </c>
      <c r="J2102" t="str">
        <f>IFERROR(VLOOKUP(I2102,[1]AUTOS!$C:$G,2,0),"")</f>
        <v>VENTO</v>
      </c>
      <c r="K2102">
        <f>IFERROR(VLOOKUP(I2102,[1]AUTOS!$C:$G,3,0),"")</f>
        <v>2018</v>
      </c>
      <c r="L2102" t="str">
        <f>IFERROR(VLOOKUP(I2102,[1]AUTOS!$C:$G,4,0),"")</f>
        <v>AMARILLO</v>
      </c>
      <c r="M2102" t="s">
        <v>43</v>
      </c>
      <c r="N2102" s="3">
        <v>97.710000000000008</v>
      </c>
      <c r="O2102" s="3">
        <v>357</v>
      </c>
      <c r="P2102" s="3">
        <v>97.710000000000008</v>
      </c>
      <c r="Q2102" s="3">
        <v>0</v>
      </c>
    </row>
    <row r="2103" spans="1:17" hidden="1" x14ac:dyDescent="0.3">
      <c r="A2103">
        <v>34</v>
      </c>
      <c r="B2103" t="str">
        <f>VLOOKUP($A2103,[1]LISTA!$B:$C,2,0)</f>
        <v>AGOSTO</v>
      </c>
      <c r="C2103" s="1">
        <v>2025</v>
      </c>
      <c r="D2103" s="1" t="str">
        <f>IF($A2103&lt;=[1]RESULTADOS!$D$6,"YTD","YTG")</f>
        <v>YTD</v>
      </c>
      <c r="E2103" t="s">
        <v>563</v>
      </c>
      <c r="F2103" t="s">
        <v>667</v>
      </c>
      <c r="G2103" t="s">
        <v>667</v>
      </c>
      <c r="H2103" t="s">
        <v>668</v>
      </c>
      <c r="I2103" t="s">
        <v>61</v>
      </c>
      <c r="J2103" t="str">
        <f>IFERROR(VLOOKUP(I2103,[1]AUTOS!$C:$G,2,0),"")</f>
        <v>KIA RIO</v>
      </c>
      <c r="K2103">
        <f>IFERROR(VLOOKUP(I2103,[1]AUTOS!$C:$G,3,0),"")</f>
        <v>2017</v>
      </c>
      <c r="L2103" t="str">
        <f>IFERROR(VLOOKUP(I2103,[1]AUTOS!$C:$G,4,0),"")</f>
        <v>ROJO</v>
      </c>
      <c r="M2103" t="s">
        <v>140</v>
      </c>
      <c r="N2103" s="3">
        <v>3958.7</v>
      </c>
      <c r="O2103" s="3">
        <v>2500</v>
      </c>
      <c r="P2103" s="3">
        <v>2500</v>
      </c>
      <c r="Q2103" s="3">
        <v>0</v>
      </c>
    </row>
    <row r="2104" spans="1:17" hidden="1" x14ac:dyDescent="0.3">
      <c r="A2104">
        <v>34</v>
      </c>
      <c r="B2104" t="str">
        <f>VLOOKUP($A2104,[1]LISTA!$B:$C,2,0)</f>
        <v>AGOSTO</v>
      </c>
      <c r="C2104" s="1">
        <v>2025</v>
      </c>
      <c r="D2104" s="1" t="str">
        <f>IF($A2104&lt;=[1]RESULTADOS!$D$6,"YTD","YTG")</f>
        <v>YTD</v>
      </c>
      <c r="E2104" t="s">
        <v>434</v>
      </c>
      <c r="F2104" t="s">
        <v>667</v>
      </c>
      <c r="G2104" t="s">
        <v>667</v>
      </c>
      <c r="H2104" t="s">
        <v>668</v>
      </c>
      <c r="I2104" t="s">
        <v>34</v>
      </c>
      <c r="J2104" t="str">
        <f>IFERROR(VLOOKUP(I2104,[1]AUTOS!$C:$G,2,0),"")</f>
        <v>AVEO</v>
      </c>
      <c r="K2104">
        <f>IFERROR(VLOOKUP(I2104,[1]AUTOS!$C:$G,3,0),"")</f>
        <v>2018</v>
      </c>
      <c r="L2104" t="str">
        <f>IFERROR(VLOOKUP(I2104,[1]AUTOS!$C:$G,4,0),"")</f>
        <v>ROJO</v>
      </c>
      <c r="M2104" t="s">
        <v>140</v>
      </c>
      <c r="N2104" s="3">
        <v>871.67999999999984</v>
      </c>
      <c r="O2104" s="3">
        <v>2500</v>
      </c>
      <c r="P2104" s="3">
        <v>3871.68</v>
      </c>
      <c r="Q2104" s="3">
        <v>500</v>
      </c>
    </row>
    <row r="2105" spans="1:17" hidden="1" x14ac:dyDescent="0.3">
      <c r="A2105">
        <v>34</v>
      </c>
      <c r="B2105" t="str">
        <f>VLOOKUP($A2105,[1]LISTA!$B:$C,2,0)</f>
        <v>AGOSTO</v>
      </c>
      <c r="C2105" s="1">
        <v>2025</v>
      </c>
      <c r="D2105" s="1" t="str">
        <f>IF($A2105&lt;=[1]RESULTADOS!$D$6,"YTD","YTG")</f>
        <v>YTD</v>
      </c>
      <c r="E2105" t="s">
        <v>688</v>
      </c>
      <c r="F2105" t="s">
        <v>667</v>
      </c>
      <c r="G2105" t="s">
        <v>667</v>
      </c>
      <c r="H2105" t="s">
        <v>668</v>
      </c>
      <c r="I2105" t="s">
        <v>76</v>
      </c>
      <c r="J2105" t="str">
        <f>IFERROR(VLOOKUP(I2105,[1]AUTOS!$C:$G,2,0),"")</f>
        <v>AVEO</v>
      </c>
      <c r="K2105">
        <f>IFERROR(VLOOKUP(I2105,[1]AUTOS!$C:$G,3,0),"")</f>
        <v>2018</v>
      </c>
      <c r="L2105" t="str">
        <f>IFERROR(VLOOKUP(I2105,[1]AUTOS!$C:$G,4,0),"")</f>
        <v>GRIS</v>
      </c>
      <c r="M2105" t="s">
        <v>43</v>
      </c>
      <c r="N2105" s="3">
        <v>0</v>
      </c>
      <c r="O2105" s="3">
        <v>0</v>
      </c>
      <c r="P2105" s="3">
        <v>-500</v>
      </c>
      <c r="Q2105" s="3">
        <v>-500</v>
      </c>
    </row>
    <row r="2106" spans="1:17" x14ac:dyDescent="0.3">
      <c r="A2106">
        <v>34</v>
      </c>
      <c r="B2106" t="str">
        <f>VLOOKUP($A2106,[1]LISTA!$B:$C,2,0)</f>
        <v>AGOSTO</v>
      </c>
      <c r="C2106" s="1">
        <v>2025</v>
      </c>
      <c r="D2106" s="1" t="str">
        <f>IF($A2106&lt;=[1]RESULTADOS!$D$6,"YTD","YTG")</f>
        <v>YTD</v>
      </c>
      <c r="E2106" t="s">
        <v>403</v>
      </c>
      <c r="F2106" t="s">
        <v>667</v>
      </c>
      <c r="G2106" t="s">
        <v>667</v>
      </c>
      <c r="H2106" t="s">
        <v>668</v>
      </c>
      <c r="I2106" t="s">
        <v>72</v>
      </c>
      <c r="J2106" t="str">
        <f>IFERROR(VLOOKUP(I2106,[1]AUTOS!$C:$G,2,0),"")</f>
        <v>VENTO</v>
      </c>
      <c r="K2106">
        <f>IFERROR(VLOOKUP(I2106,[1]AUTOS!$C:$G,3,0),"")</f>
        <v>2020</v>
      </c>
      <c r="L2106" t="str">
        <f>IFERROR(VLOOKUP(I2106,[1]AUTOS!$C:$G,4,0),"")</f>
        <v>GRIS</v>
      </c>
      <c r="M2106" t="s">
        <v>43</v>
      </c>
      <c r="N2106" s="3">
        <v>1812.65</v>
      </c>
      <c r="O2106" s="3">
        <v>2500</v>
      </c>
      <c r="P2106" s="3">
        <v>2499.65</v>
      </c>
      <c r="Q2106" s="3">
        <v>0</v>
      </c>
    </row>
    <row r="2107" spans="1:17" hidden="1" x14ac:dyDescent="0.3">
      <c r="A2107">
        <v>34</v>
      </c>
      <c r="B2107" t="str">
        <f>VLOOKUP($A2107,[1]LISTA!$B:$C,2,0)</f>
        <v>AGOSTO</v>
      </c>
      <c r="C2107" s="1">
        <v>2025</v>
      </c>
      <c r="D2107" s="1" t="str">
        <f>IF($A2107&lt;=[1]RESULTADOS!$D$6,"YTD","YTG")</f>
        <v>YTD</v>
      </c>
      <c r="E2107" t="s">
        <v>470</v>
      </c>
      <c r="F2107" t="s">
        <v>667</v>
      </c>
      <c r="G2107" t="s">
        <v>667</v>
      </c>
      <c r="H2107" t="s">
        <v>668</v>
      </c>
      <c r="I2107" t="s">
        <v>73</v>
      </c>
      <c r="J2107" t="str">
        <f>IFERROR(VLOOKUP(I2107,[1]AUTOS!$C:$G,2,0),"")</f>
        <v>VERSA</v>
      </c>
      <c r="K2107">
        <f>IFERROR(VLOOKUP(I2107,[1]AUTOS!$C:$G,3,0),"")</f>
        <v>2023</v>
      </c>
      <c r="L2107" t="str">
        <f>IFERROR(VLOOKUP(I2107,[1]AUTOS!$C:$G,4,0),"")</f>
        <v>PLATA</v>
      </c>
      <c r="M2107" t="s">
        <v>43</v>
      </c>
      <c r="N2107" s="3">
        <v>1372.8899999999999</v>
      </c>
      <c r="O2107" s="3">
        <v>2500</v>
      </c>
      <c r="P2107" s="3">
        <v>1872.8899999999999</v>
      </c>
      <c r="Q2107" s="3">
        <v>0</v>
      </c>
    </row>
    <row r="2108" spans="1:17" hidden="1" x14ac:dyDescent="0.3">
      <c r="A2108">
        <v>34</v>
      </c>
      <c r="B2108" t="str">
        <f>VLOOKUP($A2108,[1]LISTA!$B:$C,2,0)</f>
        <v>AGOSTO</v>
      </c>
      <c r="C2108" s="1">
        <v>2025</v>
      </c>
      <c r="D2108" s="1" t="str">
        <f>IF($A2108&lt;=[1]RESULTADOS!$D$6,"YTD","YTG")</f>
        <v>YTD</v>
      </c>
      <c r="E2108" t="s">
        <v>402</v>
      </c>
      <c r="F2108" t="s">
        <v>667</v>
      </c>
      <c r="G2108" t="s">
        <v>667</v>
      </c>
      <c r="H2108" t="s">
        <v>668</v>
      </c>
      <c r="I2108" t="s">
        <v>59</v>
      </c>
      <c r="J2108" t="str">
        <f>IFERROR(VLOOKUP(I2108,[1]AUTOS!$C:$G,2,0),"")</f>
        <v>AVEO</v>
      </c>
      <c r="K2108">
        <f>IFERROR(VLOOKUP(I2108,[1]AUTOS!$C:$G,3,0),"")</f>
        <v>2019</v>
      </c>
      <c r="L2108" t="str">
        <f>IFERROR(VLOOKUP(I2108,[1]AUTOS!$C:$G,4,0),"")</f>
        <v>BLANCO</v>
      </c>
      <c r="M2108" t="s">
        <v>43</v>
      </c>
      <c r="N2108" s="3">
        <v>557.34000000000015</v>
      </c>
      <c r="O2108" s="3">
        <v>2500</v>
      </c>
      <c r="P2108" s="3">
        <v>2849.34</v>
      </c>
      <c r="Q2108" s="3">
        <v>500</v>
      </c>
    </row>
    <row r="2109" spans="1:17" hidden="1" x14ac:dyDescent="0.3">
      <c r="A2109">
        <v>34</v>
      </c>
      <c r="B2109" t="str">
        <f>VLOOKUP($A2109,[1]LISTA!$B:$C,2,0)</f>
        <v>AGOSTO</v>
      </c>
      <c r="C2109" s="1">
        <v>2025</v>
      </c>
      <c r="D2109" s="1" t="str">
        <f>IF($A2109&lt;=[1]RESULTADOS!$D$6,"YTD","YTG")</f>
        <v>YTD</v>
      </c>
      <c r="E2109" t="s">
        <v>496</v>
      </c>
      <c r="F2109" t="s">
        <v>667</v>
      </c>
      <c r="G2109" t="s">
        <v>667</v>
      </c>
      <c r="H2109" t="s">
        <v>668</v>
      </c>
      <c r="I2109" t="s">
        <v>42</v>
      </c>
      <c r="J2109" t="str">
        <f>IFERROR(VLOOKUP(I2109,[1]AUTOS!$C:$G,2,0),"")</f>
        <v>VENTO</v>
      </c>
      <c r="K2109">
        <f>IFERROR(VLOOKUP(I2109,[1]AUTOS!$C:$G,3,0),"")</f>
        <v>2018</v>
      </c>
      <c r="L2109" t="str">
        <f>IFERROR(VLOOKUP(I2109,[1]AUTOS!$C:$G,4,0),"")</f>
        <v>AMARILLO</v>
      </c>
      <c r="M2109" t="s">
        <v>43</v>
      </c>
      <c r="N2109" s="3">
        <v>2206.0400000000004</v>
      </c>
      <c r="O2109" s="3">
        <v>1071.42</v>
      </c>
      <c r="P2109" s="3">
        <v>1571.42</v>
      </c>
      <c r="Q2109" s="3">
        <v>500</v>
      </c>
    </row>
    <row r="2110" spans="1:17" hidden="1" x14ac:dyDescent="0.3">
      <c r="A2110">
        <v>34</v>
      </c>
      <c r="B2110" t="str">
        <f>VLOOKUP($A2110,[1]LISTA!$B:$C,2,0)</f>
        <v>AGOSTO</v>
      </c>
      <c r="C2110" s="1">
        <v>2025</v>
      </c>
      <c r="D2110" s="1" t="str">
        <f>IF($A2110&lt;=[1]RESULTADOS!$D$6,"YTD","YTG")</f>
        <v>YTD</v>
      </c>
      <c r="E2110" t="s">
        <v>416</v>
      </c>
      <c r="F2110" t="s">
        <v>667</v>
      </c>
      <c r="G2110" t="s">
        <v>667</v>
      </c>
      <c r="H2110" t="s">
        <v>668</v>
      </c>
      <c r="I2110" t="s">
        <v>214</v>
      </c>
      <c r="J2110" t="str">
        <f>IFERROR(VLOOKUP(I2110,[1]AUTOS!$C:$G,2,0),"")</f>
        <v>VENTO</v>
      </c>
      <c r="K2110">
        <f>IFERROR(VLOOKUP(I2110,[1]AUTOS!$C:$G,3,0),"")</f>
        <v>2019</v>
      </c>
      <c r="L2110" t="str">
        <f>IFERROR(VLOOKUP(I2110,[1]AUTOS!$C:$G,4,0),"")</f>
        <v>BLANCO</v>
      </c>
      <c r="M2110" t="s">
        <v>215</v>
      </c>
      <c r="N2110" s="3">
        <v>4155.24</v>
      </c>
      <c r="O2110" s="3">
        <v>2500</v>
      </c>
      <c r="P2110" s="3">
        <v>3000</v>
      </c>
      <c r="Q2110" s="3">
        <v>500</v>
      </c>
    </row>
    <row r="2111" spans="1:17" hidden="1" x14ac:dyDescent="0.3">
      <c r="A2111">
        <v>34</v>
      </c>
      <c r="B2111" t="str">
        <f>VLOOKUP($A2111,[1]LISTA!$B:$C,2,0)</f>
        <v>AGOSTO</v>
      </c>
      <c r="C2111" s="1">
        <v>2025</v>
      </c>
      <c r="D2111" s="1" t="str">
        <f>IF($A2111&lt;=[1]RESULTADOS!$D$6,"YTD","YTG")</f>
        <v>YTD</v>
      </c>
      <c r="E2111" t="s">
        <v>417</v>
      </c>
      <c r="F2111" t="s">
        <v>667</v>
      </c>
      <c r="G2111" t="s">
        <v>667</v>
      </c>
      <c r="H2111" t="s">
        <v>668</v>
      </c>
      <c r="I2111" t="s">
        <v>370</v>
      </c>
      <c r="J2111" t="str">
        <f>IFERROR(VLOOKUP(I2111,[1]AUTOS!$C:$G,2,0),"")</f>
        <v>KIA RIO</v>
      </c>
      <c r="K2111">
        <f>IFERROR(VLOOKUP(I2111,[1]AUTOS!$C:$G,3,0),"")</f>
        <v>2020</v>
      </c>
      <c r="L2111" t="str">
        <f>IFERROR(VLOOKUP(I2111,[1]AUTOS!$C:$G,4,0),"")</f>
        <v>AZUL</v>
      </c>
      <c r="M2111" t="s">
        <v>215</v>
      </c>
      <c r="N2111" s="3">
        <v>107.56999999999971</v>
      </c>
      <c r="O2111" s="3">
        <v>2500</v>
      </c>
      <c r="P2111" s="3">
        <v>107.56999999999971</v>
      </c>
      <c r="Q2111" s="3">
        <v>0</v>
      </c>
    </row>
    <row r="2112" spans="1:17" hidden="1" x14ac:dyDescent="0.3">
      <c r="A2112">
        <v>34</v>
      </c>
      <c r="B2112" t="str">
        <f>VLOOKUP($A2112,[1]LISTA!$B:$C,2,0)</f>
        <v>AGOSTO</v>
      </c>
      <c r="C2112" s="1">
        <v>2025</v>
      </c>
      <c r="D2112" s="1" t="str">
        <f>IF($A2112&lt;=[1]RESULTADOS!$D$6,"YTD","YTG")</f>
        <v>YTD</v>
      </c>
      <c r="E2112" t="s">
        <v>377</v>
      </c>
      <c r="F2112" t="s">
        <v>667</v>
      </c>
      <c r="G2112" t="s">
        <v>667</v>
      </c>
      <c r="H2112" t="s">
        <v>668</v>
      </c>
      <c r="I2112" t="s">
        <v>51</v>
      </c>
      <c r="J2112" t="str">
        <f>IFERROR(VLOOKUP(I2112,[1]AUTOS!$C:$G,2,0),"")</f>
        <v>VENTO</v>
      </c>
      <c r="K2112">
        <f>IFERROR(VLOOKUP(I2112,[1]AUTOS!$C:$G,3,0),"")</f>
        <v>2017</v>
      </c>
      <c r="L2112" t="str">
        <f>IFERROR(VLOOKUP(I2112,[1]AUTOS!$C:$G,4,0),"")</f>
        <v>GRIS</v>
      </c>
      <c r="M2112" t="s">
        <v>43</v>
      </c>
      <c r="N2112" s="3">
        <v>5017.4799999999996</v>
      </c>
      <c r="O2112" s="3">
        <v>2500</v>
      </c>
      <c r="P2112" s="3">
        <v>3000</v>
      </c>
      <c r="Q2112" s="3">
        <v>500</v>
      </c>
    </row>
    <row r="2113" spans="1:17" hidden="1" x14ac:dyDescent="0.3">
      <c r="A2113">
        <v>35</v>
      </c>
      <c r="B2113" t="str">
        <f>VLOOKUP($A2113,[1]LISTA!$B:$C,2,0)</f>
        <v>AGOSTO</v>
      </c>
      <c r="C2113" s="1">
        <v>2025</v>
      </c>
      <c r="D2113" s="1" t="str">
        <f>IF($A2113&lt;=[1]RESULTADOS!$D$6,"YTD","YTG")</f>
        <v>YTD</v>
      </c>
      <c r="E2113" t="s">
        <v>492</v>
      </c>
      <c r="F2113" t="s">
        <v>667</v>
      </c>
      <c r="G2113" t="s">
        <v>667</v>
      </c>
      <c r="H2113" t="s">
        <v>668</v>
      </c>
      <c r="I2113" t="s">
        <v>144</v>
      </c>
      <c r="J2113" t="str">
        <f>IFERROR(VLOOKUP(I2113,[1]AUTOS!$C:$G,2,0),"")</f>
        <v>VERSA</v>
      </c>
      <c r="K2113">
        <f>IFERROR(VLOOKUP(I2113,[1]AUTOS!$C:$G,3,0),"")</f>
        <v>2020</v>
      </c>
      <c r="L2113" t="str">
        <f>IFERROR(VLOOKUP(I2113,[1]AUTOS!$C:$G,4,0),"")</f>
        <v>ROJO</v>
      </c>
      <c r="M2113" t="s">
        <v>43</v>
      </c>
      <c r="N2113" s="3">
        <v>-36</v>
      </c>
      <c r="O2113" s="3">
        <v>2500</v>
      </c>
      <c r="P2113" s="3">
        <v>3000</v>
      </c>
      <c r="Q2113" s="3">
        <v>0</v>
      </c>
    </row>
    <row r="2114" spans="1:17" hidden="1" x14ac:dyDescent="0.3">
      <c r="A2114">
        <v>35</v>
      </c>
      <c r="B2114" t="str">
        <f>VLOOKUP($A2114,[1]LISTA!$B:$C,2,0)</f>
        <v>AGOSTO</v>
      </c>
      <c r="C2114" s="1">
        <v>2025</v>
      </c>
      <c r="D2114" s="1" t="str">
        <f>IF($A2114&lt;=[1]RESULTADOS!$D$6,"YTD","YTG")</f>
        <v>YTD</v>
      </c>
      <c r="E2114" t="s">
        <v>705</v>
      </c>
      <c r="F2114" t="s">
        <v>667</v>
      </c>
      <c r="G2114" t="s">
        <v>667</v>
      </c>
      <c r="H2114" t="s">
        <v>668</v>
      </c>
      <c r="I2114" t="s">
        <v>82</v>
      </c>
      <c r="J2114" t="str">
        <f>IFERROR(VLOOKUP(I2114,[1]AUTOS!$C:$G,2,0),"")</f>
        <v>AVEO</v>
      </c>
      <c r="K2114">
        <f>IFERROR(VLOOKUP(I2114,[1]AUTOS!$C:$G,3,0),"")</f>
        <v>2019</v>
      </c>
      <c r="L2114" t="str">
        <f>IFERROR(VLOOKUP(I2114,[1]AUTOS!$C:$G,4,0),"")</f>
        <v>PLATA</v>
      </c>
      <c r="M2114" t="s">
        <v>43</v>
      </c>
      <c r="N2114" s="3">
        <v>7362.1300000000047</v>
      </c>
      <c r="O2114" s="3">
        <v>2500</v>
      </c>
      <c r="P2114" s="3">
        <v>3000</v>
      </c>
      <c r="Q2114" s="3">
        <v>500</v>
      </c>
    </row>
    <row r="2115" spans="1:17" hidden="1" x14ac:dyDescent="0.3">
      <c r="A2115">
        <v>35</v>
      </c>
      <c r="B2115" t="str">
        <f>VLOOKUP($A2115,[1]LISTA!$B:$C,2,0)</f>
        <v>AGOSTO</v>
      </c>
      <c r="C2115" s="1">
        <v>2025</v>
      </c>
      <c r="D2115" s="1" t="str">
        <f>IF($A2115&lt;=[1]RESULTADOS!$D$6,"YTD","YTG")</f>
        <v>YTD</v>
      </c>
      <c r="E2115" t="s">
        <v>691</v>
      </c>
      <c r="F2115" t="s">
        <v>667</v>
      </c>
      <c r="G2115" t="s">
        <v>667</v>
      </c>
      <c r="H2115" t="s">
        <v>668</v>
      </c>
      <c r="I2115" t="s">
        <v>139</v>
      </c>
      <c r="J2115" t="str">
        <f>IFERROR(VLOOKUP(I2115,[1]AUTOS!$C:$G,2,0),"")</f>
        <v>SWIFT</v>
      </c>
      <c r="K2115">
        <f>IFERROR(VLOOKUP(I2115,[1]AUTOS!$C:$G,3,0),"")</f>
        <v>2017</v>
      </c>
      <c r="L2115" t="str">
        <f>IFERROR(VLOOKUP(I2115,[1]AUTOS!$C:$G,4,0),"")</f>
        <v>ROJO</v>
      </c>
      <c r="M2115" t="s">
        <v>43</v>
      </c>
      <c r="N2115" s="3">
        <v>554.38000000000011</v>
      </c>
      <c r="O2115" s="3">
        <v>357</v>
      </c>
      <c r="P2115" s="3">
        <v>1407.38</v>
      </c>
      <c r="Q2115" s="3">
        <v>0</v>
      </c>
    </row>
    <row r="2116" spans="1:17" hidden="1" x14ac:dyDescent="0.3">
      <c r="A2116">
        <v>35</v>
      </c>
      <c r="B2116" t="str">
        <f>VLOOKUP($A2116,[1]LISTA!$B:$C,2,0)</f>
        <v>AGOSTO</v>
      </c>
      <c r="C2116" s="1">
        <v>2025</v>
      </c>
      <c r="D2116" s="1" t="str">
        <f>IF($A2116&lt;=[1]RESULTADOS!$D$6,"YTD","YTG")</f>
        <v>YTD</v>
      </c>
      <c r="E2116" t="s">
        <v>691</v>
      </c>
      <c r="F2116" t="s">
        <v>667</v>
      </c>
      <c r="G2116" t="s">
        <v>667</v>
      </c>
      <c r="H2116" t="s">
        <v>668</v>
      </c>
      <c r="I2116" t="s">
        <v>139</v>
      </c>
      <c r="J2116" t="str">
        <f>IFERROR(VLOOKUP(I2116,[1]AUTOS!$C:$G,2,0),"")</f>
        <v>SWIFT</v>
      </c>
      <c r="K2116">
        <f>IFERROR(VLOOKUP(I2116,[1]AUTOS!$C:$G,3,0),"")</f>
        <v>2017</v>
      </c>
      <c r="L2116" t="str">
        <f>IFERROR(VLOOKUP(I2116,[1]AUTOS!$C:$G,4,0),"")</f>
        <v>ROJO</v>
      </c>
      <c r="M2116" t="s">
        <v>140</v>
      </c>
      <c r="N2116" s="3">
        <v>3886.73</v>
      </c>
      <c r="O2116" s="3">
        <v>2143</v>
      </c>
      <c r="P2116" s="3">
        <v>2143</v>
      </c>
      <c r="Q2116" s="3">
        <v>0</v>
      </c>
    </row>
    <row r="2117" spans="1:17" hidden="1" x14ac:dyDescent="0.3">
      <c r="A2117">
        <v>35</v>
      </c>
      <c r="B2117" t="str">
        <f>VLOOKUP($A2117,[1]LISTA!$B:$C,2,0)</f>
        <v>AGOSTO</v>
      </c>
      <c r="C2117" s="1">
        <v>2025</v>
      </c>
      <c r="D2117" s="1" t="str">
        <f>IF($A2117&lt;=[1]RESULTADOS!$D$6,"YTD","YTG")</f>
        <v>YTD</v>
      </c>
      <c r="E2117" t="s">
        <v>486</v>
      </c>
      <c r="F2117" t="s">
        <v>667</v>
      </c>
      <c r="G2117" t="s">
        <v>667</v>
      </c>
      <c r="H2117" t="s">
        <v>668</v>
      </c>
      <c r="I2117" t="s">
        <v>46</v>
      </c>
      <c r="J2117" t="str">
        <f>IFERROR(VLOOKUP(I2117,[1]AUTOS!$C:$G,2,0),"")</f>
        <v>MARCH</v>
      </c>
      <c r="K2117">
        <f>IFERROR(VLOOKUP(I2117,[1]AUTOS!$C:$G,3,0),"")</f>
        <v>2020</v>
      </c>
      <c r="L2117" t="str">
        <f>IFERROR(VLOOKUP(I2117,[1]AUTOS!$C:$G,4,0),"")</f>
        <v>TURQ</v>
      </c>
      <c r="M2117" t="s">
        <v>43</v>
      </c>
      <c r="N2117" s="3">
        <v>6208.7099999999964</v>
      </c>
      <c r="O2117" s="3">
        <v>2500</v>
      </c>
      <c r="P2117" s="3">
        <v>3000</v>
      </c>
      <c r="Q2117" s="3">
        <v>500</v>
      </c>
    </row>
    <row r="2118" spans="1:17" hidden="1" x14ac:dyDescent="0.3">
      <c r="A2118">
        <v>35</v>
      </c>
      <c r="B2118" t="str">
        <f>VLOOKUP($A2118,[1]LISTA!$B:$C,2,0)</f>
        <v>AGOSTO</v>
      </c>
      <c r="C2118" s="1">
        <v>2025</v>
      </c>
      <c r="D2118" s="1" t="str">
        <f>IF($A2118&lt;=[1]RESULTADOS!$D$6,"YTD","YTG")</f>
        <v>YTD</v>
      </c>
      <c r="E2118" t="s">
        <v>399</v>
      </c>
      <c r="F2118" t="s">
        <v>667</v>
      </c>
      <c r="G2118" t="s">
        <v>667</v>
      </c>
      <c r="H2118" t="s">
        <v>668</v>
      </c>
      <c r="I2118" t="s">
        <v>162</v>
      </c>
      <c r="J2118" t="str">
        <f>IFERROR(VLOOKUP(I2118,[1]AUTOS!$C:$G,2,0),"")</f>
        <v>HYUNDAI</v>
      </c>
      <c r="K2118">
        <f>IFERROR(VLOOKUP(I2118,[1]AUTOS!$C:$G,3,0),"")</f>
        <v>2022</v>
      </c>
      <c r="L2118" t="str">
        <f>IFERROR(VLOOKUP(I2118,[1]AUTOS!$C:$G,4,0),"")</f>
        <v>PLATA</v>
      </c>
      <c r="M2118" t="s">
        <v>43</v>
      </c>
      <c r="N2118" s="3">
        <v>9564.8499999999913</v>
      </c>
      <c r="O2118" s="3">
        <v>2500</v>
      </c>
      <c r="P2118" s="3">
        <v>3000</v>
      </c>
      <c r="Q2118" s="3">
        <v>500</v>
      </c>
    </row>
    <row r="2119" spans="1:17" hidden="1" x14ac:dyDescent="0.3">
      <c r="A2119">
        <v>35</v>
      </c>
      <c r="B2119" t="str">
        <f>VLOOKUP($A2119,[1]LISTA!$B:$C,2,0)</f>
        <v>AGOSTO</v>
      </c>
      <c r="C2119" s="1">
        <v>2025</v>
      </c>
      <c r="D2119" s="1" t="str">
        <f>IF($A2119&lt;=[1]RESULTADOS!$D$6,"YTD","YTG")</f>
        <v>YTD</v>
      </c>
      <c r="E2119" t="s">
        <v>704</v>
      </c>
      <c r="F2119" t="s">
        <v>667</v>
      </c>
      <c r="G2119" t="s">
        <v>667</v>
      </c>
      <c r="H2119" t="s">
        <v>668</v>
      </c>
      <c r="I2119" t="s">
        <v>37</v>
      </c>
      <c r="J2119" t="str">
        <f>IFERROR(VLOOKUP(I2119,[1]AUTOS!$C:$G,2,0),"")</f>
        <v>BEAT</v>
      </c>
      <c r="K2119">
        <f>IFERROR(VLOOKUP(I2119,[1]AUTOS!$C:$G,3,0),"")</f>
        <v>2020</v>
      </c>
      <c r="L2119" t="str">
        <f>IFERROR(VLOOKUP(I2119,[1]AUTOS!$C:$G,4,0),"")</f>
        <v>GRIS</v>
      </c>
      <c r="M2119" t="s">
        <v>140</v>
      </c>
      <c r="N2119" s="3">
        <v>2336.0600000000004</v>
      </c>
      <c r="O2119" s="3">
        <v>2500</v>
      </c>
      <c r="P2119" s="3">
        <v>3000.0600000000004</v>
      </c>
      <c r="Q2119" s="3">
        <v>500</v>
      </c>
    </row>
    <row r="2120" spans="1:17" hidden="1" x14ac:dyDescent="0.3">
      <c r="A2120">
        <v>35</v>
      </c>
      <c r="B2120" t="str">
        <f>VLOOKUP($A2120,[1]LISTA!$B:$C,2,0)</f>
        <v>AGOSTO</v>
      </c>
      <c r="C2120" s="1">
        <v>2025</v>
      </c>
      <c r="D2120" s="1" t="str">
        <f>IF($A2120&lt;=[1]RESULTADOS!$D$6,"YTD","YTG")</f>
        <v>YTD</v>
      </c>
      <c r="E2120" t="s">
        <v>478</v>
      </c>
      <c r="F2120" t="s">
        <v>667</v>
      </c>
      <c r="G2120" t="s">
        <v>667</v>
      </c>
      <c r="H2120" t="s">
        <v>668</v>
      </c>
      <c r="I2120" t="s">
        <v>185</v>
      </c>
      <c r="J2120" t="str">
        <f>IFERROR(VLOOKUP(I2120,[1]AUTOS!$C:$G,2,0),"")</f>
        <v>MARCH</v>
      </c>
      <c r="K2120">
        <f>IFERROR(VLOOKUP(I2120,[1]AUTOS!$C:$G,3,0),"")</f>
        <v>2021</v>
      </c>
      <c r="L2120" t="str">
        <f>IFERROR(VLOOKUP(I2120,[1]AUTOS!$C:$G,4,0),"")</f>
        <v>ROJO</v>
      </c>
      <c r="M2120" t="s">
        <v>43</v>
      </c>
      <c r="N2120" s="3">
        <v>1384.379999999999</v>
      </c>
      <c r="O2120" s="3">
        <v>2500</v>
      </c>
      <c r="P2120" s="3">
        <v>2500.3799999999992</v>
      </c>
      <c r="Q2120" s="3">
        <v>0</v>
      </c>
    </row>
    <row r="2121" spans="1:17" hidden="1" x14ac:dyDescent="0.3">
      <c r="A2121">
        <v>35</v>
      </c>
      <c r="B2121" t="str">
        <f>VLOOKUP($A2121,[1]LISTA!$B:$C,2,0)</f>
        <v>AGOSTO</v>
      </c>
      <c r="C2121" s="1">
        <v>2025</v>
      </c>
      <c r="D2121" s="1" t="str">
        <f>IF($A2121&lt;=[1]RESULTADOS!$D$6,"YTD","YTG")</f>
        <v>YTD</v>
      </c>
      <c r="E2121" t="s">
        <v>436</v>
      </c>
      <c r="F2121" t="s">
        <v>667</v>
      </c>
      <c r="G2121" t="s">
        <v>667</v>
      </c>
      <c r="H2121" t="s">
        <v>668</v>
      </c>
      <c r="I2121" t="s">
        <v>131</v>
      </c>
      <c r="J2121" t="str">
        <f>IFERROR(VLOOKUP(I2121,[1]AUTOS!$C:$G,2,0),"")</f>
        <v>AVEO</v>
      </c>
      <c r="K2121">
        <f>IFERROR(VLOOKUP(I2121,[1]AUTOS!$C:$G,3,0),"")</f>
        <v>2024</v>
      </c>
      <c r="L2121" t="str">
        <f>IFERROR(VLOOKUP(I2121,[1]AUTOS!$C:$G,4,0),"")</f>
        <v>GRIS</v>
      </c>
      <c r="M2121" t="s">
        <v>43</v>
      </c>
      <c r="N2121" s="3">
        <v>-30</v>
      </c>
      <c r="O2121" s="3">
        <v>1429</v>
      </c>
      <c r="P2121" s="3">
        <v>1426</v>
      </c>
      <c r="Q2121" s="3">
        <v>0</v>
      </c>
    </row>
    <row r="2122" spans="1:17" hidden="1" x14ac:dyDescent="0.3">
      <c r="A2122">
        <v>35</v>
      </c>
      <c r="B2122" t="str">
        <f>VLOOKUP($A2122,[1]LISTA!$B:$C,2,0)</f>
        <v>AGOSTO</v>
      </c>
      <c r="C2122" s="1">
        <v>2025</v>
      </c>
      <c r="D2122" s="1" t="str">
        <f>IF($A2122&lt;=[1]RESULTADOS!$D$6,"YTD","YTG")</f>
        <v>YTD</v>
      </c>
      <c r="E2122" t="s">
        <v>436</v>
      </c>
      <c r="F2122" t="s">
        <v>667</v>
      </c>
      <c r="G2122" t="s">
        <v>667</v>
      </c>
      <c r="H2122" t="s">
        <v>668</v>
      </c>
      <c r="I2122" t="s">
        <v>112</v>
      </c>
      <c r="J2122" t="str">
        <f>IFERROR(VLOOKUP(I2122,[1]AUTOS!$C:$G,2,0),"")</f>
        <v>KIA RIO</v>
      </c>
      <c r="K2122">
        <f>IFERROR(VLOOKUP(I2122,[1]AUTOS!$C:$G,3,0),"")</f>
        <v>2020</v>
      </c>
      <c r="L2122" t="str">
        <f>IFERROR(VLOOKUP(I2122,[1]AUTOS!$C:$G,4,0),"")</f>
        <v>ROJO</v>
      </c>
      <c r="M2122" t="s">
        <v>140</v>
      </c>
      <c r="N2122" s="3">
        <v>1369.8600000000001</v>
      </c>
      <c r="O2122" s="3">
        <v>714</v>
      </c>
      <c r="P2122" s="3">
        <v>714</v>
      </c>
      <c r="Q2122" s="3">
        <v>0</v>
      </c>
    </row>
    <row r="2123" spans="1:17" hidden="1" x14ac:dyDescent="0.3">
      <c r="A2123">
        <v>35</v>
      </c>
      <c r="B2123" t="str">
        <f>VLOOKUP($A2123,[1]LISTA!$B:$C,2,0)</f>
        <v>AGOSTO</v>
      </c>
      <c r="C2123" s="1">
        <v>2025</v>
      </c>
      <c r="D2123" s="1" t="str">
        <f>IF($A2123&lt;=[1]RESULTADOS!$D$6,"YTD","YTG")</f>
        <v>YTD</v>
      </c>
      <c r="E2123" t="s">
        <v>706</v>
      </c>
      <c r="F2123" t="s">
        <v>667</v>
      </c>
      <c r="G2123" t="s">
        <v>667</v>
      </c>
      <c r="H2123" t="s">
        <v>668</v>
      </c>
      <c r="I2123" t="s">
        <v>131</v>
      </c>
      <c r="J2123" t="str">
        <f>IFERROR(VLOOKUP(I2123,[1]AUTOS!$C:$G,2,0),"")</f>
        <v>AVEO</v>
      </c>
      <c r="K2123">
        <f>IFERROR(VLOOKUP(I2123,[1]AUTOS!$C:$G,3,0),"")</f>
        <v>2024</v>
      </c>
      <c r="L2123" t="str">
        <f>IFERROR(VLOOKUP(I2123,[1]AUTOS!$C:$G,4,0),"")</f>
        <v>GRIS</v>
      </c>
      <c r="M2123" t="s">
        <v>43</v>
      </c>
      <c r="N2123" s="3">
        <v>1986</v>
      </c>
      <c r="O2123" s="3">
        <v>1986</v>
      </c>
      <c r="P2123" s="3">
        <v>1986</v>
      </c>
      <c r="Q2123" s="3">
        <v>0</v>
      </c>
    </row>
    <row r="2124" spans="1:17" hidden="1" x14ac:dyDescent="0.3">
      <c r="A2124">
        <v>35</v>
      </c>
      <c r="B2124" t="str">
        <f>VLOOKUP($A2124,[1]LISTA!$B:$C,2,0)</f>
        <v>AGOSTO</v>
      </c>
      <c r="C2124" s="1">
        <v>2025</v>
      </c>
      <c r="D2124" s="1" t="str">
        <f>IF($A2124&lt;=[1]RESULTADOS!$D$6,"YTD","YTG")</f>
        <v>YTD</v>
      </c>
      <c r="E2124" t="s">
        <v>699</v>
      </c>
      <c r="F2124" t="s">
        <v>667</v>
      </c>
      <c r="G2124" t="s">
        <v>667</v>
      </c>
      <c r="H2124" t="s">
        <v>668</v>
      </c>
      <c r="I2124" t="s">
        <v>76</v>
      </c>
      <c r="J2124" t="str">
        <f>IFERROR(VLOOKUP(I2124,[1]AUTOS!$C:$G,2,0),"")</f>
        <v>AVEO</v>
      </c>
      <c r="K2124">
        <f>IFERROR(VLOOKUP(I2124,[1]AUTOS!$C:$G,3,0),"")</f>
        <v>2018</v>
      </c>
      <c r="L2124" t="str">
        <f>IFERROR(VLOOKUP(I2124,[1]AUTOS!$C:$G,4,0),"")</f>
        <v>GRIS</v>
      </c>
      <c r="M2124" t="s">
        <v>43</v>
      </c>
      <c r="N2124" s="3">
        <v>-283</v>
      </c>
      <c r="O2124" s="3">
        <v>0</v>
      </c>
      <c r="P2124" s="3">
        <v>-283.15999999999985</v>
      </c>
      <c r="Q2124" s="3">
        <v>-3007</v>
      </c>
    </row>
    <row r="2125" spans="1:17" hidden="1" x14ac:dyDescent="0.3">
      <c r="A2125">
        <v>35</v>
      </c>
      <c r="B2125" t="str">
        <f>VLOOKUP($A2125,[1]LISTA!$B:$C,2,0)</f>
        <v>AGOSTO</v>
      </c>
      <c r="C2125" s="1">
        <v>2025</v>
      </c>
      <c r="D2125" s="1" t="str">
        <f>IF($A2125&lt;=[1]RESULTADOS!$D$6,"YTD","YTG")</f>
        <v>YTD</v>
      </c>
      <c r="E2125" t="s">
        <v>456</v>
      </c>
      <c r="F2125" t="s">
        <v>667</v>
      </c>
      <c r="G2125" t="s">
        <v>667</v>
      </c>
      <c r="H2125" t="s">
        <v>668</v>
      </c>
      <c r="I2125" t="s">
        <v>146</v>
      </c>
      <c r="J2125" t="str">
        <f>IFERROR(VLOOKUP(I2125,[1]AUTOS!$C:$G,2,0),"")</f>
        <v>KIA RIO</v>
      </c>
      <c r="K2125">
        <f>IFERROR(VLOOKUP(I2125,[1]AUTOS!$C:$G,3,0),"")</f>
        <v>2023</v>
      </c>
      <c r="L2125" t="str">
        <f>IFERROR(VLOOKUP(I2125,[1]AUTOS!$C:$G,4,0),"")</f>
        <v>ROJO</v>
      </c>
      <c r="M2125" t="s">
        <v>140</v>
      </c>
      <c r="N2125" s="3">
        <v>4822.8</v>
      </c>
      <c r="O2125" s="3">
        <v>2500</v>
      </c>
      <c r="P2125" s="3">
        <v>3050</v>
      </c>
      <c r="Q2125" s="3">
        <v>0</v>
      </c>
    </row>
    <row r="2126" spans="1:17" hidden="1" x14ac:dyDescent="0.3">
      <c r="A2126">
        <v>35</v>
      </c>
      <c r="B2126" t="str">
        <f>VLOOKUP($A2126,[1]LISTA!$B:$C,2,0)</f>
        <v>AGOSTO</v>
      </c>
      <c r="C2126" s="1">
        <v>2025</v>
      </c>
      <c r="D2126" s="1" t="str">
        <f>IF($A2126&lt;=[1]RESULTADOS!$D$6,"YTD","YTG")</f>
        <v>YTD</v>
      </c>
      <c r="E2126" t="s">
        <v>411</v>
      </c>
      <c r="F2126" t="s">
        <v>667</v>
      </c>
      <c r="G2126" t="s">
        <v>667</v>
      </c>
      <c r="H2126" t="s">
        <v>668</v>
      </c>
      <c r="I2126" t="s">
        <v>178</v>
      </c>
      <c r="J2126" t="str">
        <f>IFERROR(VLOOKUP(I2126,[1]AUTOS!$C:$G,2,0),"")</f>
        <v>VERSA</v>
      </c>
      <c r="K2126">
        <f>IFERROR(VLOOKUP(I2126,[1]AUTOS!$C:$G,3,0),"")</f>
        <v>2020</v>
      </c>
      <c r="L2126" t="str">
        <f>IFERROR(VLOOKUP(I2126,[1]AUTOS!$C:$G,4,0),"")</f>
        <v>BLANCO</v>
      </c>
      <c r="M2126" t="s">
        <v>43</v>
      </c>
      <c r="N2126" s="3">
        <v>2928.2699999999995</v>
      </c>
      <c r="O2126" s="3">
        <v>2500</v>
      </c>
      <c r="P2126" s="3">
        <v>2928</v>
      </c>
      <c r="Q2126" s="3">
        <v>0</v>
      </c>
    </row>
    <row r="2127" spans="1:17" hidden="1" x14ac:dyDescent="0.3">
      <c r="A2127">
        <v>35</v>
      </c>
      <c r="B2127" t="str">
        <f>VLOOKUP($A2127,[1]LISTA!$B:$C,2,0)</f>
        <v>AGOSTO</v>
      </c>
      <c r="C2127" s="1">
        <v>2025</v>
      </c>
      <c r="D2127" s="1" t="str">
        <f>IF($A2127&lt;=[1]RESULTADOS!$D$6,"YTD","YTG")</f>
        <v>YTD</v>
      </c>
      <c r="E2127" t="s">
        <v>518</v>
      </c>
      <c r="F2127" t="s">
        <v>667</v>
      </c>
      <c r="G2127" t="s">
        <v>667</v>
      </c>
      <c r="H2127" t="s">
        <v>668</v>
      </c>
      <c r="I2127" t="s">
        <v>214</v>
      </c>
      <c r="J2127" t="str">
        <f>IFERROR(VLOOKUP(I2127,[1]AUTOS!$C:$G,2,0),"")</f>
        <v>VENTO</v>
      </c>
      <c r="K2127">
        <f>IFERROR(VLOOKUP(I2127,[1]AUTOS!$C:$G,3,0),"")</f>
        <v>2019</v>
      </c>
      <c r="L2127" t="str">
        <f>IFERROR(VLOOKUP(I2127,[1]AUTOS!$C:$G,4,0),"")</f>
        <v>BLANCO</v>
      </c>
      <c r="M2127" t="s">
        <v>215</v>
      </c>
      <c r="N2127" s="3">
        <v>357</v>
      </c>
      <c r="O2127" s="3">
        <v>357</v>
      </c>
      <c r="P2127" s="3">
        <v>357</v>
      </c>
      <c r="Q2127" s="3">
        <v>0</v>
      </c>
    </row>
    <row r="2128" spans="1:17" hidden="1" x14ac:dyDescent="0.3">
      <c r="A2128">
        <v>35</v>
      </c>
      <c r="B2128" t="str">
        <f>VLOOKUP($A2128,[1]LISTA!$B:$C,2,0)</f>
        <v>AGOSTO</v>
      </c>
      <c r="C2128" s="1">
        <v>2025</v>
      </c>
      <c r="D2128" s="1" t="str">
        <f>IF($A2128&lt;=[1]RESULTADOS!$D$6,"YTD","YTG")</f>
        <v>YTD</v>
      </c>
      <c r="E2128" t="s">
        <v>703</v>
      </c>
      <c r="F2128" t="s">
        <v>667</v>
      </c>
      <c r="G2128" t="s">
        <v>667</v>
      </c>
      <c r="H2128" t="s">
        <v>668</v>
      </c>
      <c r="I2128" t="s">
        <v>182</v>
      </c>
      <c r="J2128" t="str">
        <f>IFERROR(VLOOKUP(I2128,[1]AUTOS!$C:$G,2,0),"")</f>
        <v>AVEO</v>
      </c>
      <c r="K2128">
        <f>IFERROR(VLOOKUP(I2128,[1]AUTOS!$C:$G,3,0),"")</f>
        <v>2020</v>
      </c>
      <c r="L2128" t="str">
        <f>IFERROR(VLOOKUP(I2128,[1]AUTOS!$C:$G,4,0),"")</f>
        <v>AZUL</v>
      </c>
      <c r="M2128" t="s">
        <v>43</v>
      </c>
      <c r="N2128" s="3">
        <v>5879.5500000000065</v>
      </c>
      <c r="O2128" s="3">
        <v>2500</v>
      </c>
      <c r="P2128" s="3">
        <v>3000</v>
      </c>
      <c r="Q2128" s="3">
        <v>500</v>
      </c>
    </row>
    <row r="2129" spans="1:17" hidden="1" x14ac:dyDescent="0.3">
      <c r="A2129">
        <v>35</v>
      </c>
      <c r="B2129" t="str">
        <f>VLOOKUP($A2129,[1]LISTA!$B:$C,2,0)</f>
        <v>AGOSTO</v>
      </c>
      <c r="C2129" s="1">
        <v>2025</v>
      </c>
      <c r="D2129" s="1" t="str">
        <f>IF($A2129&lt;=[1]RESULTADOS!$D$6,"YTD","YTG")</f>
        <v>YTD</v>
      </c>
      <c r="E2129" t="s">
        <v>526</v>
      </c>
      <c r="F2129" t="s">
        <v>667</v>
      </c>
      <c r="G2129" t="s">
        <v>667</v>
      </c>
      <c r="H2129" t="s">
        <v>668</v>
      </c>
      <c r="I2129" t="s">
        <v>67</v>
      </c>
      <c r="J2129" t="str">
        <f>IFERROR(VLOOKUP(I2129,[1]AUTOS!$C:$G,2,0),"")</f>
        <v>KIA RIO</v>
      </c>
      <c r="K2129">
        <f>IFERROR(VLOOKUP(I2129,[1]AUTOS!$C:$G,3,0),"")</f>
        <v>2020</v>
      </c>
      <c r="L2129" t="str">
        <f>IFERROR(VLOOKUP(I2129,[1]AUTOS!$C:$G,4,0),"")</f>
        <v>GRIS</v>
      </c>
      <c r="M2129" t="s">
        <v>43</v>
      </c>
      <c r="N2129" s="3">
        <v>6349.5199999999932</v>
      </c>
      <c r="O2129" s="3">
        <v>2500</v>
      </c>
      <c r="P2129" s="3">
        <v>2500</v>
      </c>
      <c r="Q2129" s="3">
        <v>0</v>
      </c>
    </row>
    <row r="2130" spans="1:17" hidden="1" x14ac:dyDescent="0.3">
      <c r="A2130">
        <v>35</v>
      </c>
      <c r="B2130" t="str">
        <f>VLOOKUP($A2130,[1]LISTA!$B:$C,2,0)</f>
        <v>AGOSTO</v>
      </c>
      <c r="C2130" s="1">
        <v>2025</v>
      </c>
      <c r="D2130" s="1" t="str">
        <f>IF($A2130&lt;=[1]RESULTADOS!$D$6,"YTD","YTG")</f>
        <v>YTD</v>
      </c>
      <c r="E2130" t="s">
        <v>681</v>
      </c>
      <c r="F2130" t="s">
        <v>667</v>
      </c>
      <c r="G2130" t="s">
        <v>667</v>
      </c>
      <c r="H2130" t="s">
        <v>668</v>
      </c>
      <c r="I2130" t="s">
        <v>102</v>
      </c>
      <c r="J2130" t="str">
        <f>IFERROR(VLOOKUP(I2130,[1]AUTOS!$C:$G,2,0),"")</f>
        <v>AVEO</v>
      </c>
      <c r="K2130">
        <f>IFERROR(VLOOKUP(I2130,[1]AUTOS!$C:$G,3,0),"")</f>
        <v>2022</v>
      </c>
      <c r="L2130" t="str">
        <f>IFERROR(VLOOKUP(I2130,[1]AUTOS!$C:$G,4,0),"")</f>
        <v>AZUL</v>
      </c>
      <c r="M2130" t="s">
        <v>43</v>
      </c>
      <c r="N2130" s="3">
        <v>4165.2299999999996</v>
      </c>
      <c r="O2130" s="3">
        <v>2500</v>
      </c>
      <c r="P2130" s="3">
        <v>2514</v>
      </c>
      <c r="Q2130" s="3">
        <v>0</v>
      </c>
    </row>
    <row r="2131" spans="1:17" hidden="1" x14ac:dyDescent="0.3">
      <c r="A2131">
        <v>35</v>
      </c>
      <c r="B2131" t="str">
        <f>VLOOKUP($A2131,[1]LISTA!$B:$C,2,0)</f>
        <v>AGOSTO</v>
      </c>
      <c r="C2131" s="1">
        <v>2025</v>
      </c>
      <c r="D2131" s="1" t="str">
        <f>IF($A2131&lt;=[1]RESULTADOS!$D$6,"YTD","YTG")</f>
        <v>YTD</v>
      </c>
      <c r="E2131" t="s">
        <v>675</v>
      </c>
      <c r="F2131" t="s">
        <v>667</v>
      </c>
      <c r="G2131" t="s">
        <v>667</v>
      </c>
      <c r="H2131" t="s">
        <v>668</v>
      </c>
      <c r="I2131" t="s">
        <v>440</v>
      </c>
      <c r="J2131" t="str">
        <f>IFERROR(VLOOKUP(I2131,[1]AUTOS!$C:$G,2,0),"")</f>
        <v>AVEO</v>
      </c>
      <c r="K2131">
        <f>IFERROR(VLOOKUP(I2131,[1]AUTOS!$C:$G,3,0),"")</f>
        <v>2021</v>
      </c>
      <c r="L2131" t="str">
        <f>IFERROR(VLOOKUP(I2131,[1]AUTOS!$C:$G,4,0),"")</f>
        <v>GRIS</v>
      </c>
      <c r="M2131" t="s">
        <v>140</v>
      </c>
      <c r="N2131" s="3">
        <v>2589.4299999999994</v>
      </c>
      <c r="O2131" s="3">
        <v>1786</v>
      </c>
      <c r="P2131" s="3">
        <v>2076.08</v>
      </c>
      <c r="Q2131" s="3">
        <v>0</v>
      </c>
    </row>
    <row r="2132" spans="1:17" hidden="1" x14ac:dyDescent="0.3">
      <c r="A2132">
        <v>35</v>
      </c>
      <c r="B2132" t="str">
        <f>VLOOKUP($A2132,[1]LISTA!$B:$C,2,0)</f>
        <v>AGOSTO</v>
      </c>
      <c r="C2132" s="1">
        <v>2025</v>
      </c>
      <c r="D2132" s="1" t="str">
        <f>IF($A2132&lt;=[1]RESULTADOS!$D$6,"YTD","YTG")</f>
        <v>YTD</v>
      </c>
      <c r="E2132" t="s">
        <v>563</v>
      </c>
      <c r="F2132" t="s">
        <v>667</v>
      </c>
      <c r="G2132" t="s">
        <v>667</v>
      </c>
      <c r="H2132" t="s">
        <v>668</v>
      </c>
      <c r="I2132" t="s">
        <v>61</v>
      </c>
      <c r="J2132" t="str">
        <f>IFERROR(VLOOKUP(I2132,[1]AUTOS!$C:$G,2,0),"")</f>
        <v>KIA RIO</v>
      </c>
      <c r="K2132">
        <f>IFERROR(VLOOKUP(I2132,[1]AUTOS!$C:$G,3,0),"")</f>
        <v>2017</v>
      </c>
      <c r="L2132" t="str">
        <f>IFERROR(VLOOKUP(I2132,[1]AUTOS!$C:$G,4,0),"")</f>
        <v>ROJO</v>
      </c>
      <c r="M2132" t="s">
        <v>140</v>
      </c>
      <c r="N2132" s="3">
        <v>3054.6999999999985</v>
      </c>
      <c r="O2132" s="3">
        <v>2500</v>
      </c>
      <c r="P2132" s="3">
        <v>2500</v>
      </c>
      <c r="Q2132" s="3">
        <v>0</v>
      </c>
    </row>
    <row r="2133" spans="1:17" hidden="1" x14ac:dyDescent="0.3">
      <c r="A2133">
        <v>35</v>
      </c>
      <c r="B2133" t="str">
        <f>VLOOKUP($A2133,[1]LISTA!$B:$C,2,0)</f>
        <v>AGOSTO</v>
      </c>
      <c r="C2133" s="1">
        <v>2025</v>
      </c>
      <c r="D2133" s="1" t="str">
        <f>IF($A2133&lt;=[1]RESULTADOS!$D$6,"YTD","YTG")</f>
        <v>YTD</v>
      </c>
      <c r="E2133" t="s">
        <v>434</v>
      </c>
      <c r="F2133" t="s">
        <v>667</v>
      </c>
      <c r="G2133" t="s">
        <v>667</v>
      </c>
      <c r="H2133" t="s">
        <v>668</v>
      </c>
      <c r="I2133" t="s">
        <v>34</v>
      </c>
      <c r="J2133" t="str">
        <f>IFERROR(VLOOKUP(I2133,[1]AUTOS!$C:$G,2,0),"")</f>
        <v>AVEO</v>
      </c>
      <c r="K2133">
        <f>IFERROR(VLOOKUP(I2133,[1]AUTOS!$C:$G,3,0),"")</f>
        <v>2018</v>
      </c>
      <c r="L2133" t="str">
        <f>IFERROR(VLOOKUP(I2133,[1]AUTOS!$C:$G,4,0),"")</f>
        <v>ROJO</v>
      </c>
      <c r="M2133" t="s">
        <v>140</v>
      </c>
      <c r="N2133" s="3">
        <v>960.31999999999982</v>
      </c>
      <c r="O2133" s="3">
        <v>2500</v>
      </c>
      <c r="P2133" s="3">
        <v>2960.3199999999997</v>
      </c>
      <c r="Q2133" s="3">
        <v>500</v>
      </c>
    </row>
    <row r="2134" spans="1:17" hidden="1" x14ac:dyDescent="0.3">
      <c r="A2134">
        <v>35</v>
      </c>
      <c r="B2134" t="str">
        <f>VLOOKUP($A2134,[1]LISTA!$B:$C,2,0)</f>
        <v>AGOSTO</v>
      </c>
      <c r="C2134" s="1">
        <v>2025</v>
      </c>
      <c r="D2134" s="1" t="str">
        <f>IF($A2134&lt;=[1]RESULTADOS!$D$6,"YTD","YTG")</f>
        <v>YTD</v>
      </c>
      <c r="E2134" t="s">
        <v>688</v>
      </c>
      <c r="F2134" t="s">
        <v>667</v>
      </c>
      <c r="G2134" t="s">
        <v>667</v>
      </c>
      <c r="H2134" t="s">
        <v>668</v>
      </c>
      <c r="I2134" t="s">
        <v>76</v>
      </c>
      <c r="J2134" t="str">
        <f>IFERROR(VLOOKUP(I2134,[1]AUTOS!$C:$G,2,0),"")</f>
        <v>AVEO</v>
      </c>
      <c r="K2134">
        <f>IFERROR(VLOOKUP(I2134,[1]AUTOS!$C:$G,3,0),"")</f>
        <v>2018</v>
      </c>
      <c r="L2134" t="str">
        <f>IFERROR(VLOOKUP(I2134,[1]AUTOS!$C:$G,4,0),"")</f>
        <v>GRIS</v>
      </c>
      <c r="M2134" t="s">
        <v>43</v>
      </c>
      <c r="N2134" s="3">
        <v>0</v>
      </c>
      <c r="O2134" s="3">
        <v>0</v>
      </c>
      <c r="P2134" s="3">
        <v>-358</v>
      </c>
      <c r="Q2134" s="3">
        <v>-358</v>
      </c>
    </row>
    <row r="2135" spans="1:17" hidden="1" x14ac:dyDescent="0.3">
      <c r="A2135">
        <v>35</v>
      </c>
      <c r="B2135" t="str">
        <f>VLOOKUP($A2135,[1]LISTA!$B:$C,2,0)</f>
        <v>AGOSTO</v>
      </c>
      <c r="C2135" s="1">
        <v>2025</v>
      </c>
      <c r="D2135" s="1" t="str">
        <f>IF($A2135&lt;=[1]RESULTADOS!$D$6,"YTD","YTG")</f>
        <v>YTD</v>
      </c>
      <c r="E2135" t="s">
        <v>707</v>
      </c>
      <c r="F2135" t="s">
        <v>667</v>
      </c>
      <c r="G2135" t="s">
        <v>667</v>
      </c>
      <c r="H2135" t="s">
        <v>668</v>
      </c>
      <c r="I2135" t="s">
        <v>366</v>
      </c>
      <c r="J2135" t="str">
        <f>IFERROR(VLOOKUP(I2135,[1]AUTOS!$C:$G,2,0),"")</f>
        <v>VENTO</v>
      </c>
      <c r="K2135">
        <f>IFERROR(VLOOKUP(I2135,[1]AUTOS!$C:$G,3,0),"")</f>
        <v>2019</v>
      </c>
      <c r="L2135" t="str">
        <f>IFERROR(VLOOKUP(I2135,[1]AUTOS!$C:$G,4,0),"")</f>
        <v>BLANCO</v>
      </c>
      <c r="M2135" t="s">
        <v>215</v>
      </c>
      <c r="N2135" s="3">
        <v>1149.4299999999998</v>
      </c>
      <c r="O2135" s="3">
        <v>893</v>
      </c>
      <c r="P2135" s="3">
        <v>1109</v>
      </c>
      <c r="Q2135" s="3">
        <v>216</v>
      </c>
    </row>
    <row r="2136" spans="1:17" x14ac:dyDescent="0.3">
      <c r="A2136">
        <v>35</v>
      </c>
      <c r="B2136" t="str">
        <f>VLOOKUP($A2136,[1]LISTA!$B:$C,2,0)</f>
        <v>AGOSTO</v>
      </c>
      <c r="C2136" s="1">
        <v>2025</v>
      </c>
      <c r="D2136" s="1" t="str">
        <f>IF($A2136&lt;=[1]RESULTADOS!$D$6,"YTD","YTG")</f>
        <v>YTD</v>
      </c>
      <c r="E2136" t="s">
        <v>403</v>
      </c>
      <c r="F2136" t="s">
        <v>667</v>
      </c>
      <c r="G2136" t="s">
        <v>667</v>
      </c>
      <c r="H2136" t="s">
        <v>668</v>
      </c>
      <c r="I2136" t="s">
        <v>72</v>
      </c>
      <c r="J2136" t="str">
        <f>IFERROR(VLOOKUP(I2136,[1]AUTOS!$C:$G,2,0),"")</f>
        <v>VENTO</v>
      </c>
      <c r="K2136">
        <f>IFERROR(VLOOKUP(I2136,[1]AUTOS!$C:$G,3,0),"")</f>
        <v>2020</v>
      </c>
      <c r="L2136" t="str">
        <f>IFERROR(VLOOKUP(I2136,[1]AUTOS!$C:$G,4,0),"")</f>
        <v>GRIS</v>
      </c>
      <c r="M2136" t="s">
        <v>43</v>
      </c>
      <c r="N2136" s="3">
        <v>1385.6899999999991</v>
      </c>
      <c r="O2136" s="3">
        <v>2500</v>
      </c>
      <c r="P2136" s="3">
        <v>2999.6899999999991</v>
      </c>
      <c r="Q2136" s="3">
        <v>0</v>
      </c>
    </row>
    <row r="2137" spans="1:17" hidden="1" x14ac:dyDescent="0.3">
      <c r="A2137">
        <v>35</v>
      </c>
      <c r="B2137" t="str">
        <f>VLOOKUP($A2137,[1]LISTA!$B:$C,2,0)</f>
        <v>AGOSTO</v>
      </c>
      <c r="C2137" s="1">
        <v>2025</v>
      </c>
      <c r="D2137" s="1" t="str">
        <f>IF($A2137&lt;=[1]RESULTADOS!$D$6,"YTD","YTG")</f>
        <v>YTD</v>
      </c>
      <c r="E2137" t="s">
        <v>470</v>
      </c>
      <c r="F2137" t="s">
        <v>667</v>
      </c>
      <c r="G2137" t="s">
        <v>667</v>
      </c>
      <c r="H2137" t="s">
        <v>668</v>
      </c>
      <c r="I2137" t="s">
        <v>73</v>
      </c>
      <c r="J2137" t="str">
        <f>IFERROR(VLOOKUP(I2137,[1]AUTOS!$C:$G,2,0),"")</f>
        <v>VERSA</v>
      </c>
      <c r="K2137">
        <f>IFERROR(VLOOKUP(I2137,[1]AUTOS!$C:$G,3,0),"")</f>
        <v>2023</v>
      </c>
      <c r="L2137" t="str">
        <f>IFERROR(VLOOKUP(I2137,[1]AUTOS!$C:$G,4,0),"")</f>
        <v>PLATA</v>
      </c>
      <c r="M2137" t="s">
        <v>43</v>
      </c>
      <c r="N2137" s="3">
        <v>3368.7099999999991</v>
      </c>
      <c r="O2137" s="3">
        <v>2500</v>
      </c>
      <c r="P2137" s="3">
        <v>4268.7099999999991</v>
      </c>
      <c r="Q2137" s="3">
        <v>0</v>
      </c>
    </row>
    <row r="2138" spans="1:17" hidden="1" x14ac:dyDescent="0.3">
      <c r="A2138">
        <v>35</v>
      </c>
      <c r="B2138" t="str">
        <f>VLOOKUP($A2138,[1]LISTA!$B:$C,2,0)</f>
        <v>AGOSTO</v>
      </c>
      <c r="C2138" s="1">
        <v>2025</v>
      </c>
      <c r="D2138" s="1" t="str">
        <f>IF($A2138&lt;=[1]RESULTADOS!$D$6,"YTD","YTG")</f>
        <v>YTD</v>
      </c>
      <c r="E2138" t="s">
        <v>402</v>
      </c>
      <c r="F2138" t="s">
        <v>667</v>
      </c>
      <c r="G2138" t="s">
        <v>667</v>
      </c>
      <c r="H2138" t="s">
        <v>668</v>
      </c>
      <c r="I2138" t="s">
        <v>59</v>
      </c>
      <c r="J2138" t="str">
        <f>IFERROR(VLOOKUP(I2138,[1]AUTOS!$C:$G,2,0),"")</f>
        <v>AVEO</v>
      </c>
      <c r="K2138">
        <f>IFERROR(VLOOKUP(I2138,[1]AUTOS!$C:$G,3,0),"")</f>
        <v>2019</v>
      </c>
      <c r="L2138" t="str">
        <f>IFERROR(VLOOKUP(I2138,[1]AUTOS!$C:$G,4,0),"")</f>
        <v>BLANCO</v>
      </c>
      <c r="M2138" t="s">
        <v>43</v>
      </c>
      <c r="N2138" s="3">
        <v>3316.5899999999965</v>
      </c>
      <c r="O2138" s="3">
        <v>2500</v>
      </c>
      <c r="P2138" s="3">
        <v>3485.5899999999965</v>
      </c>
      <c r="Q2138" s="3">
        <v>179</v>
      </c>
    </row>
    <row r="2139" spans="1:17" hidden="1" x14ac:dyDescent="0.3">
      <c r="A2139">
        <v>35</v>
      </c>
      <c r="B2139" t="str">
        <f>VLOOKUP($A2139,[1]LISTA!$B:$C,2,0)</f>
        <v>AGOSTO</v>
      </c>
      <c r="C2139" s="1">
        <v>2025</v>
      </c>
      <c r="D2139" s="1" t="str">
        <f>IF($A2139&lt;=[1]RESULTADOS!$D$6,"YTD","YTG")</f>
        <v>YTD</v>
      </c>
      <c r="E2139" t="s">
        <v>496</v>
      </c>
      <c r="F2139" t="s">
        <v>667</v>
      </c>
      <c r="G2139" t="s">
        <v>667</v>
      </c>
      <c r="H2139" t="s">
        <v>668</v>
      </c>
      <c r="I2139" t="s">
        <v>42</v>
      </c>
      <c r="J2139" t="str">
        <f>IFERROR(VLOOKUP(I2139,[1]AUTOS!$C:$G,2,0),"")</f>
        <v>VENTO</v>
      </c>
      <c r="K2139">
        <f>IFERROR(VLOOKUP(I2139,[1]AUTOS!$C:$G,3,0),"")</f>
        <v>2018</v>
      </c>
      <c r="L2139" t="str">
        <f>IFERROR(VLOOKUP(I2139,[1]AUTOS!$C:$G,4,0),"")</f>
        <v>AMARILLO</v>
      </c>
      <c r="M2139" t="s">
        <v>43</v>
      </c>
      <c r="N2139" s="3">
        <v>7404.8999999999978</v>
      </c>
      <c r="O2139" s="3">
        <v>2500</v>
      </c>
      <c r="P2139" s="3">
        <v>3000</v>
      </c>
      <c r="Q2139" s="3">
        <v>500</v>
      </c>
    </row>
    <row r="2140" spans="1:17" hidden="1" x14ac:dyDescent="0.3">
      <c r="A2140">
        <v>35</v>
      </c>
      <c r="B2140" t="str">
        <f>VLOOKUP($A2140,[1]LISTA!$B:$C,2,0)</f>
        <v>AGOSTO</v>
      </c>
      <c r="C2140" s="1">
        <v>2025</v>
      </c>
      <c r="D2140" s="1" t="str">
        <f>IF($A2140&lt;=[1]RESULTADOS!$D$6,"YTD","YTG")</f>
        <v>YTD</v>
      </c>
      <c r="E2140" t="s">
        <v>416</v>
      </c>
      <c r="F2140" t="s">
        <v>667</v>
      </c>
      <c r="G2140" t="s">
        <v>667</v>
      </c>
      <c r="H2140" t="s">
        <v>668</v>
      </c>
      <c r="I2140" t="s">
        <v>214</v>
      </c>
      <c r="J2140" t="str">
        <f>IFERROR(VLOOKUP(I2140,[1]AUTOS!$C:$G,2,0),"")</f>
        <v>VENTO</v>
      </c>
      <c r="K2140">
        <f>IFERROR(VLOOKUP(I2140,[1]AUTOS!$C:$G,3,0),"")</f>
        <v>2019</v>
      </c>
      <c r="L2140" t="str">
        <f>IFERROR(VLOOKUP(I2140,[1]AUTOS!$C:$G,4,0),"")</f>
        <v>BLANCO</v>
      </c>
      <c r="M2140" t="s">
        <v>215</v>
      </c>
      <c r="N2140" s="3">
        <v>1275.56</v>
      </c>
      <c r="O2140" s="3">
        <v>893</v>
      </c>
      <c r="P2140" s="3">
        <v>893</v>
      </c>
      <c r="Q2140" s="3">
        <v>0</v>
      </c>
    </row>
    <row r="2141" spans="1:17" hidden="1" x14ac:dyDescent="0.3">
      <c r="A2141">
        <v>35</v>
      </c>
      <c r="B2141" t="str">
        <f>VLOOKUP($A2141,[1]LISTA!$B:$C,2,0)</f>
        <v>AGOSTO</v>
      </c>
      <c r="C2141" s="1">
        <v>2025</v>
      </c>
      <c r="D2141" s="1" t="str">
        <f>IF($A2141&lt;=[1]RESULTADOS!$D$6,"YTD","YTG")</f>
        <v>YTD</v>
      </c>
      <c r="E2141" t="s">
        <v>416</v>
      </c>
      <c r="F2141" t="s">
        <v>667</v>
      </c>
      <c r="G2141" t="s">
        <v>667</v>
      </c>
      <c r="H2141" t="s">
        <v>668</v>
      </c>
      <c r="I2141" t="s">
        <v>495</v>
      </c>
      <c r="J2141" t="str">
        <f>IFERROR(VLOOKUP(I2141,[1]AUTOS!$C:$G,2,0),"")</f>
        <v>VERSA</v>
      </c>
      <c r="K2141">
        <f>IFERROR(VLOOKUP(I2141,[1]AUTOS!$C:$G,3,0),"")</f>
        <v>2021</v>
      </c>
      <c r="L2141" t="str">
        <f>IFERROR(VLOOKUP(I2141,[1]AUTOS!$C:$G,4,0),"")</f>
        <v>BLANCO</v>
      </c>
      <c r="M2141" t="s">
        <v>140</v>
      </c>
      <c r="N2141" s="3">
        <v>1701.7799999999995</v>
      </c>
      <c r="O2141" s="3">
        <v>1607</v>
      </c>
      <c r="P2141" s="3">
        <v>2084.7799999999997</v>
      </c>
      <c r="Q2141" s="3">
        <v>500</v>
      </c>
    </row>
    <row r="2142" spans="1:17" hidden="1" x14ac:dyDescent="0.3">
      <c r="A2142">
        <v>35</v>
      </c>
      <c r="B2142" t="str">
        <f>VLOOKUP($A2142,[1]LISTA!$B:$C,2,0)</f>
        <v>AGOSTO</v>
      </c>
      <c r="C2142" s="1">
        <v>2025</v>
      </c>
      <c r="D2142" s="1" t="str">
        <f>IF($A2142&lt;=[1]RESULTADOS!$D$6,"YTD","YTG")</f>
        <v>YTD</v>
      </c>
      <c r="E2142" t="s">
        <v>417</v>
      </c>
      <c r="F2142" t="s">
        <v>667</v>
      </c>
      <c r="G2142" t="s">
        <v>667</v>
      </c>
      <c r="H2142" t="s">
        <v>668</v>
      </c>
      <c r="I2142" t="s">
        <v>370</v>
      </c>
      <c r="J2142" t="str">
        <f>IFERROR(VLOOKUP(I2142,[1]AUTOS!$C:$G,2,0),"")</f>
        <v>KIA RIO</v>
      </c>
      <c r="K2142">
        <f>IFERROR(VLOOKUP(I2142,[1]AUTOS!$C:$G,3,0),"")</f>
        <v>2020</v>
      </c>
      <c r="L2142" t="str">
        <f>IFERROR(VLOOKUP(I2142,[1]AUTOS!$C:$G,4,0),"")</f>
        <v>AZUL</v>
      </c>
      <c r="M2142" t="s">
        <v>215</v>
      </c>
      <c r="N2142" s="3">
        <v>1989.1999999999998</v>
      </c>
      <c r="O2142" s="3">
        <v>2500</v>
      </c>
      <c r="P2142" s="3">
        <v>1989.1999999999998</v>
      </c>
      <c r="Q2142" s="3">
        <v>0</v>
      </c>
    </row>
    <row r="2143" spans="1:17" hidden="1" x14ac:dyDescent="0.3">
      <c r="A2143">
        <v>35</v>
      </c>
      <c r="B2143" t="str">
        <f>VLOOKUP($A2143,[1]LISTA!$B:$C,2,0)</f>
        <v>AGOSTO</v>
      </c>
      <c r="C2143" s="1">
        <v>2025</v>
      </c>
      <c r="D2143" s="1" t="str">
        <f>IF($A2143&lt;=[1]RESULTADOS!$D$6,"YTD","YTG")</f>
        <v>YTD</v>
      </c>
      <c r="E2143" t="s">
        <v>377</v>
      </c>
      <c r="F2143" t="s">
        <v>667</v>
      </c>
      <c r="G2143" t="s">
        <v>667</v>
      </c>
      <c r="H2143" t="s">
        <v>668</v>
      </c>
      <c r="I2143" t="s">
        <v>313</v>
      </c>
      <c r="J2143" t="str">
        <f>IFERROR(VLOOKUP(I2143,[1]AUTOS!$C:$G,2,0),"")</f>
        <v>MARCH</v>
      </c>
      <c r="K2143">
        <f>IFERROR(VLOOKUP(I2143,[1]AUTOS!$C:$G,3,0),"")</f>
        <v>2019</v>
      </c>
      <c r="L2143" t="str">
        <f>IFERROR(VLOOKUP(I2143,[1]AUTOS!$C:$G,4,0),"")</f>
        <v>TURQ</v>
      </c>
      <c r="M2143" t="s">
        <v>140</v>
      </c>
      <c r="N2143" s="3">
        <v>1563.7899999999993</v>
      </c>
      <c r="O2143" s="3">
        <v>1786</v>
      </c>
      <c r="P2143" s="3">
        <v>1370</v>
      </c>
      <c r="Q2143" s="3">
        <v>93</v>
      </c>
    </row>
    <row r="2144" spans="1:17" hidden="1" x14ac:dyDescent="0.3">
      <c r="A2144">
        <v>36</v>
      </c>
      <c r="B2144" t="str">
        <f>VLOOKUP($A2144,[1]LISTA!$B:$C,2,0)</f>
        <v>SEPTIEMBRE</v>
      </c>
      <c r="C2144" s="1">
        <v>2025</v>
      </c>
      <c r="D2144" s="1" t="str">
        <f>IF($A2144&lt;=[1]RESULTADOS!$D$6,"YTD","YTG")</f>
        <v>YTD</v>
      </c>
      <c r="E2144" t="s">
        <v>492</v>
      </c>
      <c r="F2144" t="s">
        <v>667</v>
      </c>
      <c r="G2144" t="s">
        <v>667</v>
      </c>
      <c r="H2144" t="s">
        <v>668</v>
      </c>
      <c r="I2144" t="s">
        <v>144</v>
      </c>
      <c r="J2144" t="str">
        <f>IFERROR(VLOOKUP(I2144,[1]AUTOS!$C:$G,2,0),"")</f>
        <v>VERSA</v>
      </c>
      <c r="K2144">
        <f>IFERROR(VLOOKUP(I2144,[1]AUTOS!$C:$G,3,0),"")</f>
        <v>2020</v>
      </c>
      <c r="L2144" t="str">
        <f>IFERROR(VLOOKUP(I2144,[1]AUTOS!$C:$G,4,0),"")</f>
        <v>ROJO</v>
      </c>
      <c r="M2144" t="s">
        <v>43</v>
      </c>
      <c r="N2144" s="3">
        <v>-32</v>
      </c>
      <c r="O2144" s="3">
        <v>2500</v>
      </c>
      <c r="P2144" s="3">
        <v>3000</v>
      </c>
      <c r="Q2144" s="3">
        <v>0</v>
      </c>
    </row>
    <row r="2145" spans="1:17" hidden="1" x14ac:dyDescent="0.3">
      <c r="A2145">
        <v>36</v>
      </c>
      <c r="B2145" t="str">
        <f>VLOOKUP($A2145,[1]LISTA!$B:$C,2,0)</f>
        <v>SEPTIEMBRE</v>
      </c>
      <c r="C2145" s="1">
        <v>2025</v>
      </c>
      <c r="D2145" s="1" t="str">
        <f>IF($A2145&lt;=[1]RESULTADOS!$D$6,"YTD","YTG")</f>
        <v>YTD</v>
      </c>
      <c r="E2145" t="s">
        <v>705</v>
      </c>
      <c r="F2145" t="s">
        <v>667</v>
      </c>
      <c r="G2145" t="s">
        <v>667</v>
      </c>
      <c r="H2145" t="s">
        <v>668</v>
      </c>
      <c r="I2145" t="s">
        <v>82</v>
      </c>
      <c r="J2145" t="str">
        <f>IFERROR(VLOOKUP(I2145,[1]AUTOS!$C:$G,2,0),"")</f>
        <v>AVEO</v>
      </c>
      <c r="K2145">
        <f>IFERROR(VLOOKUP(I2145,[1]AUTOS!$C:$G,3,0),"")</f>
        <v>2019</v>
      </c>
      <c r="L2145" t="str">
        <f>IFERROR(VLOOKUP(I2145,[1]AUTOS!$C:$G,4,0),"")</f>
        <v>PLATA</v>
      </c>
      <c r="M2145" t="s">
        <v>43</v>
      </c>
      <c r="N2145" s="3">
        <v>7706.79</v>
      </c>
      <c r="O2145" s="3">
        <v>2500</v>
      </c>
      <c r="P2145" s="3">
        <v>3000</v>
      </c>
      <c r="Q2145" s="3">
        <v>500</v>
      </c>
    </row>
    <row r="2146" spans="1:17" hidden="1" x14ac:dyDescent="0.3">
      <c r="A2146">
        <v>36</v>
      </c>
      <c r="B2146" t="str">
        <f>VLOOKUP($A2146,[1]LISTA!$B:$C,2,0)</f>
        <v>SEPTIEMBRE</v>
      </c>
      <c r="C2146" s="1">
        <v>2025</v>
      </c>
      <c r="D2146" s="1" t="str">
        <f>IF($A2146&lt;=[1]RESULTADOS!$D$6,"YTD","YTG")</f>
        <v>YTD</v>
      </c>
      <c r="E2146" t="s">
        <v>691</v>
      </c>
      <c r="F2146" t="s">
        <v>667</v>
      </c>
      <c r="G2146" t="s">
        <v>667</v>
      </c>
      <c r="H2146" t="s">
        <v>668</v>
      </c>
      <c r="I2146" t="s">
        <v>139</v>
      </c>
      <c r="J2146" t="str">
        <f>IFERROR(VLOOKUP(I2146,[1]AUTOS!$C:$G,2,0),"")</f>
        <v>SWIFT</v>
      </c>
      <c r="K2146">
        <f>IFERROR(VLOOKUP(I2146,[1]AUTOS!$C:$G,3,0),"")</f>
        <v>2017</v>
      </c>
      <c r="L2146" t="str">
        <f>IFERROR(VLOOKUP(I2146,[1]AUTOS!$C:$G,4,0),"")</f>
        <v>ROJO</v>
      </c>
      <c r="M2146" t="s">
        <v>140</v>
      </c>
      <c r="N2146" s="3">
        <v>4278.97</v>
      </c>
      <c r="O2146" s="3">
        <v>2500</v>
      </c>
      <c r="P2146" s="3">
        <v>3000</v>
      </c>
      <c r="Q2146" s="3">
        <v>0</v>
      </c>
    </row>
    <row r="2147" spans="1:17" hidden="1" x14ac:dyDescent="0.3">
      <c r="A2147">
        <v>36</v>
      </c>
      <c r="B2147" t="str">
        <f>VLOOKUP($A2147,[1]LISTA!$B:$C,2,0)</f>
        <v>SEPTIEMBRE</v>
      </c>
      <c r="C2147" s="1">
        <v>2025</v>
      </c>
      <c r="D2147" s="1" t="str">
        <f>IF($A2147&lt;=[1]RESULTADOS!$D$6,"YTD","YTG")</f>
        <v>YTD</v>
      </c>
      <c r="E2147" t="s">
        <v>486</v>
      </c>
      <c r="F2147" t="s">
        <v>667</v>
      </c>
      <c r="G2147" t="s">
        <v>667</v>
      </c>
      <c r="H2147" t="s">
        <v>668</v>
      </c>
      <c r="I2147" t="s">
        <v>46</v>
      </c>
      <c r="J2147" t="str">
        <f>IFERROR(VLOOKUP(I2147,[1]AUTOS!$C:$G,2,0),"")</f>
        <v>MARCH</v>
      </c>
      <c r="K2147">
        <f>IFERROR(VLOOKUP(I2147,[1]AUTOS!$C:$G,3,0),"")</f>
        <v>2020</v>
      </c>
      <c r="L2147" t="str">
        <f>IFERROR(VLOOKUP(I2147,[1]AUTOS!$C:$G,4,0),"")</f>
        <v>TURQ</v>
      </c>
      <c r="M2147" t="s">
        <v>43</v>
      </c>
      <c r="N2147" s="3">
        <v>6783.16</v>
      </c>
      <c r="O2147" s="3">
        <v>2500</v>
      </c>
      <c r="P2147" s="3">
        <v>3000</v>
      </c>
      <c r="Q2147" s="3">
        <v>500</v>
      </c>
    </row>
    <row r="2148" spans="1:17" hidden="1" x14ac:dyDescent="0.3">
      <c r="A2148">
        <v>36</v>
      </c>
      <c r="B2148" t="str">
        <f>VLOOKUP($A2148,[1]LISTA!$B:$C,2,0)</f>
        <v>SEPTIEMBRE</v>
      </c>
      <c r="C2148" s="1">
        <v>2025</v>
      </c>
      <c r="D2148" s="1" t="str">
        <f>IF($A2148&lt;=[1]RESULTADOS!$D$6,"YTD","YTG")</f>
        <v>YTD</v>
      </c>
      <c r="E2148" t="s">
        <v>399</v>
      </c>
      <c r="F2148" t="s">
        <v>667</v>
      </c>
      <c r="G2148" t="s">
        <v>667</v>
      </c>
      <c r="H2148" t="s">
        <v>668</v>
      </c>
      <c r="I2148" t="s">
        <v>162</v>
      </c>
      <c r="J2148" t="str">
        <f>IFERROR(VLOOKUP(I2148,[1]AUTOS!$C:$G,2,0),"")</f>
        <v>HYUNDAI</v>
      </c>
      <c r="K2148">
        <f>IFERROR(VLOOKUP(I2148,[1]AUTOS!$C:$G,3,0),"")</f>
        <v>2022</v>
      </c>
      <c r="L2148" t="str">
        <f>IFERROR(VLOOKUP(I2148,[1]AUTOS!$C:$G,4,0),"")</f>
        <v>PLATA</v>
      </c>
      <c r="M2148" t="s">
        <v>43</v>
      </c>
      <c r="N2148" s="3">
        <v>4747.78</v>
      </c>
      <c r="O2148" s="3">
        <v>2500</v>
      </c>
      <c r="P2148" s="3">
        <v>3000</v>
      </c>
      <c r="Q2148" s="3">
        <v>500</v>
      </c>
    </row>
    <row r="2149" spans="1:17" hidden="1" x14ac:dyDescent="0.3">
      <c r="A2149">
        <v>36</v>
      </c>
      <c r="B2149" t="str">
        <f>VLOOKUP($A2149,[1]LISTA!$B:$C,2,0)</f>
        <v>SEPTIEMBRE</v>
      </c>
      <c r="C2149" s="1">
        <v>2025</v>
      </c>
      <c r="D2149" s="1" t="str">
        <f>IF($A2149&lt;=[1]RESULTADOS!$D$6,"YTD","YTG")</f>
        <v>YTD</v>
      </c>
      <c r="E2149" t="s">
        <v>704</v>
      </c>
      <c r="F2149" t="s">
        <v>667</v>
      </c>
      <c r="G2149" t="s">
        <v>667</v>
      </c>
      <c r="H2149" t="s">
        <v>668</v>
      </c>
      <c r="I2149" t="s">
        <v>37</v>
      </c>
      <c r="J2149" t="str">
        <f>IFERROR(VLOOKUP(I2149,[1]AUTOS!$C:$G,2,0),"")</f>
        <v>BEAT</v>
      </c>
      <c r="K2149">
        <f>IFERROR(VLOOKUP(I2149,[1]AUTOS!$C:$G,3,0),"")</f>
        <v>2020</v>
      </c>
      <c r="L2149" t="str">
        <f>IFERROR(VLOOKUP(I2149,[1]AUTOS!$C:$G,4,0),"")</f>
        <v>GRIS</v>
      </c>
      <c r="M2149" t="s">
        <v>140</v>
      </c>
      <c r="N2149" s="3">
        <v>3218.24</v>
      </c>
      <c r="O2149" s="3">
        <v>2500</v>
      </c>
      <c r="P2149" s="3">
        <v>3000</v>
      </c>
      <c r="Q2149" s="3">
        <v>500</v>
      </c>
    </row>
    <row r="2150" spans="1:17" hidden="1" x14ac:dyDescent="0.3">
      <c r="A2150">
        <v>36</v>
      </c>
      <c r="B2150" t="str">
        <f>VLOOKUP($A2150,[1]LISTA!$B:$C,2,0)</f>
        <v>SEPTIEMBRE</v>
      </c>
      <c r="C2150" s="1">
        <v>2025</v>
      </c>
      <c r="D2150" s="1" t="str">
        <f>IF($A2150&lt;=[1]RESULTADOS!$D$6,"YTD","YTG")</f>
        <v>YTD</v>
      </c>
      <c r="E2150" t="s">
        <v>478</v>
      </c>
      <c r="F2150" t="s">
        <v>667</v>
      </c>
      <c r="G2150" t="s">
        <v>667</v>
      </c>
      <c r="H2150" t="s">
        <v>668</v>
      </c>
      <c r="I2150" t="s">
        <v>185</v>
      </c>
      <c r="J2150" t="str">
        <f>IFERROR(VLOOKUP(I2150,[1]AUTOS!$C:$G,2,0),"")</f>
        <v>MARCH</v>
      </c>
      <c r="K2150">
        <f>IFERROR(VLOOKUP(I2150,[1]AUTOS!$C:$G,3,0),"")</f>
        <v>2021</v>
      </c>
      <c r="L2150" t="str">
        <f>IFERROR(VLOOKUP(I2150,[1]AUTOS!$C:$G,4,0),"")</f>
        <v>ROJO</v>
      </c>
      <c r="M2150" t="s">
        <v>43</v>
      </c>
      <c r="N2150" s="3">
        <v>1588.8099999999995</v>
      </c>
      <c r="O2150" s="3">
        <v>2500</v>
      </c>
      <c r="P2150" s="3">
        <v>2498.8099999999995</v>
      </c>
      <c r="Q2150" s="3">
        <v>0</v>
      </c>
    </row>
    <row r="2151" spans="1:17" hidden="1" x14ac:dyDescent="0.3">
      <c r="A2151">
        <v>36</v>
      </c>
      <c r="B2151" t="str">
        <f>VLOOKUP($A2151,[1]LISTA!$B:$C,2,0)</f>
        <v>SEPTIEMBRE</v>
      </c>
      <c r="C2151" s="1">
        <v>2025</v>
      </c>
      <c r="D2151" s="1" t="str">
        <f>IF($A2151&lt;=[1]RESULTADOS!$D$6,"YTD","YTG")</f>
        <v>YTD</v>
      </c>
      <c r="E2151" t="s">
        <v>436</v>
      </c>
      <c r="F2151" t="s">
        <v>667</v>
      </c>
      <c r="G2151" t="s">
        <v>667</v>
      </c>
      <c r="H2151" t="s">
        <v>668</v>
      </c>
      <c r="I2151" t="s">
        <v>112</v>
      </c>
      <c r="J2151" t="str">
        <f>IFERROR(VLOOKUP(I2151,[1]AUTOS!$C:$G,2,0),"")</f>
        <v>KIA RIO</v>
      </c>
      <c r="K2151">
        <f>IFERROR(VLOOKUP(I2151,[1]AUTOS!$C:$G,3,0),"")</f>
        <v>2020</v>
      </c>
      <c r="L2151" t="str">
        <f>IFERROR(VLOOKUP(I2151,[1]AUTOS!$C:$G,4,0),"")</f>
        <v>ROJO</v>
      </c>
      <c r="M2151" t="s">
        <v>140</v>
      </c>
      <c r="N2151" s="3">
        <v>340.85</v>
      </c>
      <c r="O2151" s="3">
        <v>2500</v>
      </c>
      <c r="P2151" s="3">
        <v>1290.8499999999999</v>
      </c>
      <c r="Q2151" s="3">
        <v>0</v>
      </c>
    </row>
    <row r="2152" spans="1:17" hidden="1" x14ac:dyDescent="0.3">
      <c r="A2152">
        <v>36</v>
      </c>
      <c r="B2152" t="str">
        <f>VLOOKUP($A2152,[1]LISTA!$B:$C,2,0)</f>
        <v>SEPTIEMBRE</v>
      </c>
      <c r="C2152" s="1">
        <v>2025</v>
      </c>
      <c r="D2152" s="1" t="str">
        <f>IF($A2152&lt;=[1]RESULTADOS!$D$6,"YTD","YTG")</f>
        <v>YTD</v>
      </c>
      <c r="E2152" t="s">
        <v>706</v>
      </c>
      <c r="F2152" t="s">
        <v>667</v>
      </c>
      <c r="G2152" t="s">
        <v>667</v>
      </c>
      <c r="H2152" t="s">
        <v>668</v>
      </c>
      <c r="I2152" t="s">
        <v>131</v>
      </c>
      <c r="J2152" t="str">
        <f>IFERROR(VLOOKUP(I2152,[1]AUTOS!$C:$G,2,0),"")</f>
        <v>AVEO</v>
      </c>
      <c r="K2152">
        <f>IFERROR(VLOOKUP(I2152,[1]AUTOS!$C:$G,3,0),"")</f>
        <v>2024</v>
      </c>
      <c r="L2152" t="str">
        <f>IFERROR(VLOOKUP(I2152,[1]AUTOS!$C:$G,4,0),"")</f>
        <v>GRIS</v>
      </c>
      <c r="M2152" t="s">
        <v>43</v>
      </c>
      <c r="N2152" s="3">
        <v>2862.3500000000004</v>
      </c>
      <c r="O2152" s="3">
        <v>1785.7</v>
      </c>
      <c r="P2152" s="3">
        <v>2142.6999999999998</v>
      </c>
      <c r="Q2152" s="3">
        <v>357</v>
      </c>
    </row>
    <row r="2153" spans="1:17" hidden="1" x14ac:dyDescent="0.3">
      <c r="A2153">
        <v>36</v>
      </c>
      <c r="B2153" t="str">
        <f>VLOOKUP($A2153,[1]LISTA!$B:$C,2,0)</f>
        <v>SEPTIEMBRE</v>
      </c>
      <c r="C2153" s="1">
        <v>2025</v>
      </c>
      <c r="D2153" s="1" t="str">
        <f>IF($A2153&lt;=[1]RESULTADOS!$D$6,"YTD","YTG")</f>
        <v>YTD</v>
      </c>
      <c r="E2153" t="s">
        <v>474</v>
      </c>
      <c r="F2153" t="s">
        <v>667</v>
      </c>
      <c r="G2153" t="s">
        <v>667</v>
      </c>
      <c r="H2153" t="s">
        <v>668</v>
      </c>
      <c r="I2153" t="s">
        <v>76</v>
      </c>
      <c r="J2153" t="str">
        <f>IFERROR(VLOOKUP(I2153,[1]AUTOS!$C:$G,2,0),"")</f>
        <v>AVEO</v>
      </c>
      <c r="K2153">
        <f>IFERROR(VLOOKUP(I2153,[1]AUTOS!$C:$G,3,0),"")</f>
        <v>2018</v>
      </c>
      <c r="L2153" t="str">
        <f>IFERROR(VLOOKUP(I2153,[1]AUTOS!$C:$G,4,0),"")</f>
        <v>GRIS</v>
      </c>
      <c r="M2153" t="s">
        <v>43</v>
      </c>
      <c r="N2153" s="3">
        <v>163.13999999999999</v>
      </c>
      <c r="O2153" s="3">
        <v>134</v>
      </c>
      <c r="P2153" s="3">
        <v>134</v>
      </c>
      <c r="Q2153" s="3">
        <v>0</v>
      </c>
    </row>
    <row r="2154" spans="1:17" hidden="1" x14ac:dyDescent="0.3">
      <c r="A2154">
        <v>36</v>
      </c>
      <c r="B2154" t="str">
        <f>VLOOKUP($A2154,[1]LISTA!$B:$C,2,0)</f>
        <v>SEPTIEMBRE</v>
      </c>
      <c r="C2154" s="1">
        <v>2025</v>
      </c>
      <c r="D2154" s="1" t="str">
        <f>IF($A2154&lt;=[1]RESULTADOS!$D$6,"YTD","YTG")</f>
        <v>YTD</v>
      </c>
      <c r="E2154" t="s">
        <v>540</v>
      </c>
      <c r="F2154" t="s">
        <v>667</v>
      </c>
      <c r="G2154" t="s">
        <v>667</v>
      </c>
      <c r="H2154" t="s">
        <v>668</v>
      </c>
      <c r="I2154" t="s">
        <v>366</v>
      </c>
      <c r="J2154" t="str">
        <f>IFERROR(VLOOKUP(I2154,[1]AUTOS!$C:$G,2,0),"")</f>
        <v>VENTO</v>
      </c>
      <c r="K2154">
        <f>IFERROR(VLOOKUP(I2154,[1]AUTOS!$C:$G,3,0),"")</f>
        <v>2019</v>
      </c>
      <c r="L2154" t="str">
        <f>IFERROR(VLOOKUP(I2154,[1]AUTOS!$C:$G,4,0),"")</f>
        <v>BLANCO</v>
      </c>
      <c r="M2154" t="s">
        <v>215</v>
      </c>
      <c r="N2154" s="3">
        <v>1270.96</v>
      </c>
      <c r="O2154" s="3">
        <v>1071</v>
      </c>
      <c r="P2154" s="3">
        <v>1071</v>
      </c>
      <c r="Q2154" s="3">
        <v>0</v>
      </c>
    </row>
    <row r="2155" spans="1:17" hidden="1" x14ac:dyDescent="0.3">
      <c r="A2155">
        <v>36</v>
      </c>
      <c r="B2155" t="str">
        <f>VLOOKUP($A2155,[1]LISTA!$B:$C,2,0)</f>
        <v>SEPTIEMBRE</v>
      </c>
      <c r="C2155" s="1">
        <v>2025</v>
      </c>
      <c r="D2155" s="1" t="str">
        <f>IF($A2155&lt;=[1]RESULTADOS!$D$6,"YTD","YTG")</f>
        <v>YTD</v>
      </c>
      <c r="E2155" t="s">
        <v>456</v>
      </c>
      <c r="F2155" t="s">
        <v>667</v>
      </c>
      <c r="G2155" t="s">
        <v>667</v>
      </c>
      <c r="H2155" t="s">
        <v>668</v>
      </c>
      <c r="I2155" t="s">
        <v>146</v>
      </c>
      <c r="J2155" t="str">
        <f>IFERROR(VLOOKUP(I2155,[1]AUTOS!$C:$G,2,0),"")</f>
        <v>KIA RIO</v>
      </c>
      <c r="K2155">
        <f>IFERROR(VLOOKUP(I2155,[1]AUTOS!$C:$G,3,0),"")</f>
        <v>2023</v>
      </c>
      <c r="L2155" t="str">
        <f>IFERROR(VLOOKUP(I2155,[1]AUTOS!$C:$G,4,0),"")</f>
        <v>ROJO</v>
      </c>
      <c r="M2155" t="s">
        <v>140</v>
      </c>
      <c r="N2155" s="3">
        <v>3670.3900000000012</v>
      </c>
      <c r="O2155" s="3">
        <v>2500</v>
      </c>
      <c r="P2155" s="3">
        <v>2500</v>
      </c>
      <c r="Q2155" s="3">
        <v>0</v>
      </c>
    </row>
    <row r="2156" spans="1:17" hidden="1" x14ac:dyDescent="0.3">
      <c r="A2156">
        <v>36</v>
      </c>
      <c r="B2156" t="str">
        <f>VLOOKUP($A2156,[1]LISTA!$B:$C,2,0)</f>
        <v>SEPTIEMBRE</v>
      </c>
      <c r="C2156" s="1">
        <v>2025</v>
      </c>
      <c r="D2156" s="1" t="str">
        <f>IF($A2156&lt;=[1]RESULTADOS!$D$6,"YTD","YTG")</f>
        <v>YTD</v>
      </c>
      <c r="E2156" t="s">
        <v>411</v>
      </c>
      <c r="F2156" t="s">
        <v>667</v>
      </c>
      <c r="G2156" t="s">
        <v>667</v>
      </c>
      <c r="H2156" t="s">
        <v>668</v>
      </c>
      <c r="I2156" t="s">
        <v>178</v>
      </c>
      <c r="J2156" t="str">
        <f>IFERROR(VLOOKUP(I2156,[1]AUTOS!$C:$G,2,0),"")</f>
        <v>VERSA</v>
      </c>
      <c r="K2156">
        <f>IFERROR(VLOOKUP(I2156,[1]AUTOS!$C:$G,3,0),"")</f>
        <v>2020</v>
      </c>
      <c r="L2156" t="str">
        <f>IFERROR(VLOOKUP(I2156,[1]AUTOS!$C:$G,4,0),"")</f>
        <v>BLANCO</v>
      </c>
      <c r="M2156" t="s">
        <v>43</v>
      </c>
      <c r="N2156" s="3">
        <v>3778.8800000000006</v>
      </c>
      <c r="O2156" s="3">
        <v>2500</v>
      </c>
      <c r="P2156" s="3">
        <v>3072</v>
      </c>
      <c r="Q2156" s="3">
        <v>0</v>
      </c>
    </row>
    <row r="2157" spans="1:17" hidden="1" x14ac:dyDescent="0.3">
      <c r="A2157">
        <v>36</v>
      </c>
      <c r="B2157" t="str">
        <f>VLOOKUP($A2157,[1]LISTA!$B:$C,2,0)</f>
        <v>SEPTIEMBRE</v>
      </c>
      <c r="C2157" s="1">
        <v>2025</v>
      </c>
      <c r="D2157" s="1" t="str">
        <f>IF($A2157&lt;=[1]RESULTADOS!$D$6,"YTD","YTG")</f>
        <v>YTD</v>
      </c>
      <c r="E2157" t="s">
        <v>518</v>
      </c>
      <c r="F2157" t="s">
        <v>667</v>
      </c>
      <c r="G2157" t="s">
        <v>667</v>
      </c>
      <c r="H2157" t="s">
        <v>668</v>
      </c>
      <c r="I2157" t="s">
        <v>214</v>
      </c>
      <c r="J2157" t="str">
        <f>IFERROR(VLOOKUP(I2157,[1]AUTOS!$C:$G,2,0),"")</f>
        <v>VENTO</v>
      </c>
      <c r="K2157">
        <f>IFERROR(VLOOKUP(I2157,[1]AUTOS!$C:$G,3,0),"")</f>
        <v>2019</v>
      </c>
      <c r="L2157" t="str">
        <f>IFERROR(VLOOKUP(I2157,[1]AUTOS!$C:$G,4,0),"")</f>
        <v>BLANCO</v>
      </c>
      <c r="M2157" t="s">
        <v>215</v>
      </c>
      <c r="N2157" s="3">
        <v>0</v>
      </c>
      <c r="O2157" s="3">
        <v>2500</v>
      </c>
      <c r="P2157" s="3">
        <v>3050</v>
      </c>
      <c r="Q2157" s="3">
        <v>0</v>
      </c>
    </row>
    <row r="2158" spans="1:17" hidden="1" x14ac:dyDescent="0.3">
      <c r="A2158">
        <v>36</v>
      </c>
      <c r="B2158" t="str">
        <f>VLOOKUP($A2158,[1]LISTA!$B:$C,2,0)</f>
        <v>SEPTIEMBRE</v>
      </c>
      <c r="C2158" s="1">
        <v>2025</v>
      </c>
      <c r="D2158" s="1" t="str">
        <f>IF($A2158&lt;=[1]RESULTADOS!$D$6,"YTD","YTG")</f>
        <v>YTD</v>
      </c>
      <c r="E2158" t="s">
        <v>703</v>
      </c>
      <c r="F2158" t="s">
        <v>667</v>
      </c>
      <c r="G2158" t="s">
        <v>667</v>
      </c>
      <c r="H2158" t="s">
        <v>668</v>
      </c>
      <c r="I2158" t="s">
        <v>182</v>
      </c>
      <c r="J2158" t="str">
        <f>IFERROR(VLOOKUP(I2158,[1]AUTOS!$C:$G,2,0),"")</f>
        <v>AVEO</v>
      </c>
      <c r="K2158">
        <f>IFERROR(VLOOKUP(I2158,[1]AUTOS!$C:$G,3,0),"")</f>
        <v>2020</v>
      </c>
      <c r="L2158" t="str">
        <f>IFERROR(VLOOKUP(I2158,[1]AUTOS!$C:$G,4,0),"")</f>
        <v>AZUL</v>
      </c>
      <c r="M2158" t="s">
        <v>43</v>
      </c>
      <c r="N2158" s="3">
        <v>6522.1099999999988</v>
      </c>
      <c r="O2158" s="3">
        <v>2500</v>
      </c>
      <c r="P2158" s="3">
        <v>3000</v>
      </c>
      <c r="Q2158" s="3">
        <v>500</v>
      </c>
    </row>
    <row r="2159" spans="1:17" hidden="1" x14ac:dyDescent="0.3">
      <c r="A2159">
        <v>36</v>
      </c>
      <c r="B2159" t="str">
        <f>VLOOKUP($A2159,[1]LISTA!$B:$C,2,0)</f>
        <v>SEPTIEMBRE</v>
      </c>
      <c r="C2159" s="1">
        <v>2025</v>
      </c>
      <c r="D2159" s="1" t="str">
        <f>IF($A2159&lt;=[1]RESULTADOS!$D$6,"YTD","YTG")</f>
        <v>YTD</v>
      </c>
      <c r="E2159" t="s">
        <v>526</v>
      </c>
      <c r="F2159" t="s">
        <v>667</v>
      </c>
      <c r="G2159" t="s">
        <v>667</v>
      </c>
      <c r="H2159" t="s">
        <v>668</v>
      </c>
      <c r="I2159" t="s">
        <v>67</v>
      </c>
      <c r="J2159" t="str">
        <f>IFERROR(VLOOKUP(I2159,[1]AUTOS!$C:$G,2,0),"")</f>
        <v>KIA RIO</v>
      </c>
      <c r="K2159">
        <f>IFERROR(VLOOKUP(I2159,[1]AUTOS!$C:$G,3,0),"")</f>
        <v>2020</v>
      </c>
      <c r="L2159" t="str">
        <f>IFERROR(VLOOKUP(I2159,[1]AUTOS!$C:$G,4,0),"")</f>
        <v>GRIS</v>
      </c>
      <c r="M2159" t="s">
        <v>43</v>
      </c>
      <c r="N2159" s="3">
        <v>3413.8400000000006</v>
      </c>
      <c r="O2159" s="3">
        <v>2500</v>
      </c>
      <c r="P2159" s="3">
        <v>2500</v>
      </c>
      <c r="Q2159" s="3">
        <v>0</v>
      </c>
    </row>
    <row r="2160" spans="1:17" hidden="1" x14ac:dyDescent="0.3">
      <c r="A2160">
        <v>36</v>
      </c>
      <c r="B2160" t="str">
        <f>VLOOKUP($A2160,[1]LISTA!$B:$C,2,0)</f>
        <v>SEPTIEMBRE</v>
      </c>
      <c r="C2160" s="1">
        <v>2025</v>
      </c>
      <c r="D2160" s="1" t="str">
        <f>IF($A2160&lt;=[1]RESULTADOS!$D$6,"YTD","YTG")</f>
        <v>YTD</v>
      </c>
      <c r="E2160" t="s">
        <v>681</v>
      </c>
      <c r="F2160" t="s">
        <v>667</v>
      </c>
      <c r="G2160" t="s">
        <v>667</v>
      </c>
      <c r="H2160" t="s">
        <v>668</v>
      </c>
      <c r="I2160" t="s">
        <v>102</v>
      </c>
      <c r="J2160" t="str">
        <f>IFERROR(VLOOKUP(I2160,[1]AUTOS!$C:$G,2,0),"")</f>
        <v>AVEO</v>
      </c>
      <c r="K2160">
        <f>IFERROR(VLOOKUP(I2160,[1]AUTOS!$C:$G,3,0),"")</f>
        <v>2022</v>
      </c>
      <c r="L2160" t="str">
        <f>IFERROR(VLOOKUP(I2160,[1]AUTOS!$C:$G,4,0),"")</f>
        <v>AZUL</v>
      </c>
      <c r="M2160" t="s">
        <v>43</v>
      </c>
      <c r="N2160" s="3">
        <v>3683.12</v>
      </c>
      <c r="O2160" s="3">
        <v>2500</v>
      </c>
      <c r="P2160" s="3">
        <v>2449</v>
      </c>
      <c r="Q2160" s="3">
        <v>0</v>
      </c>
    </row>
    <row r="2161" spans="1:17" hidden="1" x14ac:dyDescent="0.3">
      <c r="A2161">
        <v>36</v>
      </c>
      <c r="B2161" t="str">
        <f>VLOOKUP($A2161,[1]LISTA!$B:$C,2,0)</f>
        <v>SEPTIEMBRE</v>
      </c>
      <c r="C2161" s="1">
        <v>2025</v>
      </c>
      <c r="D2161" s="1" t="str">
        <f>IF($A2161&lt;=[1]RESULTADOS!$D$6,"YTD","YTG")</f>
        <v>YTD</v>
      </c>
      <c r="E2161" t="s">
        <v>675</v>
      </c>
      <c r="F2161" t="s">
        <v>667</v>
      </c>
      <c r="G2161" t="s">
        <v>667</v>
      </c>
      <c r="H2161" t="s">
        <v>668</v>
      </c>
      <c r="I2161" t="s">
        <v>440</v>
      </c>
      <c r="J2161" t="str">
        <f>IFERROR(VLOOKUP(I2161,[1]AUTOS!$C:$G,2,0),"")</f>
        <v>AVEO</v>
      </c>
      <c r="K2161">
        <f>IFERROR(VLOOKUP(I2161,[1]AUTOS!$C:$G,3,0),"")</f>
        <v>2021</v>
      </c>
      <c r="L2161" t="str">
        <f>IFERROR(VLOOKUP(I2161,[1]AUTOS!$C:$G,4,0),"")</f>
        <v>GRIS</v>
      </c>
      <c r="M2161" t="s">
        <v>140</v>
      </c>
      <c r="N2161" s="3">
        <v>455.99000000000024</v>
      </c>
      <c r="O2161" s="3">
        <v>1607</v>
      </c>
      <c r="P2161" s="3">
        <v>455.99000000000024</v>
      </c>
      <c r="Q2161" s="3">
        <v>0</v>
      </c>
    </row>
    <row r="2162" spans="1:17" hidden="1" x14ac:dyDescent="0.3">
      <c r="A2162">
        <v>36</v>
      </c>
      <c r="B2162" t="str">
        <f>VLOOKUP($A2162,[1]LISTA!$B:$C,2,0)</f>
        <v>SEPTIEMBRE</v>
      </c>
      <c r="C2162" s="1">
        <v>2025</v>
      </c>
      <c r="D2162" s="1" t="str">
        <f>IF($A2162&lt;=[1]RESULTADOS!$D$6,"YTD","YTG")</f>
        <v>YTD</v>
      </c>
      <c r="E2162" t="s">
        <v>563</v>
      </c>
      <c r="F2162" t="s">
        <v>667</v>
      </c>
      <c r="G2162" t="s">
        <v>667</v>
      </c>
      <c r="H2162" t="s">
        <v>668</v>
      </c>
      <c r="I2162" t="s">
        <v>61</v>
      </c>
      <c r="J2162" t="str">
        <f>IFERROR(VLOOKUP(I2162,[1]AUTOS!$C:$G,2,0),"")</f>
        <v>KIA RIO</v>
      </c>
      <c r="K2162">
        <f>IFERROR(VLOOKUP(I2162,[1]AUTOS!$C:$G,3,0),"")</f>
        <v>2017</v>
      </c>
      <c r="L2162" t="str">
        <f>IFERROR(VLOOKUP(I2162,[1]AUTOS!$C:$G,4,0),"")</f>
        <v>ROJO</v>
      </c>
      <c r="M2162" t="s">
        <v>140</v>
      </c>
      <c r="N2162" s="3">
        <v>4053.4</v>
      </c>
      <c r="O2162" s="3">
        <v>2500</v>
      </c>
      <c r="P2162" s="3">
        <v>2500</v>
      </c>
      <c r="Q2162" s="3">
        <v>0</v>
      </c>
    </row>
    <row r="2163" spans="1:17" hidden="1" x14ac:dyDescent="0.3">
      <c r="A2163">
        <v>36</v>
      </c>
      <c r="B2163" t="str">
        <f>VLOOKUP($A2163,[1]LISTA!$B:$C,2,0)</f>
        <v>SEPTIEMBRE</v>
      </c>
      <c r="C2163" s="1">
        <v>2025</v>
      </c>
      <c r="D2163" s="1" t="str">
        <f>IF($A2163&lt;=[1]RESULTADOS!$D$6,"YTD","YTG")</f>
        <v>YTD</v>
      </c>
      <c r="E2163" t="s">
        <v>434</v>
      </c>
      <c r="F2163" t="s">
        <v>667</v>
      </c>
      <c r="G2163" t="s">
        <v>667</v>
      </c>
      <c r="H2163" t="s">
        <v>668</v>
      </c>
      <c r="I2163" t="s">
        <v>34</v>
      </c>
      <c r="J2163" t="str">
        <f>IFERROR(VLOOKUP(I2163,[1]AUTOS!$C:$G,2,0),"")</f>
        <v>AVEO</v>
      </c>
      <c r="K2163">
        <f>IFERROR(VLOOKUP(I2163,[1]AUTOS!$C:$G,3,0),"")</f>
        <v>2018</v>
      </c>
      <c r="L2163" t="str">
        <f>IFERROR(VLOOKUP(I2163,[1]AUTOS!$C:$G,4,0),"")</f>
        <v>ROJO</v>
      </c>
      <c r="M2163" t="s">
        <v>140</v>
      </c>
      <c r="N2163" s="3">
        <v>457.35999999999996</v>
      </c>
      <c r="O2163" s="3">
        <v>2500</v>
      </c>
      <c r="P2163" s="3">
        <v>1957.36</v>
      </c>
      <c r="Q2163" s="3">
        <v>357</v>
      </c>
    </row>
    <row r="2164" spans="1:17" hidden="1" x14ac:dyDescent="0.3">
      <c r="A2164">
        <v>36</v>
      </c>
      <c r="B2164" t="str">
        <f>VLOOKUP($A2164,[1]LISTA!$B:$C,2,0)</f>
        <v>SEPTIEMBRE</v>
      </c>
      <c r="C2164" s="1">
        <v>2025</v>
      </c>
      <c r="D2164" s="1" t="str">
        <f>IF($A2164&lt;=[1]RESULTADOS!$D$6,"YTD","YTG")</f>
        <v>YTD</v>
      </c>
      <c r="E2164" t="s">
        <v>707</v>
      </c>
      <c r="F2164" t="s">
        <v>667</v>
      </c>
      <c r="G2164" t="s">
        <v>667</v>
      </c>
      <c r="H2164" t="s">
        <v>668</v>
      </c>
      <c r="I2164" t="s">
        <v>383</v>
      </c>
      <c r="J2164" t="str">
        <f>IFERROR(VLOOKUP(I2164,[1]AUTOS!$C:$G,2,0),"")</f>
        <v>VENTO</v>
      </c>
      <c r="K2164">
        <f>IFERROR(VLOOKUP(I2164,[1]AUTOS!$C:$G,3,0),"")</f>
        <v>2020</v>
      </c>
      <c r="L2164" t="str">
        <f>IFERROR(VLOOKUP(I2164,[1]AUTOS!$C:$G,4,0),"")</f>
        <v>GRIS</v>
      </c>
      <c r="M2164" t="s">
        <v>215</v>
      </c>
      <c r="N2164" s="3">
        <v>1446.17</v>
      </c>
      <c r="O2164" s="3">
        <v>2500</v>
      </c>
      <c r="P2164" s="3">
        <v>2960.17</v>
      </c>
      <c r="Q2164" s="3">
        <v>500</v>
      </c>
    </row>
    <row r="2165" spans="1:17" x14ac:dyDescent="0.3">
      <c r="A2165">
        <v>36</v>
      </c>
      <c r="B2165" t="str">
        <f>VLOOKUP($A2165,[1]LISTA!$B:$C,2,0)</f>
        <v>SEPTIEMBRE</v>
      </c>
      <c r="C2165" s="1">
        <v>2025</v>
      </c>
      <c r="D2165" s="1" t="str">
        <f>IF($A2165&lt;=[1]RESULTADOS!$D$6,"YTD","YTG")</f>
        <v>YTD</v>
      </c>
      <c r="E2165" t="s">
        <v>403</v>
      </c>
      <c r="F2165" t="s">
        <v>667</v>
      </c>
      <c r="G2165" t="s">
        <v>667</v>
      </c>
      <c r="H2165" t="s">
        <v>668</v>
      </c>
      <c r="I2165" t="s">
        <v>72</v>
      </c>
      <c r="J2165" t="str">
        <f>IFERROR(VLOOKUP(I2165,[1]AUTOS!$C:$G,2,0),"")</f>
        <v>VENTO</v>
      </c>
      <c r="K2165">
        <f>IFERROR(VLOOKUP(I2165,[1]AUTOS!$C:$G,3,0),"")</f>
        <v>2020</v>
      </c>
      <c r="L2165" t="str">
        <f>IFERROR(VLOOKUP(I2165,[1]AUTOS!$C:$G,4,0),"")</f>
        <v>GRIS</v>
      </c>
      <c r="M2165" t="s">
        <v>43</v>
      </c>
      <c r="N2165" s="3">
        <v>1961.24</v>
      </c>
      <c r="O2165" s="3">
        <v>2500</v>
      </c>
      <c r="P2165" s="3">
        <v>3000.24</v>
      </c>
      <c r="Q2165" s="3">
        <v>0</v>
      </c>
    </row>
    <row r="2166" spans="1:17" hidden="1" x14ac:dyDescent="0.3">
      <c r="A2166">
        <v>36</v>
      </c>
      <c r="B2166" t="str">
        <f>VLOOKUP($A2166,[1]LISTA!$B:$C,2,0)</f>
        <v>SEPTIEMBRE</v>
      </c>
      <c r="C2166" s="1">
        <v>2025</v>
      </c>
      <c r="D2166" s="1" t="str">
        <f>IF($A2166&lt;=[1]RESULTADOS!$D$6,"YTD","YTG")</f>
        <v>YTD</v>
      </c>
      <c r="E2166" t="s">
        <v>470</v>
      </c>
      <c r="F2166" t="s">
        <v>667</v>
      </c>
      <c r="G2166" t="s">
        <v>667</v>
      </c>
      <c r="H2166" t="s">
        <v>668</v>
      </c>
      <c r="I2166" t="s">
        <v>73</v>
      </c>
      <c r="J2166" t="str">
        <f>IFERROR(VLOOKUP(I2166,[1]AUTOS!$C:$G,2,0),"")</f>
        <v>VERSA</v>
      </c>
      <c r="K2166">
        <f>IFERROR(VLOOKUP(I2166,[1]AUTOS!$C:$G,3,0),"")</f>
        <v>2023</v>
      </c>
      <c r="L2166" t="str">
        <f>IFERROR(VLOOKUP(I2166,[1]AUTOS!$C:$G,4,0),"")</f>
        <v>PLATA</v>
      </c>
      <c r="M2166" t="s">
        <v>43</v>
      </c>
      <c r="N2166" s="3">
        <v>2050.6099999999997</v>
      </c>
      <c r="O2166" s="3">
        <v>2500</v>
      </c>
      <c r="P2166" s="3">
        <v>2050.6099999999997</v>
      </c>
      <c r="Q2166" s="3">
        <v>0</v>
      </c>
    </row>
    <row r="2167" spans="1:17" hidden="1" x14ac:dyDescent="0.3">
      <c r="A2167">
        <v>36</v>
      </c>
      <c r="B2167" t="str">
        <f>VLOOKUP($A2167,[1]LISTA!$B:$C,2,0)</f>
        <v>SEPTIEMBRE</v>
      </c>
      <c r="C2167" s="1">
        <v>2025</v>
      </c>
      <c r="D2167" s="1" t="str">
        <f>IF($A2167&lt;=[1]RESULTADOS!$D$6,"YTD","YTG")</f>
        <v>YTD</v>
      </c>
      <c r="E2167" t="s">
        <v>402</v>
      </c>
      <c r="F2167" t="s">
        <v>667</v>
      </c>
      <c r="G2167" t="s">
        <v>667</v>
      </c>
      <c r="H2167" t="s">
        <v>668</v>
      </c>
      <c r="I2167" t="s">
        <v>59</v>
      </c>
      <c r="J2167" t="str">
        <f>IFERROR(VLOOKUP(I2167,[1]AUTOS!$C:$G,2,0),"")</f>
        <v>AVEO</v>
      </c>
      <c r="K2167">
        <f>IFERROR(VLOOKUP(I2167,[1]AUTOS!$C:$G,3,0),"")</f>
        <v>2019</v>
      </c>
      <c r="L2167" t="str">
        <f>IFERROR(VLOOKUP(I2167,[1]AUTOS!$C:$G,4,0),"")</f>
        <v>BLANCO</v>
      </c>
      <c r="M2167" t="s">
        <v>43</v>
      </c>
      <c r="N2167" s="3">
        <v>2072.17</v>
      </c>
      <c r="O2167" s="3">
        <v>2500</v>
      </c>
      <c r="P2167" s="3">
        <v>2500.17</v>
      </c>
      <c r="Q2167" s="3">
        <v>0</v>
      </c>
    </row>
    <row r="2168" spans="1:17" hidden="1" x14ac:dyDescent="0.3">
      <c r="A2168">
        <v>36</v>
      </c>
      <c r="B2168" t="str">
        <f>VLOOKUP($A2168,[1]LISTA!$B:$C,2,0)</f>
        <v>SEPTIEMBRE</v>
      </c>
      <c r="C2168" s="1">
        <v>2025</v>
      </c>
      <c r="D2168" s="1" t="str">
        <f>IF($A2168&lt;=[1]RESULTADOS!$D$6,"YTD","YTG")</f>
        <v>YTD</v>
      </c>
      <c r="E2168" t="s">
        <v>496</v>
      </c>
      <c r="F2168" t="s">
        <v>667</v>
      </c>
      <c r="G2168" t="s">
        <v>667</v>
      </c>
      <c r="H2168" t="s">
        <v>668</v>
      </c>
      <c r="I2168" t="s">
        <v>42</v>
      </c>
      <c r="J2168" t="str">
        <f>IFERROR(VLOOKUP(I2168,[1]AUTOS!$C:$G,2,0),"")</f>
        <v>VENTO</v>
      </c>
      <c r="K2168">
        <f>IFERROR(VLOOKUP(I2168,[1]AUTOS!$C:$G,3,0),"")</f>
        <v>2018</v>
      </c>
      <c r="L2168" t="str">
        <f>IFERROR(VLOOKUP(I2168,[1]AUTOS!$C:$G,4,0),"")</f>
        <v>AMARILLO</v>
      </c>
      <c r="M2168" t="s">
        <v>43</v>
      </c>
      <c r="N2168" s="3">
        <v>5309.3399999999992</v>
      </c>
      <c r="O2168" s="3">
        <v>2500</v>
      </c>
      <c r="P2168" s="3">
        <v>2927</v>
      </c>
      <c r="Q2168" s="3">
        <v>500</v>
      </c>
    </row>
    <row r="2169" spans="1:17" hidden="1" x14ac:dyDescent="0.3">
      <c r="A2169">
        <v>36</v>
      </c>
      <c r="B2169" t="str">
        <f>VLOOKUP($A2169,[1]LISTA!$B:$C,2,0)</f>
        <v>SEPTIEMBRE</v>
      </c>
      <c r="C2169" s="1">
        <v>2025</v>
      </c>
      <c r="D2169" s="1" t="str">
        <f>IF($A2169&lt;=[1]RESULTADOS!$D$6,"YTD","YTG")</f>
        <v>YTD</v>
      </c>
      <c r="E2169" t="s">
        <v>416</v>
      </c>
      <c r="F2169" t="s">
        <v>667</v>
      </c>
      <c r="G2169" t="s">
        <v>667</v>
      </c>
      <c r="H2169" t="s">
        <v>668</v>
      </c>
      <c r="I2169" t="s">
        <v>495</v>
      </c>
      <c r="J2169" t="str">
        <f>IFERROR(VLOOKUP(I2169,[1]AUTOS!$C:$G,2,0),"")</f>
        <v>VERSA</v>
      </c>
      <c r="K2169">
        <f>IFERROR(VLOOKUP(I2169,[1]AUTOS!$C:$G,3,0),"")</f>
        <v>2021</v>
      </c>
      <c r="L2169" t="str">
        <f>IFERROR(VLOOKUP(I2169,[1]AUTOS!$C:$G,4,0),"")</f>
        <v>BLANCO</v>
      </c>
      <c r="M2169" t="s">
        <v>140</v>
      </c>
      <c r="N2169" s="3">
        <v>2838.67</v>
      </c>
      <c r="O2169" s="3">
        <v>2500</v>
      </c>
      <c r="P2169" s="3">
        <v>2838.67</v>
      </c>
      <c r="Q2169" s="3">
        <v>500</v>
      </c>
    </row>
    <row r="2170" spans="1:17" hidden="1" x14ac:dyDescent="0.3">
      <c r="A2170">
        <v>36</v>
      </c>
      <c r="B2170" t="str">
        <f>VLOOKUP($A2170,[1]LISTA!$B:$C,2,0)</f>
        <v>SEPTIEMBRE</v>
      </c>
      <c r="C2170" s="1">
        <v>2025</v>
      </c>
      <c r="D2170" s="1" t="str">
        <f>IF($A2170&lt;=[1]RESULTADOS!$D$6,"YTD","YTG")</f>
        <v>YTD</v>
      </c>
      <c r="E2170" t="s">
        <v>417</v>
      </c>
      <c r="F2170" t="s">
        <v>667</v>
      </c>
      <c r="G2170" t="s">
        <v>667</v>
      </c>
      <c r="H2170" t="s">
        <v>668</v>
      </c>
      <c r="I2170" t="s">
        <v>370</v>
      </c>
      <c r="J2170" t="str">
        <f>IFERROR(VLOOKUP(I2170,[1]AUTOS!$C:$G,2,0),"")</f>
        <v>KIA RIO</v>
      </c>
      <c r="K2170">
        <f>IFERROR(VLOOKUP(I2170,[1]AUTOS!$C:$G,3,0),"")</f>
        <v>2020</v>
      </c>
      <c r="L2170" t="str">
        <f>IFERROR(VLOOKUP(I2170,[1]AUTOS!$C:$G,4,0),"")</f>
        <v>AZUL</v>
      </c>
      <c r="M2170" t="s">
        <v>215</v>
      </c>
      <c r="N2170" s="3">
        <v>-203.16999999999985</v>
      </c>
      <c r="O2170" s="3">
        <v>1786</v>
      </c>
      <c r="P2170" s="3">
        <v>-203.16999999999985</v>
      </c>
      <c r="Q2170" s="3">
        <v>-3821</v>
      </c>
    </row>
    <row r="2171" spans="1:17" hidden="1" x14ac:dyDescent="0.3">
      <c r="A2171">
        <v>36</v>
      </c>
      <c r="B2171" t="str">
        <f>VLOOKUP($A2171,[1]LISTA!$B:$C,2,0)</f>
        <v>SEPTIEMBRE</v>
      </c>
      <c r="C2171" s="1">
        <v>2025</v>
      </c>
      <c r="D2171" s="1" t="str">
        <f>IF($A2171&lt;=[1]RESULTADOS!$D$6,"YTD","YTG")</f>
        <v>YTD</v>
      </c>
      <c r="E2171" t="s">
        <v>377</v>
      </c>
      <c r="F2171" t="s">
        <v>667</v>
      </c>
      <c r="G2171" t="s">
        <v>667</v>
      </c>
      <c r="H2171" t="s">
        <v>668</v>
      </c>
      <c r="I2171" t="s">
        <v>313</v>
      </c>
      <c r="J2171" t="str">
        <f>IFERROR(VLOOKUP(I2171,[1]AUTOS!$C:$G,2,0),"")</f>
        <v>MARCH</v>
      </c>
      <c r="K2171">
        <f>IFERROR(VLOOKUP(I2171,[1]AUTOS!$C:$G,3,0),"")</f>
        <v>2019</v>
      </c>
      <c r="L2171" t="str">
        <f>IFERROR(VLOOKUP(I2171,[1]AUTOS!$C:$G,4,0),"")</f>
        <v>TURQ</v>
      </c>
      <c r="M2171" t="s">
        <v>140</v>
      </c>
      <c r="N2171" s="3">
        <v>0</v>
      </c>
      <c r="O2171" s="3">
        <v>2143</v>
      </c>
      <c r="P2171" s="3">
        <v>0</v>
      </c>
      <c r="Q2171" s="3">
        <v>0</v>
      </c>
    </row>
    <row r="2172" spans="1:17" hidden="1" x14ac:dyDescent="0.3">
      <c r="A2172">
        <v>37</v>
      </c>
      <c r="B2172" t="str">
        <f>VLOOKUP($A2172,[1]LISTA!$B:$C,2,0)</f>
        <v>SEPTIEMBRE</v>
      </c>
      <c r="C2172" s="1">
        <v>2025</v>
      </c>
      <c r="D2172" s="1" t="str">
        <f>IF($A2172&lt;=[1]RESULTADOS!$D$6,"YTD","YTG")</f>
        <v>YTD</v>
      </c>
      <c r="E2172" t="s">
        <v>497</v>
      </c>
      <c r="F2172" t="s">
        <v>667</v>
      </c>
      <c r="G2172" t="s">
        <v>667</v>
      </c>
      <c r="H2172" t="s">
        <v>668</v>
      </c>
      <c r="I2172" t="s">
        <v>116</v>
      </c>
      <c r="J2172" t="str">
        <f>IFERROR(VLOOKUP(I2172,[1]AUTOS!$C:$G,2,0),"")</f>
        <v>AVEO</v>
      </c>
      <c r="K2172">
        <f>IFERROR(VLOOKUP(I2172,[1]AUTOS!$C:$G,3,0),"")</f>
        <v>2022</v>
      </c>
      <c r="L2172" t="str">
        <f>IFERROR(VLOOKUP(I2172,[1]AUTOS!$C:$G,4,0),"")</f>
        <v>AZUL</v>
      </c>
      <c r="M2172" t="s">
        <v>43</v>
      </c>
      <c r="N2172" s="3">
        <v>2698.79</v>
      </c>
      <c r="O2172" s="3">
        <v>2142.86</v>
      </c>
      <c r="P2172" s="3">
        <v>2570.86</v>
      </c>
      <c r="Q2172" s="3">
        <v>428</v>
      </c>
    </row>
    <row r="2173" spans="1:17" hidden="1" x14ac:dyDescent="0.3">
      <c r="A2173">
        <v>37</v>
      </c>
      <c r="B2173" t="str">
        <f>VLOOKUP($A2173,[1]LISTA!$B:$C,2,0)</f>
        <v>SEPTIEMBRE</v>
      </c>
      <c r="C2173" s="1">
        <v>2025</v>
      </c>
      <c r="D2173" s="1" t="str">
        <f>IF($A2173&lt;=[1]RESULTADOS!$D$6,"YTD","YTG")</f>
        <v>YTD</v>
      </c>
      <c r="E2173" t="s">
        <v>492</v>
      </c>
      <c r="F2173" t="s">
        <v>667</v>
      </c>
      <c r="G2173" t="s">
        <v>667</v>
      </c>
      <c r="H2173" t="s">
        <v>668</v>
      </c>
      <c r="I2173" t="s">
        <v>144</v>
      </c>
      <c r="J2173" t="str">
        <f>IFERROR(VLOOKUP(I2173,[1]AUTOS!$C:$G,2,0),"")</f>
        <v>VERSA</v>
      </c>
      <c r="K2173">
        <f>IFERROR(VLOOKUP(I2173,[1]AUTOS!$C:$G,3,0),"")</f>
        <v>2020</v>
      </c>
      <c r="L2173" t="str">
        <f>IFERROR(VLOOKUP(I2173,[1]AUTOS!$C:$G,4,0),"")</f>
        <v>ROJO</v>
      </c>
      <c r="M2173" t="s">
        <v>43</v>
      </c>
      <c r="N2173" s="3">
        <v>391.64</v>
      </c>
      <c r="O2173" s="3">
        <v>2500</v>
      </c>
      <c r="P2173" s="3">
        <v>2999.64</v>
      </c>
      <c r="Q2173" s="3">
        <v>0</v>
      </c>
    </row>
    <row r="2174" spans="1:17" hidden="1" x14ac:dyDescent="0.3">
      <c r="A2174">
        <v>37</v>
      </c>
      <c r="B2174" t="str">
        <f>VLOOKUP($A2174,[1]LISTA!$B:$C,2,0)</f>
        <v>SEPTIEMBRE</v>
      </c>
      <c r="C2174" s="1">
        <v>2025</v>
      </c>
      <c r="D2174" s="1" t="str">
        <f>IF($A2174&lt;=[1]RESULTADOS!$D$6,"YTD","YTG")</f>
        <v>YTD</v>
      </c>
      <c r="E2174" t="s">
        <v>705</v>
      </c>
      <c r="F2174" t="s">
        <v>667</v>
      </c>
      <c r="G2174" t="s">
        <v>667</v>
      </c>
      <c r="H2174" t="s">
        <v>668</v>
      </c>
      <c r="I2174" t="s">
        <v>82</v>
      </c>
      <c r="J2174" t="str">
        <f>IFERROR(VLOOKUP(I2174,[1]AUTOS!$C:$G,2,0),"")</f>
        <v>AVEO</v>
      </c>
      <c r="K2174">
        <f>IFERROR(VLOOKUP(I2174,[1]AUTOS!$C:$G,3,0),"")</f>
        <v>2019</v>
      </c>
      <c r="L2174" t="str">
        <f>IFERROR(VLOOKUP(I2174,[1]AUTOS!$C:$G,4,0),"")</f>
        <v>PLATA</v>
      </c>
      <c r="M2174" t="s">
        <v>43</v>
      </c>
      <c r="N2174" s="3">
        <v>5786.1</v>
      </c>
      <c r="O2174" s="3">
        <v>2500</v>
      </c>
      <c r="P2174" s="3">
        <v>3000</v>
      </c>
      <c r="Q2174" s="3">
        <v>500</v>
      </c>
    </row>
    <row r="2175" spans="1:17" hidden="1" x14ac:dyDescent="0.3">
      <c r="A2175">
        <v>37</v>
      </c>
      <c r="B2175" t="str">
        <f>VLOOKUP($A2175,[1]LISTA!$B:$C,2,0)</f>
        <v>SEPTIEMBRE</v>
      </c>
      <c r="C2175" s="1">
        <v>2025</v>
      </c>
      <c r="D2175" s="1" t="str">
        <f>IF($A2175&lt;=[1]RESULTADOS!$D$6,"YTD","YTG")</f>
        <v>YTD</v>
      </c>
      <c r="E2175" t="s">
        <v>691</v>
      </c>
      <c r="F2175" t="s">
        <v>667</v>
      </c>
      <c r="G2175" t="s">
        <v>667</v>
      </c>
      <c r="H2175" t="s">
        <v>668</v>
      </c>
      <c r="I2175" t="s">
        <v>139</v>
      </c>
      <c r="J2175" t="str">
        <f>IFERROR(VLOOKUP(I2175,[1]AUTOS!$C:$G,2,0),"")</f>
        <v>SWIFT</v>
      </c>
      <c r="K2175">
        <f>IFERROR(VLOOKUP(I2175,[1]AUTOS!$C:$G,3,0),"")</f>
        <v>2017</v>
      </c>
      <c r="L2175" t="str">
        <f>IFERROR(VLOOKUP(I2175,[1]AUTOS!$C:$G,4,0),"")</f>
        <v>ROJO</v>
      </c>
      <c r="M2175" t="s">
        <v>140</v>
      </c>
      <c r="N2175" s="3">
        <v>4090.05</v>
      </c>
      <c r="O2175" s="3">
        <v>2500</v>
      </c>
      <c r="P2175" s="3">
        <v>3000</v>
      </c>
      <c r="Q2175" s="3">
        <v>0</v>
      </c>
    </row>
    <row r="2176" spans="1:17" hidden="1" x14ac:dyDescent="0.3">
      <c r="A2176">
        <v>37</v>
      </c>
      <c r="B2176" t="str">
        <f>VLOOKUP($A2176,[1]LISTA!$B:$C,2,0)</f>
        <v>SEPTIEMBRE</v>
      </c>
      <c r="C2176" s="1">
        <v>2025</v>
      </c>
      <c r="D2176" s="1" t="str">
        <f>IF($A2176&lt;=[1]RESULTADOS!$D$6,"YTD","YTG")</f>
        <v>YTD</v>
      </c>
      <c r="E2176" t="s">
        <v>486</v>
      </c>
      <c r="F2176" t="s">
        <v>667</v>
      </c>
      <c r="G2176" t="s">
        <v>667</v>
      </c>
      <c r="H2176" t="s">
        <v>668</v>
      </c>
      <c r="I2176" t="s">
        <v>46</v>
      </c>
      <c r="J2176" t="str">
        <f>IFERROR(VLOOKUP(I2176,[1]AUTOS!$C:$G,2,0),"")</f>
        <v>MARCH</v>
      </c>
      <c r="K2176">
        <f>IFERROR(VLOOKUP(I2176,[1]AUTOS!$C:$G,3,0),"")</f>
        <v>2020</v>
      </c>
      <c r="L2176" t="str">
        <f>IFERROR(VLOOKUP(I2176,[1]AUTOS!$C:$G,4,0),"")</f>
        <v>TURQ</v>
      </c>
      <c r="M2176" t="s">
        <v>43</v>
      </c>
      <c r="N2176" s="3">
        <v>7224.3099999999995</v>
      </c>
      <c r="O2176" s="3">
        <v>2500</v>
      </c>
      <c r="P2176" s="3">
        <v>3647.5</v>
      </c>
      <c r="Q2176" s="3">
        <v>500</v>
      </c>
    </row>
    <row r="2177" spans="1:17" hidden="1" x14ac:dyDescent="0.3">
      <c r="A2177">
        <v>37</v>
      </c>
      <c r="B2177" t="str">
        <f>VLOOKUP($A2177,[1]LISTA!$B:$C,2,0)</f>
        <v>SEPTIEMBRE</v>
      </c>
      <c r="C2177" s="1">
        <v>2025</v>
      </c>
      <c r="D2177" s="1" t="str">
        <f>IF($A2177&lt;=[1]RESULTADOS!$D$6,"YTD","YTG")</f>
        <v>YTD</v>
      </c>
      <c r="E2177" t="s">
        <v>399</v>
      </c>
      <c r="F2177" t="s">
        <v>667</v>
      </c>
      <c r="G2177" t="s">
        <v>667</v>
      </c>
      <c r="H2177" t="s">
        <v>668</v>
      </c>
      <c r="I2177" t="s">
        <v>162</v>
      </c>
      <c r="J2177" t="str">
        <f>IFERROR(VLOOKUP(I2177,[1]AUTOS!$C:$G,2,0),"")</f>
        <v>HYUNDAI</v>
      </c>
      <c r="K2177">
        <f>IFERROR(VLOOKUP(I2177,[1]AUTOS!$C:$G,3,0),"")</f>
        <v>2022</v>
      </c>
      <c r="L2177" t="str">
        <f>IFERROR(VLOOKUP(I2177,[1]AUTOS!$C:$G,4,0),"")</f>
        <v>PLATA</v>
      </c>
      <c r="M2177" t="s">
        <v>43</v>
      </c>
      <c r="N2177" s="3">
        <v>8240.2800000000007</v>
      </c>
      <c r="O2177" s="3">
        <v>2500</v>
      </c>
      <c r="P2177" s="3">
        <v>5500</v>
      </c>
      <c r="Q2177" s="3">
        <v>0</v>
      </c>
    </row>
    <row r="2178" spans="1:17" hidden="1" x14ac:dyDescent="0.3">
      <c r="A2178">
        <v>37</v>
      </c>
      <c r="B2178" t="str">
        <f>VLOOKUP($A2178,[1]LISTA!$B:$C,2,0)</f>
        <v>SEPTIEMBRE</v>
      </c>
      <c r="C2178" s="1">
        <v>2025</v>
      </c>
      <c r="D2178" s="1" t="str">
        <f>IF($A2178&lt;=[1]RESULTADOS!$D$6,"YTD","YTG")</f>
        <v>YTD</v>
      </c>
      <c r="E2178" t="s">
        <v>704</v>
      </c>
      <c r="F2178" t="s">
        <v>667</v>
      </c>
      <c r="G2178" t="s">
        <v>667</v>
      </c>
      <c r="H2178" t="s">
        <v>668</v>
      </c>
      <c r="I2178" t="s">
        <v>37</v>
      </c>
      <c r="J2178" t="str">
        <f>IFERROR(VLOOKUP(I2178,[1]AUTOS!$C:$G,2,0),"")</f>
        <v>BEAT</v>
      </c>
      <c r="K2178">
        <f>IFERROR(VLOOKUP(I2178,[1]AUTOS!$C:$G,3,0),"")</f>
        <v>2020</v>
      </c>
      <c r="L2178" t="str">
        <f>IFERROR(VLOOKUP(I2178,[1]AUTOS!$C:$G,4,0),"")</f>
        <v>GRIS</v>
      </c>
      <c r="M2178" t="s">
        <v>140</v>
      </c>
      <c r="N2178" s="3">
        <v>2212.9399999999991</v>
      </c>
      <c r="O2178" s="3">
        <v>2500</v>
      </c>
      <c r="P2178" s="3">
        <v>2892.9399999999991</v>
      </c>
      <c r="Q2178" s="3">
        <v>393</v>
      </c>
    </row>
    <row r="2179" spans="1:17" hidden="1" x14ac:dyDescent="0.3">
      <c r="A2179">
        <v>37</v>
      </c>
      <c r="B2179" t="str">
        <f>VLOOKUP($A2179,[1]LISTA!$B:$C,2,0)</f>
        <v>SEPTIEMBRE</v>
      </c>
      <c r="C2179" s="1">
        <v>2025</v>
      </c>
      <c r="D2179" s="1" t="str">
        <f>IF($A2179&lt;=[1]RESULTADOS!$D$6,"YTD","YTG")</f>
        <v>YTD</v>
      </c>
      <c r="E2179" t="s">
        <v>478</v>
      </c>
      <c r="F2179" t="s">
        <v>667</v>
      </c>
      <c r="G2179" t="s">
        <v>667</v>
      </c>
      <c r="H2179" t="s">
        <v>668</v>
      </c>
      <c r="I2179" t="s">
        <v>185</v>
      </c>
      <c r="J2179" t="str">
        <f>IFERROR(VLOOKUP(I2179,[1]AUTOS!$C:$G,2,0),"")</f>
        <v>MARCH</v>
      </c>
      <c r="K2179">
        <f>IFERROR(VLOOKUP(I2179,[1]AUTOS!$C:$G,3,0),"")</f>
        <v>2021</v>
      </c>
      <c r="L2179" t="str">
        <f>IFERROR(VLOOKUP(I2179,[1]AUTOS!$C:$G,4,0),"")</f>
        <v>ROJO</v>
      </c>
      <c r="M2179" t="s">
        <v>43</v>
      </c>
      <c r="N2179" s="3">
        <v>-868.20000000000027</v>
      </c>
      <c r="O2179" s="3">
        <v>2500</v>
      </c>
      <c r="P2179" s="3">
        <v>2461.7999999999997</v>
      </c>
      <c r="Q2179" s="3">
        <v>0</v>
      </c>
    </row>
    <row r="2180" spans="1:17" hidden="1" x14ac:dyDescent="0.3">
      <c r="A2180">
        <v>37</v>
      </c>
      <c r="B2180" t="str">
        <f>VLOOKUP($A2180,[1]LISTA!$B:$C,2,0)</f>
        <v>SEPTIEMBRE</v>
      </c>
      <c r="C2180" s="1">
        <v>2025</v>
      </c>
      <c r="D2180" s="1" t="str">
        <f>IF($A2180&lt;=[1]RESULTADOS!$D$6,"YTD","YTG")</f>
        <v>YTD</v>
      </c>
      <c r="E2180" t="s">
        <v>436</v>
      </c>
      <c r="F2180" t="s">
        <v>667</v>
      </c>
      <c r="G2180" t="s">
        <v>667</v>
      </c>
      <c r="H2180" t="s">
        <v>668</v>
      </c>
      <c r="I2180" t="s">
        <v>112</v>
      </c>
      <c r="J2180" t="str">
        <f>IFERROR(VLOOKUP(I2180,[1]AUTOS!$C:$G,2,0),"")</f>
        <v>KIA RIO</v>
      </c>
      <c r="K2180">
        <f>IFERROR(VLOOKUP(I2180,[1]AUTOS!$C:$G,3,0),"")</f>
        <v>2020</v>
      </c>
      <c r="L2180" t="str">
        <f>IFERROR(VLOOKUP(I2180,[1]AUTOS!$C:$G,4,0),"")</f>
        <v>ROJO</v>
      </c>
      <c r="M2180" t="s">
        <v>140</v>
      </c>
      <c r="N2180" s="3">
        <v>2231.4500000000003</v>
      </c>
      <c r="O2180" s="3">
        <v>2500</v>
      </c>
      <c r="P2180" s="3">
        <v>2231.4500000000003</v>
      </c>
      <c r="Q2180" s="3">
        <v>0</v>
      </c>
    </row>
    <row r="2181" spans="1:17" hidden="1" x14ac:dyDescent="0.3">
      <c r="A2181">
        <v>37</v>
      </c>
      <c r="B2181" t="str">
        <f>VLOOKUP($A2181,[1]LISTA!$B:$C,2,0)</f>
        <v>SEPTIEMBRE</v>
      </c>
      <c r="C2181" s="1">
        <v>2025</v>
      </c>
      <c r="D2181" s="1" t="str">
        <f>IF($A2181&lt;=[1]RESULTADOS!$D$6,"YTD","YTG")</f>
        <v>YTD</v>
      </c>
      <c r="E2181" t="s">
        <v>706</v>
      </c>
      <c r="F2181" t="s">
        <v>667</v>
      </c>
      <c r="G2181" t="s">
        <v>667</v>
      </c>
      <c r="H2181" t="s">
        <v>668</v>
      </c>
      <c r="I2181" t="s">
        <v>131</v>
      </c>
      <c r="J2181" t="str">
        <f>IFERROR(VLOOKUP(I2181,[1]AUTOS!$C:$G,2,0),"")</f>
        <v>AVEO</v>
      </c>
      <c r="K2181">
        <f>IFERROR(VLOOKUP(I2181,[1]AUTOS!$C:$G,3,0),"")</f>
        <v>2024</v>
      </c>
      <c r="L2181" t="str">
        <f>IFERROR(VLOOKUP(I2181,[1]AUTOS!$C:$G,4,0),"")</f>
        <v>GRIS</v>
      </c>
      <c r="M2181" t="s">
        <v>43</v>
      </c>
      <c r="N2181" s="3">
        <v>3121.63</v>
      </c>
      <c r="O2181" s="3">
        <v>2500</v>
      </c>
      <c r="P2181" s="3">
        <v>3000</v>
      </c>
      <c r="Q2181" s="3">
        <v>500</v>
      </c>
    </row>
    <row r="2182" spans="1:17" hidden="1" x14ac:dyDescent="0.3">
      <c r="A2182">
        <v>37</v>
      </c>
      <c r="B2182" t="str">
        <f>VLOOKUP($A2182,[1]LISTA!$B:$C,2,0)</f>
        <v>SEPTIEMBRE</v>
      </c>
      <c r="C2182" s="1">
        <v>2025</v>
      </c>
      <c r="D2182" s="1" t="str">
        <f>IF($A2182&lt;=[1]RESULTADOS!$D$6,"YTD","YTG")</f>
        <v>YTD</v>
      </c>
      <c r="E2182" t="s">
        <v>474</v>
      </c>
      <c r="F2182" t="s">
        <v>667</v>
      </c>
      <c r="G2182" t="s">
        <v>667</v>
      </c>
      <c r="H2182" t="s">
        <v>668</v>
      </c>
      <c r="I2182" t="s">
        <v>510</v>
      </c>
      <c r="J2182" t="str">
        <f>IFERROR(VLOOKUP(I2182,[1]AUTOS!$C:$G,2,0),"")</f>
        <v>AVEO</v>
      </c>
      <c r="K2182">
        <f>IFERROR(VLOOKUP(I2182,[1]AUTOS!$C:$G,3,0),"")</f>
        <v>2023</v>
      </c>
      <c r="L2182" t="str">
        <f>IFERROR(VLOOKUP(I2182,[1]AUTOS!$C:$G,4,0),"")</f>
        <v>GRIS</v>
      </c>
      <c r="M2182" t="s">
        <v>140</v>
      </c>
      <c r="N2182" s="3">
        <v>499.37</v>
      </c>
      <c r="O2182" s="3">
        <v>499</v>
      </c>
      <c r="P2182" s="3">
        <v>499</v>
      </c>
      <c r="Q2182" s="3">
        <v>0</v>
      </c>
    </row>
    <row r="2183" spans="1:17" hidden="1" x14ac:dyDescent="0.3">
      <c r="A2183">
        <v>37</v>
      </c>
      <c r="B2183" t="str">
        <f>VLOOKUP($A2183,[1]LISTA!$B:$C,2,0)</f>
        <v>SEPTIEMBRE</v>
      </c>
      <c r="C2183" s="1">
        <v>2025</v>
      </c>
      <c r="D2183" s="1" t="str">
        <f>IF($A2183&lt;=[1]RESULTADOS!$D$6,"YTD","YTG")</f>
        <v>YTD</v>
      </c>
      <c r="E2183" t="s">
        <v>540</v>
      </c>
      <c r="F2183" t="s">
        <v>667</v>
      </c>
      <c r="G2183" t="s">
        <v>667</v>
      </c>
      <c r="H2183" t="s">
        <v>668</v>
      </c>
      <c r="I2183" t="s">
        <v>366</v>
      </c>
      <c r="J2183" t="str">
        <f>IFERROR(VLOOKUP(I2183,[1]AUTOS!$C:$G,2,0),"")</f>
        <v>VENTO</v>
      </c>
      <c r="K2183">
        <f>IFERROR(VLOOKUP(I2183,[1]AUTOS!$C:$G,3,0),"")</f>
        <v>2019</v>
      </c>
      <c r="L2183" t="str">
        <f>IFERROR(VLOOKUP(I2183,[1]AUTOS!$C:$G,4,0),"")</f>
        <v>BLANCO</v>
      </c>
      <c r="M2183" t="s">
        <v>215</v>
      </c>
      <c r="N2183" s="3">
        <v>0</v>
      </c>
      <c r="O2183" s="3">
        <v>0</v>
      </c>
      <c r="P2183" s="3">
        <v>-200</v>
      </c>
      <c r="Q2183" s="3">
        <v>0</v>
      </c>
    </row>
    <row r="2184" spans="1:17" hidden="1" x14ac:dyDescent="0.3">
      <c r="A2184">
        <v>37</v>
      </c>
      <c r="B2184" t="str">
        <f>VLOOKUP($A2184,[1]LISTA!$B:$C,2,0)</f>
        <v>SEPTIEMBRE</v>
      </c>
      <c r="C2184" s="1">
        <v>2025</v>
      </c>
      <c r="D2184" s="1" t="str">
        <f>IF($A2184&lt;=[1]RESULTADOS!$D$6,"YTD","YTG")</f>
        <v>YTD</v>
      </c>
      <c r="E2184" t="s">
        <v>456</v>
      </c>
      <c r="F2184" t="s">
        <v>667</v>
      </c>
      <c r="G2184" t="s">
        <v>667</v>
      </c>
      <c r="H2184" t="s">
        <v>668</v>
      </c>
      <c r="I2184" t="s">
        <v>146</v>
      </c>
      <c r="J2184" t="str">
        <f>IFERROR(VLOOKUP(I2184,[1]AUTOS!$C:$G,2,0),"")</f>
        <v>KIA RIO</v>
      </c>
      <c r="K2184">
        <f>IFERROR(VLOOKUP(I2184,[1]AUTOS!$C:$G,3,0),"")</f>
        <v>2023</v>
      </c>
      <c r="L2184" t="str">
        <f>IFERROR(VLOOKUP(I2184,[1]AUTOS!$C:$G,4,0),"")</f>
        <v>ROJO</v>
      </c>
      <c r="M2184" t="s">
        <v>140</v>
      </c>
      <c r="N2184" s="3">
        <v>5010.3299999999972</v>
      </c>
      <c r="O2184" s="3">
        <v>2500</v>
      </c>
      <c r="P2184" s="3">
        <v>2500</v>
      </c>
      <c r="Q2184" s="3">
        <v>0</v>
      </c>
    </row>
    <row r="2185" spans="1:17" hidden="1" x14ac:dyDescent="0.3">
      <c r="A2185">
        <v>37</v>
      </c>
      <c r="B2185" t="str">
        <f>VLOOKUP($A2185,[1]LISTA!$B:$C,2,0)</f>
        <v>SEPTIEMBRE</v>
      </c>
      <c r="C2185" s="1">
        <v>2025</v>
      </c>
      <c r="D2185" s="1" t="str">
        <f>IF($A2185&lt;=[1]RESULTADOS!$D$6,"YTD","YTG")</f>
        <v>YTD</v>
      </c>
      <c r="E2185" t="s">
        <v>411</v>
      </c>
      <c r="F2185" t="s">
        <v>667</v>
      </c>
      <c r="G2185" t="s">
        <v>667</v>
      </c>
      <c r="H2185" t="s">
        <v>668</v>
      </c>
      <c r="I2185" t="s">
        <v>178</v>
      </c>
      <c r="J2185" t="str">
        <f>IFERROR(VLOOKUP(I2185,[1]AUTOS!$C:$G,2,0),"")</f>
        <v>VERSA</v>
      </c>
      <c r="K2185">
        <f>IFERROR(VLOOKUP(I2185,[1]AUTOS!$C:$G,3,0),"")</f>
        <v>2020</v>
      </c>
      <c r="L2185" t="str">
        <f>IFERROR(VLOOKUP(I2185,[1]AUTOS!$C:$G,4,0),"")</f>
        <v>BLANCO</v>
      </c>
      <c r="M2185" t="s">
        <v>43</v>
      </c>
      <c r="N2185" s="3">
        <v>2757.04</v>
      </c>
      <c r="O2185" s="3">
        <v>2500</v>
      </c>
      <c r="P2185" s="3">
        <v>3000.04</v>
      </c>
      <c r="Q2185" s="3">
        <v>0</v>
      </c>
    </row>
    <row r="2186" spans="1:17" hidden="1" x14ac:dyDescent="0.3">
      <c r="A2186">
        <v>37</v>
      </c>
      <c r="B2186" t="str">
        <f>VLOOKUP($A2186,[1]LISTA!$B:$C,2,0)</f>
        <v>SEPTIEMBRE</v>
      </c>
      <c r="C2186" s="1">
        <v>2025</v>
      </c>
      <c r="D2186" s="1" t="str">
        <f>IF($A2186&lt;=[1]RESULTADOS!$D$6,"YTD","YTG")</f>
        <v>YTD</v>
      </c>
      <c r="E2186" t="s">
        <v>702</v>
      </c>
      <c r="F2186" t="s">
        <v>667</v>
      </c>
      <c r="G2186" t="s">
        <v>667</v>
      </c>
      <c r="H2186" t="s">
        <v>668</v>
      </c>
      <c r="I2186" t="s">
        <v>82</v>
      </c>
      <c r="J2186" t="str">
        <f>IFERROR(VLOOKUP(I2186,[1]AUTOS!$C:$G,2,0),"")</f>
        <v>AVEO</v>
      </c>
      <c r="K2186">
        <f>IFERROR(VLOOKUP(I2186,[1]AUTOS!$C:$G,3,0),"")</f>
        <v>2019</v>
      </c>
      <c r="L2186" t="str">
        <f>IFERROR(VLOOKUP(I2186,[1]AUTOS!$C:$G,4,0),"")</f>
        <v>PLATA</v>
      </c>
      <c r="M2186" t="s">
        <v>43</v>
      </c>
      <c r="N2186" s="3">
        <v>0</v>
      </c>
      <c r="O2186" s="3">
        <v>0</v>
      </c>
      <c r="P2186" s="3">
        <v>-1000</v>
      </c>
      <c r="Q2186" s="3">
        <v>-1000</v>
      </c>
    </row>
    <row r="2187" spans="1:17" hidden="1" x14ac:dyDescent="0.3">
      <c r="A2187">
        <v>37</v>
      </c>
      <c r="B2187" t="str">
        <f>VLOOKUP($A2187,[1]LISTA!$B:$C,2,0)</f>
        <v>SEPTIEMBRE</v>
      </c>
      <c r="C2187" s="1">
        <v>2025</v>
      </c>
      <c r="D2187" s="1" t="str">
        <f>IF($A2187&lt;=[1]RESULTADOS!$D$6,"YTD","YTG")</f>
        <v>YTD</v>
      </c>
      <c r="E2187" t="s">
        <v>518</v>
      </c>
      <c r="F2187" t="s">
        <v>667</v>
      </c>
      <c r="G2187" t="s">
        <v>667</v>
      </c>
      <c r="H2187" t="s">
        <v>668</v>
      </c>
      <c r="I2187" t="s">
        <v>214</v>
      </c>
      <c r="J2187" t="str">
        <f>IFERROR(VLOOKUP(I2187,[1]AUTOS!$C:$G,2,0),"")</f>
        <v>VENTO</v>
      </c>
      <c r="K2187">
        <f>IFERROR(VLOOKUP(I2187,[1]AUTOS!$C:$G,3,0),"")</f>
        <v>2019</v>
      </c>
      <c r="L2187" t="str">
        <f>IFERROR(VLOOKUP(I2187,[1]AUTOS!$C:$G,4,0),"")</f>
        <v>BLANCO</v>
      </c>
      <c r="M2187" t="s">
        <v>215</v>
      </c>
      <c r="N2187" s="3">
        <v>0</v>
      </c>
      <c r="O2187" s="3">
        <v>2500</v>
      </c>
      <c r="P2187" s="3">
        <v>3000</v>
      </c>
      <c r="Q2187" s="3">
        <v>500</v>
      </c>
    </row>
    <row r="2188" spans="1:17" hidden="1" x14ac:dyDescent="0.3">
      <c r="A2188">
        <v>37</v>
      </c>
      <c r="B2188" t="str">
        <f>VLOOKUP($A2188,[1]LISTA!$B:$C,2,0)</f>
        <v>SEPTIEMBRE</v>
      </c>
      <c r="C2188" s="1">
        <v>2025</v>
      </c>
      <c r="D2188" s="1" t="str">
        <f>IF($A2188&lt;=[1]RESULTADOS!$D$6,"YTD","YTG")</f>
        <v>YTD</v>
      </c>
      <c r="E2188" t="s">
        <v>703</v>
      </c>
      <c r="F2188" t="s">
        <v>667</v>
      </c>
      <c r="G2188" t="s">
        <v>667</v>
      </c>
      <c r="H2188" t="s">
        <v>668</v>
      </c>
      <c r="I2188" t="s">
        <v>182</v>
      </c>
      <c r="J2188" t="str">
        <f>IFERROR(VLOOKUP(I2188,[1]AUTOS!$C:$G,2,0),"")</f>
        <v>AVEO</v>
      </c>
      <c r="K2188">
        <f>IFERROR(VLOOKUP(I2188,[1]AUTOS!$C:$G,3,0),"")</f>
        <v>2020</v>
      </c>
      <c r="L2188" t="str">
        <f>IFERROR(VLOOKUP(I2188,[1]AUTOS!$C:$G,4,0),"")</f>
        <v>AZUL</v>
      </c>
      <c r="M2188" t="s">
        <v>43</v>
      </c>
      <c r="N2188" s="3">
        <v>3781.8100000000004</v>
      </c>
      <c r="O2188" s="3">
        <v>2500</v>
      </c>
      <c r="P2188" s="3">
        <v>3000</v>
      </c>
      <c r="Q2188" s="3">
        <v>500</v>
      </c>
    </row>
    <row r="2189" spans="1:17" hidden="1" x14ac:dyDescent="0.3">
      <c r="A2189">
        <v>37</v>
      </c>
      <c r="B2189" t="str">
        <f>VLOOKUP($A2189,[1]LISTA!$B:$C,2,0)</f>
        <v>SEPTIEMBRE</v>
      </c>
      <c r="C2189" s="1">
        <v>2025</v>
      </c>
      <c r="D2189" s="1" t="str">
        <f>IF($A2189&lt;=[1]RESULTADOS!$D$6,"YTD","YTG")</f>
        <v>YTD</v>
      </c>
      <c r="E2189" t="s">
        <v>526</v>
      </c>
      <c r="F2189" t="s">
        <v>667</v>
      </c>
      <c r="G2189" t="s">
        <v>667</v>
      </c>
      <c r="H2189" t="s">
        <v>668</v>
      </c>
      <c r="I2189" t="s">
        <v>67</v>
      </c>
      <c r="J2189" t="str">
        <f>IFERROR(VLOOKUP(I2189,[1]AUTOS!$C:$G,2,0),"")</f>
        <v>KIA RIO</v>
      </c>
      <c r="K2189">
        <f>IFERROR(VLOOKUP(I2189,[1]AUTOS!$C:$G,3,0),"")</f>
        <v>2020</v>
      </c>
      <c r="L2189" t="str">
        <f>IFERROR(VLOOKUP(I2189,[1]AUTOS!$C:$G,4,0),"")</f>
        <v>GRIS</v>
      </c>
      <c r="M2189" t="s">
        <v>43</v>
      </c>
      <c r="N2189" s="3">
        <v>4672.0599999999995</v>
      </c>
      <c r="O2189" s="3">
        <v>2500</v>
      </c>
      <c r="P2189" s="3">
        <v>2500</v>
      </c>
      <c r="Q2189" s="3">
        <v>0</v>
      </c>
    </row>
    <row r="2190" spans="1:17" hidden="1" x14ac:dyDescent="0.3">
      <c r="A2190">
        <v>37</v>
      </c>
      <c r="B2190" t="str">
        <f>VLOOKUP($A2190,[1]LISTA!$B:$C,2,0)</f>
        <v>SEPTIEMBRE</v>
      </c>
      <c r="C2190" s="1">
        <v>2025</v>
      </c>
      <c r="D2190" s="1" t="str">
        <f>IF($A2190&lt;=[1]RESULTADOS!$D$6,"YTD","YTG")</f>
        <v>YTD</v>
      </c>
      <c r="E2190" t="s">
        <v>681</v>
      </c>
      <c r="F2190" t="s">
        <v>667</v>
      </c>
      <c r="G2190" t="s">
        <v>667</v>
      </c>
      <c r="H2190" t="s">
        <v>668</v>
      </c>
      <c r="I2190" t="s">
        <v>102</v>
      </c>
      <c r="J2190" t="str">
        <f>IFERROR(VLOOKUP(I2190,[1]AUTOS!$C:$G,2,0),"")</f>
        <v>AVEO</v>
      </c>
      <c r="K2190">
        <f>IFERROR(VLOOKUP(I2190,[1]AUTOS!$C:$G,3,0),"")</f>
        <v>2022</v>
      </c>
      <c r="L2190" t="str">
        <f>IFERROR(VLOOKUP(I2190,[1]AUTOS!$C:$G,4,0),"")</f>
        <v>AZUL</v>
      </c>
      <c r="M2190" t="s">
        <v>43</v>
      </c>
      <c r="N2190" s="3">
        <v>2642.26</v>
      </c>
      <c r="O2190" s="3">
        <v>2500</v>
      </c>
      <c r="P2190" s="3">
        <v>2466</v>
      </c>
      <c r="Q2190" s="3">
        <v>0</v>
      </c>
    </row>
    <row r="2191" spans="1:17" hidden="1" x14ac:dyDescent="0.3">
      <c r="A2191">
        <v>37</v>
      </c>
      <c r="B2191" t="str">
        <f>VLOOKUP($A2191,[1]LISTA!$B:$C,2,0)</f>
        <v>SEPTIEMBRE</v>
      </c>
      <c r="C2191" s="1">
        <v>2025</v>
      </c>
      <c r="D2191" s="1" t="str">
        <f>IF($A2191&lt;=[1]RESULTADOS!$D$6,"YTD","YTG")</f>
        <v>YTD</v>
      </c>
      <c r="E2191" t="s">
        <v>675</v>
      </c>
      <c r="F2191" t="s">
        <v>667</v>
      </c>
      <c r="G2191" t="s">
        <v>667</v>
      </c>
      <c r="H2191" t="s">
        <v>668</v>
      </c>
      <c r="I2191" t="s">
        <v>440</v>
      </c>
      <c r="J2191" t="str">
        <f>IFERROR(VLOOKUP(I2191,[1]AUTOS!$C:$G,2,0),"")</f>
        <v>AVEO</v>
      </c>
      <c r="K2191">
        <f>IFERROR(VLOOKUP(I2191,[1]AUTOS!$C:$G,3,0),"")</f>
        <v>2021</v>
      </c>
      <c r="L2191" t="str">
        <f>IFERROR(VLOOKUP(I2191,[1]AUTOS!$C:$G,4,0),"")</f>
        <v>GRIS</v>
      </c>
      <c r="M2191" t="s">
        <v>140</v>
      </c>
      <c r="N2191" s="3">
        <v>3156.0299999999997</v>
      </c>
      <c r="O2191" s="3">
        <v>2500</v>
      </c>
      <c r="P2191" s="3">
        <v>3706.0299999999997</v>
      </c>
      <c r="Q2191" s="3">
        <v>0</v>
      </c>
    </row>
    <row r="2192" spans="1:17" hidden="1" x14ac:dyDescent="0.3">
      <c r="A2192">
        <v>37</v>
      </c>
      <c r="B2192" t="str">
        <f>VLOOKUP($A2192,[1]LISTA!$B:$C,2,0)</f>
        <v>SEPTIEMBRE</v>
      </c>
      <c r="C2192" s="1">
        <v>2025</v>
      </c>
      <c r="D2192" s="1" t="str">
        <f>IF($A2192&lt;=[1]RESULTADOS!$D$6,"YTD","YTG")</f>
        <v>YTD</v>
      </c>
      <c r="E2192" t="s">
        <v>622</v>
      </c>
      <c r="F2192" t="s">
        <v>667</v>
      </c>
      <c r="G2192" t="s">
        <v>667</v>
      </c>
      <c r="H2192" t="s">
        <v>668</v>
      </c>
      <c r="I2192" t="s">
        <v>76</v>
      </c>
      <c r="J2192" t="str">
        <f>IFERROR(VLOOKUP(I2192,[1]AUTOS!$C:$G,2,0),"")</f>
        <v>AVEO</v>
      </c>
      <c r="K2192">
        <f>IFERROR(VLOOKUP(I2192,[1]AUTOS!$C:$G,3,0),"")</f>
        <v>2018</v>
      </c>
      <c r="L2192" t="str">
        <f>IFERROR(VLOOKUP(I2192,[1]AUTOS!$C:$G,4,0),"")</f>
        <v>GRIS</v>
      </c>
      <c r="M2192" t="s">
        <v>43</v>
      </c>
      <c r="N2192" s="3">
        <v>2063.15</v>
      </c>
      <c r="O2192" s="3">
        <v>714.28</v>
      </c>
      <c r="P2192" s="3">
        <v>858.28</v>
      </c>
      <c r="Q2192" s="3">
        <v>144</v>
      </c>
    </row>
    <row r="2193" spans="1:17" hidden="1" x14ac:dyDescent="0.3">
      <c r="A2193">
        <v>37</v>
      </c>
      <c r="B2193" t="str">
        <f>VLOOKUP($A2193,[1]LISTA!$B:$C,2,0)</f>
        <v>SEPTIEMBRE</v>
      </c>
      <c r="C2193" s="1">
        <v>2025</v>
      </c>
      <c r="D2193" s="1" t="str">
        <f>IF($A2193&lt;=[1]RESULTADOS!$D$6,"YTD","YTG")</f>
        <v>YTD</v>
      </c>
      <c r="E2193" t="s">
        <v>563</v>
      </c>
      <c r="F2193" t="s">
        <v>667</v>
      </c>
      <c r="G2193" t="s">
        <v>667</v>
      </c>
      <c r="H2193" t="s">
        <v>668</v>
      </c>
      <c r="I2193" t="s">
        <v>61</v>
      </c>
      <c r="J2193" t="str">
        <f>IFERROR(VLOOKUP(I2193,[1]AUTOS!$C:$G,2,0),"")</f>
        <v>KIA RIO</v>
      </c>
      <c r="K2193">
        <f>IFERROR(VLOOKUP(I2193,[1]AUTOS!$C:$G,3,0),"")</f>
        <v>2017</v>
      </c>
      <c r="L2193" t="str">
        <f>IFERROR(VLOOKUP(I2193,[1]AUTOS!$C:$G,4,0),"")</f>
        <v>ROJO</v>
      </c>
      <c r="M2193" t="s">
        <v>140</v>
      </c>
      <c r="N2193" s="3">
        <v>4296.1900000000005</v>
      </c>
      <c r="O2193" s="3">
        <v>2500</v>
      </c>
      <c r="P2193" s="3">
        <v>2500</v>
      </c>
      <c r="Q2193" s="3">
        <v>0</v>
      </c>
    </row>
    <row r="2194" spans="1:17" hidden="1" x14ac:dyDescent="0.3">
      <c r="A2194">
        <v>37</v>
      </c>
      <c r="B2194" t="str">
        <f>VLOOKUP($A2194,[1]LISTA!$B:$C,2,0)</f>
        <v>SEPTIEMBRE</v>
      </c>
      <c r="C2194" s="1">
        <v>2025</v>
      </c>
      <c r="D2194" s="1" t="str">
        <f>IF($A2194&lt;=[1]RESULTADOS!$D$6,"YTD","YTG")</f>
        <v>YTD</v>
      </c>
      <c r="E2194" t="s">
        <v>434</v>
      </c>
      <c r="F2194" t="s">
        <v>667</v>
      </c>
      <c r="G2194" t="s">
        <v>667</v>
      </c>
      <c r="H2194" t="s">
        <v>668</v>
      </c>
      <c r="I2194" t="s">
        <v>34</v>
      </c>
      <c r="J2194" t="str">
        <f>IFERROR(VLOOKUP(I2194,[1]AUTOS!$C:$G,2,0),"")</f>
        <v>AVEO</v>
      </c>
      <c r="K2194">
        <f>IFERROR(VLOOKUP(I2194,[1]AUTOS!$C:$G,3,0),"")</f>
        <v>2018</v>
      </c>
      <c r="L2194" t="str">
        <f>IFERROR(VLOOKUP(I2194,[1]AUTOS!$C:$G,4,0),"")</f>
        <v>ROJO</v>
      </c>
      <c r="M2194" t="s">
        <v>140</v>
      </c>
      <c r="N2194" s="3">
        <v>28.470000000000027</v>
      </c>
      <c r="O2194" s="3">
        <v>2500</v>
      </c>
      <c r="P2194" s="3">
        <v>2816.4700000000003</v>
      </c>
      <c r="Q2194" s="3">
        <v>357</v>
      </c>
    </row>
    <row r="2195" spans="1:17" hidden="1" x14ac:dyDescent="0.3">
      <c r="A2195">
        <v>37</v>
      </c>
      <c r="B2195" t="str">
        <f>VLOOKUP($A2195,[1]LISTA!$B:$C,2,0)</f>
        <v>SEPTIEMBRE</v>
      </c>
      <c r="C2195" s="1">
        <v>2025</v>
      </c>
      <c r="D2195" s="1" t="str">
        <f>IF($A2195&lt;=[1]RESULTADOS!$D$6,"YTD","YTG")</f>
        <v>YTD</v>
      </c>
      <c r="E2195" t="s">
        <v>534</v>
      </c>
      <c r="F2195" t="s">
        <v>667</v>
      </c>
      <c r="G2195" t="s">
        <v>667</v>
      </c>
      <c r="H2195" t="s">
        <v>668</v>
      </c>
      <c r="I2195" t="s">
        <v>313</v>
      </c>
      <c r="J2195" t="str">
        <f>IFERROR(VLOOKUP(I2195,[1]AUTOS!$C:$G,2,0),"")</f>
        <v>MARCH</v>
      </c>
      <c r="K2195">
        <f>IFERROR(VLOOKUP(I2195,[1]AUTOS!$C:$G,3,0),"")</f>
        <v>2019</v>
      </c>
      <c r="L2195" t="str">
        <f>IFERROR(VLOOKUP(I2195,[1]AUTOS!$C:$G,4,0),"")</f>
        <v>TURQ</v>
      </c>
      <c r="M2195" t="s">
        <v>140</v>
      </c>
      <c r="N2195" s="3">
        <v>1349.08</v>
      </c>
      <c r="O2195" s="3">
        <v>1785.7142857142858</v>
      </c>
      <c r="P2195" s="3">
        <v>1349.08</v>
      </c>
      <c r="Q2195" s="3">
        <v>0</v>
      </c>
    </row>
    <row r="2196" spans="1:17" hidden="1" x14ac:dyDescent="0.3">
      <c r="A2196">
        <v>37</v>
      </c>
      <c r="B2196" t="str">
        <f>VLOOKUP($A2196,[1]LISTA!$B:$C,2,0)</f>
        <v>SEPTIEMBRE</v>
      </c>
      <c r="C2196" s="1">
        <v>2025</v>
      </c>
      <c r="D2196" s="1" t="str">
        <f>IF($A2196&lt;=[1]RESULTADOS!$D$6,"YTD","YTG")</f>
        <v>YTD</v>
      </c>
      <c r="E2196" t="s">
        <v>707</v>
      </c>
      <c r="F2196" t="s">
        <v>667</v>
      </c>
      <c r="G2196" t="s">
        <v>667</v>
      </c>
      <c r="H2196" t="s">
        <v>668</v>
      </c>
      <c r="I2196" t="s">
        <v>383</v>
      </c>
      <c r="J2196" t="str">
        <f>IFERROR(VLOOKUP(I2196,[1]AUTOS!$C:$G,2,0),"")</f>
        <v>VENTO</v>
      </c>
      <c r="K2196">
        <f>IFERROR(VLOOKUP(I2196,[1]AUTOS!$C:$G,3,0),"")</f>
        <v>2020</v>
      </c>
      <c r="L2196" t="str">
        <f>IFERROR(VLOOKUP(I2196,[1]AUTOS!$C:$G,4,0),"")</f>
        <v>GRIS</v>
      </c>
      <c r="M2196" t="s">
        <v>215</v>
      </c>
      <c r="N2196" s="3">
        <v>2791.3300000000004</v>
      </c>
      <c r="O2196" s="3">
        <v>2500</v>
      </c>
      <c r="P2196" s="3">
        <v>3000.3300000000004</v>
      </c>
      <c r="Q2196" s="3">
        <v>500</v>
      </c>
    </row>
    <row r="2197" spans="1:17" x14ac:dyDescent="0.3">
      <c r="A2197">
        <v>37</v>
      </c>
      <c r="B2197" t="str">
        <f>VLOOKUP($A2197,[1]LISTA!$B:$C,2,0)</f>
        <v>SEPTIEMBRE</v>
      </c>
      <c r="C2197" s="1">
        <v>2025</v>
      </c>
      <c r="D2197" s="1" t="str">
        <f>IF($A2197&lt;=[1]RESULTADOS!$D$6,"YTD","YTG")</f>
        <v>YTD</v>
      </c>
      <c r="E2197" t="s">
        <v>403</v>
      </c>
      <c r="F2197" t="s">
        <v>667</v>
      </c>
      <c r="G2197" t="s">
        <v>667</v>
      </c>
      <c r="H2197" t="s">
        <v>668</v>
      </c>
      <c r="I2197" t="s">
        <v>72</v>
      </c>
      <c r="J2197" t="str">
        <f>IFERROR(VLOOKUP(I2197,[1]AUTOS!$C:$G,2,0),"")</f>
        <v>VENTO</v>
      </c>
      <c r="K2197">
        <f>IFERROR(VLOOKUP(I2197,[1]AUTOS!$C:$G,3,0),"")</f>
        <v>2020</v>
      </c>
      <c r="L2197" t="str">
        <f>IFERROR(VLOOKUP(I2197,[1]AUTOS!$C:$G,4,0),"")</f>
        <v>GRIS</v>
      </c>
      <c r="M2197" t="s">
        <v>43</v>
      </c>
      <c r="N2197" s="3">
        <v>2928.84</v>
      </c>
      <c r="O2197" s="3">
        <v>2500</v>
      </c>
      <c r="P2197" s="3">
        <v>3499.84</v>
      </c>
      <c r="Q2197" s="3">
        <v>0</v>
      </c>
    </row>
    <row r="2198" spans="1:17" hidden="1" x14ac:dyDescent="0.3">
      <c r="A2198">
        <v>37</v>
      </c>
      <c r="B2198" t="str">
        <f>VLOOKUP($A2198,[1]LISTA!$B:$C,2,0)</f>
        <v>SEPTIEMBRE</v>
      </c>
      <c r="C2198" s="1">
        <v>2025</v>
      </c>
      <c r="D2198" s="1" t="str">
        <f>IF($A2198&lt;=[1]RESULTADOS!$D$6,"YTD","YTG")</f>
        <v>YTD</v>
      </c>
      <c r="E2198" t="s">
        <v>470</v>
      </c>
      <c r="F2198" t="s">
        <v>667</v>
      </c>
      <c r="G2198" t="s">
        <v>667</v>
      </c>
      <c r="H2198" t="s">
        <v>668</v>
      </c>
      <c r="I2198" t="s">
        <v>73</v>
      </c>
      <c r="J2198" t="str">
        <f>IFERROR(VLOOKUP(I2198,[1]AUTOS!$C:$G,2,0),"")</f>
        <v>VERSA</v>
      </c>
      <c r="K2198">
        <f>IFERROR(VLOOKUP(I2198,[1]AUTOS!$C:$G,3,0),"")</f>
        <v>2023</v>
      </c>
      <c r="L2198" t="str">
        <f>IFERROR(VLOOKUP(I2198,[1]AUTOS!$C:$G,4,0),"")</f>
        <v>PLATA</v>
      </c>
      <c r="M2198" t="s">
        <v>43</v>
      </c>
      <c r="N2198" s="3">
        <v>2964.62</v>
      </c>
      <c r="O2198" s="3">
        <v>2500</v>
      </c>
      <c r="P2198" s="3">
        <v>3964.62</v>
      </c>
      <c r="Q2198" s="3">
        <v>0</v>
      </c>
    </row>
    <row r="2199" spans="1:17" hidden="1" x14ac:dyDescent="0.3">
      <c r="A2199">
        <v>37</v>
      </c>
      <c r="B2199" t="str">
        <f>VLOOKUP($A2199,[1]LISTA!$B:$C,2,0)</f>
        <v>SEPTIEMBRE</v>
      </c>
      <c r="C2199" s="1">
        <v>2025</v>
      </c>
      <c r="D2199" s="1" t="str">
        <f>IF($A2199&lt;=[1]RESULTADOS!$D$6,"YTD","YTG")</f>
        <v>YTD</v>
      </c>
      <c r="E2199" t="s">
        <v>402</v>
      </c>
      <c r="F2199" t="s">
        <v>667</v>
      </c>
      <c r="G2199" t="s">
        <v>667</v>
      </c>
      <c r="H2199" t="s">
        <v>668</v>
      </c>
      <c r="I2199" t="s">
        <v>59</v>
      </c>
      <c r="J2199" t="str">
        <f>IFERROR(VLOOKUP(I2199,[1]AUTOS!$C:$G,2,0),"")</f>
        <v>AVEO</v>
      </c>
      <c r="K2199">
        <f>IFERROR(VLOOKUP(I2199,[1]AUTOS!$C:$G,3,0),"")</f>
        <v>2019</v>
      </c>
      <c r="L2199" t="str">
        <f>IFERROR(VLOOKUP(I2199,[1]AUTOS!$C:$G,4,0),"")</f>
        <v>BLANCO</v>
      </c>
      <c r="M2199" t="s">
        <v>43</v>
      </c>
      <c r="N2199" s="3">
        <v>927.7700000000001</v>
      </c>
      <c r="O2199" s="3">
        <v>2500</v>
      </c>
      <c r="P2199" s="3">
        <v>2484.77</v>
      </c>
      <c r="Q2199" s="3">
        <v>0</v>
      </c>
    </row>
    <row r="2200" spans="1:17" hidden="1" x14ac:dyDescent="0.3">
      <c r="A2200">
        <v>37</v>
      </c>
      <c r="B2200" t="str">
        <f>VLOOKUP($A2200,[1]LISTA!$B:$C,2,0)</f>
        <v>SEPTIEMBRE</v>
      </c>
      <c r="C2200" s="1">
        <v>2025</v>
      </c>
      <c r="D2200" s="1" t="str">
        <f>IF($A2200&lt;=[1]RESULTADOS!$D$6,"YTD","YTG")</f>
        <v>YTD</v>
      </c>
      <c r="E2200" t="s">
        <v>496</v>
      </c>
      <c r="F2200" t="s">
        <v>667</v>
      </c>
      <c r="G2200" t="s">
        <v>667</v>
      </c>
      <c r="H2200" t="s">
        <v>668</v>
      </c>
      <c r="I2200" t="s">
        <v>42</v>
      </c>
      <c r="J2200" t="str">
        <f>IFERROR(VLOOKUP(I2200,[1]AUTOS!$C:$G,2,0),"")</f>
        <v>VENTO</v>
      </c>
      <c r="K2200">
        <f>IFERROR(VLOOKUP(I2200,[1]AUTOS!$C:$G,3,0),"")</f>
        <v>2018</v>
      </c>
      <c r="L2200" t="str">
        <f>IFERROR(VLOOKUP(I2200,[1]AUTOS!$C:$G,4,0),"")</f>
        <v>AMARILLO</v>
      </c>
      <c r="M2200" t="s">
        <v>43</v>
      </c>
      <c r="N2200" s="3">
        <v>2203.9</v>
      </c>
      <c r="O2200" s="3">
        <v>892.85</v>
      </c>
      <c r="P2200" s="3">
        <v>1392.85</v>
      </c>
      <c r="Q2200" s="3">
        <v>500</v>
      </c>
    </row>
    <row r="2201" spans="1:17" hidden="1" x14ac:dyDescent="0.3">
      <c r="A2201">
        <v>37</v>
      </c>
      <c r="B2201" t="str">
        <f>VLOOKUP($A2201,[1]LISTA!$B:$C,2,0)</f>
        <v>SEPTIEMBRE</v>
      </c>
      <c r="C2201" s="1">
        <v>2025</v>
      </c>
      <c r="D2201" s="1" t="str">
        <f>IF($A2201&lt;=[1]RESULTADOS!$D$6,"YTD","YTG")</f>
        <v>YTD</v>
      </c>
      <c r="E2201" t="s">
        <v>496</v>
      </c>
      <c r="F2201" t="s">
        <v>667</v>
      </c>
      <c r="G2201" t="s">
        <v>667</v>
      </c>
      <c r="H2201" t="s">
        <v>668</v>
      </c>
      <c r="I2201" t="s">
        <v>547</v>
      </c>
      <c r="J2201" t="str">
        <f>IFERROR(VLOOKUP(I2201,[1]AUTOS!$C:$G,2,0),"")</f>
        <v>AVEO</v>
      </c>
      <c r="K2201">
        <f>IFERROR(VLOOKUP(I2201,[1]AUTOS!$C:$G,3,0),"")</f>
        <v>2022</v>
      </c>
      <c r="L2201" t="str">
        <f>IFERROR(VLOOKUP(I2201,[1]AUTOS!$C:$G,4,0),"")</f>
        <v>VINO</v>
      </c>
      <c r="M2201" t="s">
        <v>140</v>
      </c>
      <c r="N2201" s="3">
        <v>3452.9000000000005</v>
      </c>
      <c r="O2201" s="3">
        <v>892.85</v>
      </c>
      <c r="P2201" s="3">
        <v>892.84999999999991</v>
      </c>
      <c r="Q2201" s="3">
        <v>0</v>
      </c>
    </row>
    <row r="2202" spans="1:17" hidden="1" x14ac:dyDescent="0.3">
      <c r="A2202">
        <v>37</v>
      </c>
      <c r="B2202" t="str">
        <f>VLOOKUP($A2202,[1]LISTA!$B:$C,2,0)</f>
        <v>SEPTIEMBRE</v>
      </c>
      <c r="C2202" s="1">
        <v>2025</v>
      </c>
      <c r="D2202" s="1" t="str">
        <f>IF($A2202&lt;=[1]RESULTADOS!$D$6,"YTD","YTG")</f>
        <v>YTD</v>
      </c>
      <c r="E2202" t="s">
        <v>416</v>
      </c>
      <c r="F2202" t="s">
        <v>667</v>
      </c>
      <c r="G2202" t="s">
        <v>667</v>
      </c>
      <c r="H2202" t="s">
        <v>668</v>
      </c>
      <c r="I2202" t="s">
        <v>495</v>
      </c>
      <c r="J2202" t="str">
        <f>IFERROR(VLOOKUP(I2202,[1]AUTOS!$C:$G,2,0),"")</f>
        <v>VERSA</v>
      </c>
      <c r="K2202">
        <f>IFERROR(VLOOKUP(I2202,[1]AUTOS!$C:$G,3,0),"")</f>
        <v>2021</v>
      </c>
      <c r="L2202" t="str">
        <f>IFERROR(VLOOKUP(I2202,[1]AUTOS!$C:$G,4,0),"")</f>
        <v>BLANCO</v>
      </c>
      <c r="M2202" t="s">
        <v>140</v>
      </c>
      <c r="N2202" s="3">
        <v>3959.22</v>
      </c>
      <c r="O2202" s="3">
        <v>2500</v>
      </c>
      <c r="P2202" s="3">
        <v>3000</v>
      </c>
      <c r="Q2202" s="3">
        <v>500</v>
      </c>
    </row>
    <row r="2203" spans="1:17" hidden="1" x14ac:dyDescent="0.3">
      <c r="A2203">
        <v>37</v>
      </c>
      <c r="B2203" t="str">
        <f>VLOOKUP($A2203,[1]LISTA!$B:$C,2,0)</f>
        <v>SEPTIEMBRE</v>
      </c>
      <c r="C2203" s="1">
        <v>2025</v>
      </c>
      <c r="D2203" s="1" t="str">
        <f>IF($A2203&lt;=[1]RESULTADOS!$D$6,"YTD","YTG")</f>
        <v>YTD</v>
      </c>
      <c r="E2203" t="s">
        <v>708</v>
      </c>
      <c r="F2203" t="s">
        <v>667</v>
      </c>
      <c r="G2203" t="s">
        <v>667</v>
      </c>
      <c r="H2203" t="s">
        <v>668</v>
      </c>
      <c r="I2203" t="s">
        <v>384</v>
      </c>
      <c r="J2203" t="str">
        <f>IFERROR(VLOOKUP(I2203,[1]AUTOS!$C:$G,2,0),"")</f>
        <v>MARCH</v>
      </c>
      <c r="K2203">
        <f>IFERROR(VLOOKUP(I2203,[1]AUTOS!$C:$G,3,0),"")</f>
        <v>2022</v>
      </c>
      <c r="L2203" t="str">
        <f>IFERROR(VLOOKUP(I2203,[1]AUTOS!$C:$G,4,0),"")</f>
        <v>BLANCO</v>
      </c>
      <c r="M2203" t="s">
        <v>215</v>
      </c>
      <c r="N2203" s="3">
        <v>1930.55</v>
      </c>
      <c r="O2203" s="3">
        <v>1931</v>
      </c>
      <c r="P2203" s="3">
        <v>1930.55</v>
      </c>
      <c r="Q2203" s="3">
        <v>0</v>
      </c>
    </row>
    <row r="2204" spans="1:17" hidden="1" x14ac:dyDescent="0.3">
      <c r="A2204">
        <v>37</v>
      </c>
      <c r="B2204" t="str">
        <f>VLOOKUP($A2204,[1]LISTA!$B:$C,2,0)</f>
        <v>SEPTIEMBRE</v>
      </c>
      <c r="C2204" s="1">
        <v>2025</v>
      </c>
      <c r="D2204" s="1" t="str">
        <f>IF($A2204&lt;=[1]RESULTADOS!$D$6,"YTD","YTG")</f>
        <v>YTD</v>
      </c>
      <c r="E2204" t="s">
        <v>377</v>
      </c>
      <c r="F2204" t="s">
        <v>667</v>
      </c>
      <c r="G2204" t="s">
        <v>667</v>
      </c>
      <c r="H2204" t="s">
        <v>668</v>
      </c>
      <c r="I2204" t="s">
        <v>42</v>
      </c>
      <c r="J2204" t="str">
        <f>IFERROR(VLOOKUP(I2204,[1]AUTOS!$C:$G,2,0),"")</f>
        <v>VENTO</v>
      </c>
      <c r="K2204">
        <f>IFERROR(VLOOKUP(I2204,[1]AUTOS!$C:$G,3,0),"")</f>
        <v>2018</v>
      </c>
      <c r="L2204" t="str">
        <f>IFERROR(VLOOKUP(I2204,[1]AUTOS!$C:$G,4,0),"")</f>
        <v>AMARILLO</v>
      </c>
      <c r="M2204" t="s">
        <v>43</v>
      </c>
      <c r="N2204" s="3">
        <v>748.78</v>
      </c>
      <c r="O2204" s="3">
        <v>1786</v>
      </c>
      <c r="P2204" s="3">
        <v>2748.7799999999997</v>
      </c>
      <c r="Q2204" s="3">
        <v>0</v>
      </c>
    </row>
    <row r="2205" spans="1:17" hidden="1" x14ac:dyDescent="0.3">
      <c r="A2205">
        <v>38</v>
      </c>
      <c r="B2205" t="str">
        <f>VLOOKUP($A2205,[1]LISTA!$B:$C,2,0)</f>
        <v>SEPTIEMBRE</v>
      </c>
      <c r="C2205" s="1">
        <v>2025</v>
      </c>
      <c r="D2205" s="1" t="str">
        <f>IF($A2205&lt;=[1]RESULTADOS!$D$6,"YTD","YTG")</f>
        <v>YTD</v>
      </c>
      <c r="E2205" t="s">
        <v>497</v>
      </c>
      <c r="F2205" t="s">
        <v>667</v>
      </c>
      <c r="G2205" t="s">
        <v>667</v>
      </c>
      <c r="H2205" t="s">
        <v>668</v>
      </c>
      <c r="I2205" t="s">
        <v>116</v>
      </c>
      <c r="J2205" t="str">
        <f>IFERROR(VLOOKUP(I2205,[1]AUTOS!$C:$G,2,0),"")</f>
        <v>AVEO</v>
      </c>
      <c r="K2205">
        <f>IFERROR(VLOOKUP(I2205,[1]AUTOS!$C:$G,3,0),"")</f>
        <v>2022</v>
      </c>
      <c r="L2205" t="str">
        <f>IFERROR(VLOOKUP(I2205,[1]AUTOS!$C:$G,4,0),"")</f>
        <v>AZUL</v>
      </c>
      <c r="M2205" t="s">
        <v>43</v>
      </c>
      <c r="N2205" s="3">
        <v>2456.4899999999993</v>
      </c>
      <c r="O2205" s="3">
        <v>2143</v>
      </c>
      <c r="P2205" s="3">
        <v>2575.4899999999993</v>
      </c>
      <c r="Q2205" s="3">
        <v>500</v>
      </c>
    </row>
    <row r="2206" spans="1:17" hidden="1" x14ac:dyDescent="0.3">
      <c r="A2206">
        <v>38</v>
      </c>
      <c r="B2206" t="str">
        <f>VLOOKUP($A2206,[1]LISTA!$B:$C,2,0)</f>
        <v>SEPTIEMBRE</v>
      </c>
      <c r="C2206" s="1">
        <v>2025</v>
      </c>
      <c r="D2206" s="1" t="str">
        <f>IF($A2206&lt;=[1]RESULTADOS!$D$6,"YTD","YTG")</f>
        <v>YTD</v>
      </c>
      <c r="E2206" t="s">
        <v>492</v>
      </c>
      <c r="F2206" t="s">
        <v>667</v>
      </c>
      <c r="G2206" t="s">
        <v>667</v>
      </c>
      <c r="H2206" t="s">
        <v>668</v>
      </c>
      <c r="I2206" t="s">
        <v>144</v>
      </c>
      <c r="J2206" t="str">
        <f>IFERROR(VLOOKUP(I2206,[1]AUTOS!$C:$G,2,0),"")</f>
        <v>VERSA</v>
      </c>
      <c r="K2206">
        <f>IFERROR(VLOOKUP(I2206,[1]AUTOS!$C:$G,3,0),"")</f>
        <v>2020</v>
      </c>
      <c r="L2206" t="str">
        <f>IFERROR(VLOOKUP(I2206,[1]AUTOS!$C:$G,4,0),"")</f>
        <v>ROJO</v>
      </c>
      <c r="M2206" t="s">
        <v>43</v>
      </c>
      <c r="N2206" s="3">
        <v>0</v>
      </c>
      <c r="O2206" s="3">
        <v>2500</v>
      </c>
      <c r="P2206" s="3">
        <v>2500</v>
      </c>
      <c r="Q2206" s="3">
        <v>0</v>
      </c>
    </row>
    <row r="2207" spans="1:17" hidden="1" x14ac:dyDescent="0.3">
      <c r="A2207">
        <v>38</v>
      </c>
      <c r="B2207" t="str">
        <f>VLOOKUP($A2207,[1]LISTA!$B:$C,2,0)</f>
        <v>SEPTIEMBRE</v>
      </c>
      <c r="C2207" s="1">
        <v>2025</v>
      </c>
      <c r="D2207" s="1" t="str">
        <f>IF($A2207&lt;=[1]RESULTADOS!$D$6,"YTD","YTG")</f>
        <v>YTD</v>
      </c>
      <c r="E2207" t="s">
        <v>705</v>
      </c>
      <c r="F2207" t="s">
        <v>667</v>
      </c>
      <c r="G2207" t="s">
        <v>667</v>
      </c>
      <c r="H2207" t="s">
        <v>668</v>
      </c>
      <c r="I2207" t="s">
        <v>82</v>
      </c>
      <c r="J2207" t="str">
        <f>IFERROR(VLOOKUP(I2207,[1]AUTOS!$C:$G,2,0),"")</f>
        <v>AVEO</v>
      </c>
      <c r="K2207">
        <f>IFERROR(VLOOKUP(I2207,[1]AUTOS!$C:$G,3,0),"")</f>
        <v>2019</v>
      </c>
      <c r="L2207" t="str">
        <f>IFERROR(VLOOKUP(I2207,[1]AUTOS!$C:$G,4,0),"")</f>
        <v>PLATA</v>
      </c>
      <c r="M2207" t="s">
        <v>43</v>
      </c>
      <c r="N2207" s="3">
        <v>6627.8300000000008</v>
      </c>
      <c r="O2207" s="3">
        <v>2500</v>
      </c>
      <c r="P2207" s="3">
        <v>3000</v>
      </c>
      <c r="Q2207" s="3">
        <v>500</v>
      </c>
    </row>
    <row r="2208" spans="1:17" hidden="1" x14ac:dyDescent="0.3">
      <c r="A2208">
        <v>38</v>
      </c>
      <c r="B2208" t="str">
        <f>VLOOKUP($A2208,[1]LISTA!$B:$C,2,0)</f>
        <v>SEPTIEMBRE</v>
      </c>
      <c r="C2208" s="1">
        <v>2025</v>
      </c>
      <c r="D2208" s="1" t="str">
        <f>IF($A2208&lt;=[1]RESULTADOS!$D$6,"YTD","YTG")</f>
        <v>YTD</v>
      </c>
      <c r="E2208" t="s">
        <v>691</v>
      </c>
      <c r="F2208" t="s">
        <v>667</v>
      </c>
      <c r="G2208" t="s">
        <v>667</v>
      </c>
      <c r="H2208" t="s">
        <v>668</v>
      </c>
      <c r="I2208" t="s">
        <v>139</v>
      </c>
      <c r="J2208" t="str">
        <f>IFERROR(VLOOKUP(I2208,[1]AUTOS!$C:$G,2,0),"")</f>
        <v>SWIFT</v>
      </c>
      <c r="K2208">
        <f>IFERROR(VLOOKUP(I2208,[1]AUTOS!$C:$G,3,0),"")</f>
        <v>2017</v>
      </c>
      <c r="L2208" t="str">
        <f>IFERROR(VLOOKUP(I2208,[1]AUTOS!$C:$G,4,0),"")</f>
        <v>ROJO</v>
      </c>
      <c r="M2208" t="s">
        <v>140</v>
      </c>
      <c r="N2208" s="3">
        <v>3783.5800000000004</v>
      </c>
      <c r="O2208" s="3">
        <v>2500</v>
      </c>
      <c r="P2208" s="3">
        <v>2900</v>
      </c>
      <c r="Q2208" s="3">
        <v>0</v>
      </c>
    </row>
    <row r="2209" spans="1:17" hidden="1" x14ac:dyDescent="0.3">
      <c r="A2209">
        <v>38</v>
      </c>
      <c r="B2209" t="str">
        <f>VLOOKUP($A2209,[1]LISTA!$B:$C,2,0)</f>
        <v>SEPTIEMBRE</v>
      </c>
      <c r="C2209" s="1">
        <v>2025</v>
      </c>
      <c r="D2209" s="1" t="str">
        <f>IF($A2209&lt;=[1]RESULTADOS!$D$6,"YTD","YTG")</f>
        <v>YTD</v>
      </c>
      <c r="E2209" t="s">
        <v>486</v>
      </c>
      <c r="F2209" t="s">
        <v>667</v>
      </c>
      <c r="G2209" t="s">
        <v>667</v>
      </c>
      <c r="H2209" t="s">
        <v>668</v>
      </c>
      <c r="I2209" t="s">
        <v>46</v>
      </c>
      <c r="J2209" t="str">
        <f>IFERROR(VLOOKUP(I2209,[1]AUTOS!$C:$G,2,0),"")</f>
        <v>MARCH</v>
      </c>
      <c r="K2209">
        <f>IFERROR(VLOOKUP(I2209,[1]AUTOS!$C:$G,3,0),"")</f>
        <v>2020</v>
      </c>
      <c r="L2209" t="str">
        <f>IFERROR(VLOOKUP(I2209,[1]AUTOS!$C:$G,4,0),"")</f>
        <v>TURQ</v>
      </c>
      <c r="M2209" t="s">
        <v>43</v>
      </c>
      <c r="N2209" s="3">
        <v>3579.0899999999997</v>
      </c>
      <c r="O2209" s="3">
        <v>2321</v>
      </c>
      <c r="P2209" s="3">
        <v>3469</v>
      </c>
      <c r="Q2209" s="3">
        <v>500</v>
      </c>
    </row>
    <row r="2210" spans="1:17" hidden="1" x14ac:dyDescent="0.3">
      <c r="A2210">
        <v>38</v>
      </c>
      <c r="B2210" t="str">
        <f>VLOOKUP($A2210,[1]LISTA!$B:$C,2,0)</f>
        <v>SEPTIEMBRE</v>
      </c>
      <c r="C2210" s="1">
        <v>2025</v>
      </c>
      <c r="D2210" s="1" t="str">
        <f>IF($A2210&lt;=[1]RESULTADOS!$D$6,"YTD","YTG")</f>
        <v>YTD</v>
      </c>
      <c r="E2210" t="s">
        <v>399</v>
      </c>
      <c r="F2210" t="s">
        <v>667</v>
      </c>
      <c r="G2210" t="s">
        <v>667</v>
      </c>
      <c r="H2210" t="s">
        <v>668</v>
      </c>
      <c r="I2210" t="s">
        <v>162</v>
      </c>
      <c r="J2210" t="str">
        <f>IFERROR(VLOOKUP(I2210,[1]AUTOS!$C:$G,2,0),"")</f>
        <v>HYUNDAI</v>
      </c>
      <c r="K2210">
        <f>IFERROR(VLOOKUP(I2210,[1]AUTOS!$C:$G,3,0),"")</f>
        <v>2022</v>
      </c>
      <c r="L2210" t="str">
        <f>IFERROR(VLOOKUP(I2210,[1]AUTOS!$C:$G,4,0),"")</f>
        <v>PLATA</v>
      </c>
      <c r="M2210" t="s">
        <v>43</v>
      </c>
      <c r="N2210" s="3">
        <v>6017.99</v>
      </c>
      <c r="O2210" s="3">
        <v>2321</v>
      </c>
      <c r="P2210" s="3">
        <v>3321</v>
      </c>
      <c r="Q2210" s="3">
        <v>0</v>
      </c>
    </row>
    <row r="2211" spans="1:17" hidden="1" x14ac:dyDescent="0.3">
      <c r="A2211">
        <v>38</v>
      </c>
      <c r="B2211" t="str">
        <f>VLOOKUP($A2211,[1]LISTA!$B:$C,2,0)</f>
        <v>SEPTIEMBRE</v>
      </c>
      <c r="C2211" s="1">
        <v>2025</v>
      </c>
      <c r="D2211" s="1" t="str">
        <f>IF($A2211&lt;=[1]RESULTADOS!$D$6,"YTD","YTG")</f>
        <v>YTD</v>
      </c>
      <c r="E2211" t="s">
        <v>704</v>
      </c>
      <c r="F2211" t="s">
        <v>667</v>
      </c>
      <c r="G2211" t="s">
        <v>667</v>
      </c>
      <c r="H2211" t="s">
        <v>668</v>
      </c>
      <c r="I2211" t="s">
        <v>37</v>
      </c>
      <c r="J2211" t="str">
        <f>IFERROR(VLOOKUP(I2211,[1]AUTOS!$C:$G,2,0),"")</f>
        <v>BEAT</v>
      </c>
      <c r="K2211">
        <f>IFERROR(VLOOKUP(I2211,[1]AUTOS!$C:$G,3,0),"")</f>
        <v>2020</v>
      </c>
      <c r="L2211" t="str">
        <f>IFERROR(VLOOKUP(I2211,[1]AUTOS!$C:$G,4,0),"")</f>
        <v>GRIS</v>
      </c>
      <c r="M2211" t="s">
        <v>140</v>
      </c>
      <c r="N2211" s="3">
        <v>2184.4699999999993</v>
      </c>
      <c r="O2211" s="3">
        <v>2500</v>
      </c>
      <c r="P2211" s="3">
        <v>2500.4699999999993</v>
      </c>
      <c r="Q2211" s="3">
        <v>0</v>
      </c>
    </row>
    <row r="2212" spans="1:17" hidden="1" x14ac:dyDescent="0.3">
      <c r="A2212">
        <v>38</v>
      </c>
      <c r="B2212" t="str">
        <f>VLOOKUP($A2212,[1]LISTA!$B:$C,2,0)</f>
        <v>SEPTIEMBRE</v>
      </c>
      <c r="C2212" s="1">
        <v>2025</v>
      </c>
      <c r="D2212" s="1" t="str">
        <f>IF($A2212&lt;=[1]RESULTADOS!$D$6,"YTD","YTG")</f>
        <v>YTD</v>
      </c>
      <c r="E2212" t="s">
        <v>478</v>
      </c>
      <c r="F2212" t="s">
        <v>667</v>
      </c>
      <c r="G2212" t="s">
        <v>667</v>
      </c>
      <c r="H2212" t="s">
        <v>668</v>
      </c>
      <c r="I2212" t="s">
        <v>185</v>
      </c>
      <c r="J2212" t="str">
        <f>IFERROR(VLOOKUP(I2212,[1]AUTOS!$C:$G,2,0),"")</f>
        <v>MARCH</v>
      </c>
      <c r="K2212">
        <f>IFERROR(VLOOKUP(I2212,[1]AUTOS!$C:$G,3,0),"")</f>
        <v>2021</v>
      </c>
      <c r="L2212" t="str">
        <f>IFERROR(VLOOKUP(I2212,[1]AUTOS!$C:$G,4,0),"")</f>
        <v>ROJO</v>
      </c>
      <c r="M2212" t="s">
        <v>43</v>
      </c>
      <c r="N2212" s="3">
        <v>1221.1300000000001</v>
      </c>
      <c r="O2212" s="3">
        <v>1785.71</v>
      </c>
      <c r="P2212" s="3">
        <v>1826.13</v>
      </c>
      <c r="Q2212" s="3">
        <v>0</v>
      </c>
    </row>
    <row r="2213" spans="1:17" hidden="1" x14ac:dyDescent="0.3">
      <c r="A2213">
        <v>38</v>
      </c>
      <c r="B2213" t="str">
        <f>VLOOKUP($A2213,[1]LISTA!$B:$C,2,0)</f>
        <v>SEPTIEMBRE</v>
      </c>
      <c r="C2213" s="1">
        <v>2025</v>
      </c>
      <c r="D2213" s="1" t="str">
        <f>IF($A2213&lt;=[1]RESULTADOS!$D$6,"YTD","YTG")</f>
        <v>YTD</v>
      </c>
      <c r="E2213" t="s">
        <v>478</v>
      </c>
      <c r="F2213" t="s">
        <v>667</v>
      </c>
      <c r="G2213" t="s">
        <v>667</v>
      </c>
      <c r="H2213" t="s">
        <v>668</v>
      </c>
      <c r="I2213" t="s">
        <v>510</v>
      </c>
      <c r="J2213" t="str">
        <f>IFERROR(VLOOKUP(I2213,[1]AUTOS!$C:$G,2,0),"")</f>
        <v>AVEO</v>
      </c>
      <c r="K2213">
        <f>IFERROR(VLOOKUP(I2213,[1]AUTOS!$C:$G,3,0),"")</f>
        <v>2023</v>
      </c>
      <c r="L2213" t="str">
        <f>IFERROR(VLOOKUP(I2213,[1]AUTOS!$C:$G,4,0),"")</f>
        <v>GRIS</v>
      </c>
      <c r="M2213" t="s">
        <v>140</v>
      </c>
      <c r="N2213" s="3">
        <v>439.38999999999942</v>
      </c>
      <c r="O2213" s="3">
        <v>714</v>
      </c>
      <c r="P2213" s="3">
        <v>714.38999999999942</v>
      </c>
      <c r="Q2213" s="3">
        <v>0</v>
      </c>
    </row>
    <row r="2214" spans="1:17" hidden="1" x14ac:dyDescent="0.3">
      <c r="A2214">
        <v>38</v>
      </c>
      <c r="B2214" t="str">
        <f>VLOOKUP($A2214,[1]LISTA!$B:$C,2,0)</f>
        <v>SEPTIEMBRE</v>
      </c>
      <c r="C2214" s="1">
        <v>2025</v>
      </c>
      <c r="D2214" s="1" t="str">
        <f>IF($A2214&lt;=[1]RESULTADOS!$D$6,"YTD","YTG")</f>
        <v>YTD</v>
      </c>
      <c r="E2214" t="s">
        <v>533</v>
      </c>
      <c r="F2214" t="s">
        <v>667</v>
      </c>
      <c r="G2214" t="s">
        <v>667</v>
      </c>
      <c r="H2214" t="s">
        <v>668</v>
      </c>
      <c r="I2214" t="s">
        <v>366</v>
      </c>
      <c r="J2214" t="str">
        <f>IFERROR(VLOOKUP(I2214,[1]AUTOS!$C:$G,2,0),"")</f>
        <v>VENTO</v>
      </c>
      <c r="K2214">
        <f>IFERROR(VLOOKUP(I2214,[1]AUTOS!$C:$G,3,0),"")</f>
        <v>2019</v>
      </c>
      <c r="L2214" t="str">
        <f>IFERROR(VLOOKUP(I2214,[1]AUTOS!$C:$G,4,0),"")</f>
        <v>BLANCO</v>
      </c>
      <c r="M2214" t="s">
        <v>215</v>
      </c>
      <c r="N2214" s="3">
        <v>0</v>
      </c>
      <c r="O2214" s="3">
        <v>2500</v>
      </c>
      <c r="P2214" s="3">
        <v>2500</v>
      </c>
      <c r="Q2214" s="3">
        <v>0</v>
      </c>
    </row>
    <row r="2215" spans="1:17" hidden="1" x14ac:dyDescent="0.3">
      <c r="A2215">
        <v>38</v>
      </c>
      <c r="B2215" t="str">
        <f>VLOOKUP($A2215,[1]LISTA!$B:$C,2,0)</f>
        <v>SEPTIEMBRE</v>
      </c>
      <c r="C2215" s="1">
        <v>2025</v>
      </c>
      <c r="D2215" s="1" t="str">
        <f>IF($A2215&lt;=[1]RESULTADOS!$D$6,"YTD","YTG")</f>
        <v>YTD</v>
      </c>
      <c r="E2215" t="s">
        <v>436</v>
      </c>
      <c r="F2215" t="s">
        <v>667</v>
      </c>
      <c r="G2215" t="s">
        <v>667</v>
      </c>
      <c r="H2215" t="s">
        <v>668</v>
      </c>
      <c r="I2215" t="s">
        <v>112</v>
      </c>
      <c r="J2215" t="str">
        <f>IFERROR(VLOOKUP(I2215,[1]AUTOS!$C:$G,2,0),"")</f>
        <v>KIA RIO</v>
      </c>
      <c r="K2215">
        <f>IFERROR(VLOOKUP(I2215,[1]AUTOS!$C:$G,3,0),"")</f>
        <v>2020</v>
      </c>
      <c r="L2215" t="str">
        <f>IFERROR(VLOOKUP(I2215,[1]AUTOS!$C:$G,4,0),"")</f>
        <v>ROJO</v>
      </c>
      <c r="M2215" t="s">
        <v>140</v>
      </c>
      <c r="N2215" s="3">
        <v>3584.3500000000004</v>
      </c>
      <c r="O2215" s="3">
        <v>2500</v>
      </c>
      <c r="P2215" s="3">
        <v>3584.3500000000004</v>
      </c>
      <c r="Q2215" s="3">
        <v>0</v>
      </c>
    </row>
    <row r="2216" spans="1:17" hidden="1" x14ac:dyDescent="0.3">
      <c r="A2216">
        <v>38</v>
      </c>
      <c r="B2216" t="str">
        <f>VLOOKUP($A2216,[1]LISTA!$B:$C,2,0)</f>
        <v>SEPTIEMBRE</v>
      </c>
      <c r="C2216" s="1">
        <v>2025</v>
      </c>
      <c r="D2216" s="1" t="str">
        <f>IF($A2216&lt;=[1]RESULTADOS!$D$6,"YTD","YTG")</f>
        <v>YTD</v>
      </c>
      <c r="E2216" t="s">
        <v>642</v>
      </c>
      <c r="F2216" t="s">
        <v>667</v>
      </c>
      <c r="G2216" t="s">
        <v>667</v>
      </c>
      <c r="H2216" t="s">
        <v>668</v>
      </c>
      <c r="I2216" t="s">
        <v>370</v>
      </c>
      <c r="J2216" t="str">
        <f>IFERROR(VLOOKUP(I2216,[1]AUTOS!$C:$G,2,0),"")</f>
        <v>KIA RIO</v>
      </c>
      <c r="K2216">
        <f>IFERROR(VLOOKUP(I2216,[1]AUTOS!$C:$G,3,0),"")</f>
        <v>2020</v>
      </c>
      <c r="L2216" t="str">
        <f>IFERROR(VLOOKUP(I2216,[1]AUTOS!$C:$G,4,0),"")</f>
        <v>AZUL</v>
      </c>
      <c r="M2216" t="s">
        <v>215</v>
      </c>
      <c r="N2216" s="3">
        <v>0</v>
      </c>
      <c r="O2216" s="3">
        <v>2500</v>
      </c>
      <c r="P2216" s="3">
        <v>2500</v>
      </c>
      <c r="Q2216" s="3">
        <v>0</v>
      </c>
    </row>
    <row r="2217" spans="1:17" hidden="1" x14ac:dyDescent="0.3">
      <c r="A2217">
        <v>38</v>
      </c>
      <c r="B2217" t="str">
        <f>VLOOKUP($A2217,[1]LISTA!$B:$C,2,0)</f>
        <v>SEPTIEMBRE</v>
      </c>
      <c r="C2217" s="1">
        <v>2025</v>
      </c>
      <c r="D2217" s="1" t="str">
        <f>IF($A2217&lt;=[1]RESULTADOS!$D$6,"YTD","YTG")</f>
        <v>YTD</v>
      </c>
      <c r="E2217" t="s">
        <v>706</v>
      </c>
      <c r="F2217" t="s">
        <v>667</v>
      </c>
      <c r="G2217" t="s">
        <v>667</v>
      </c>
      <c r="H2217" t="s">
        <v>668</v>
      </c>
      <c r="I2217" t="s">
        <v>131</v>
      </c>
      <c r="J2217" t="str">
        <f>IFERROR(VLOOKUP(I2217,[1]AUTOS!$C:$G,2,0),"")</f>
        <v>AVEO</v>
      </c>
      <c r="K2217">
        <f>IFERROR(VLOOKUP(I2217,[1]AUTOS!$C:$G,3,0),"")</f>
        <v>2024</v>
      </c>
      <c r="L2217" t="str">
        <f>IFERROR(VLOOKUP(I2217,[1]AUTOS!$C:$G,4,0),"")</f>
        <v>GRIS</v>
      </c>
      <c r="M2217" t="s">
        <v>43</v>
      </c>
      <c r="N2217" s="3">
        <v>827.30999999999972</v>
      </c>
      <c r="O2217" s="3">
        <v>2500</v>
      </c>
      <c r="P2217" s="3">
        <v>3000.3099999999995</v>
      </c>
      <c r="Q2217" s="3">
        <v>500</v>
      </c>
    </row>
    <row r="2218" spans="1:17" hidden="1" x14ac:dyDescent="0.3">
      <c r="A2218">
        <v>38</v>
      </c>
      <c r="B2218" t="str">
        <f>VLOOKUP($A2218,[1]LISTA!$B:$C,2,0)</f>
        <v>SEPTIEMBRE</v>
      </c>
      <c r="C2218" s="1">
        <v>2025</v>
      </c>
      <c r="D2218" s="1" t="str">
        <f>IF($A2218&lt;=[1]RESULTADOS!$D$6,"YTD","YTG")</f>
        <v>YTD</v>
      </c>
      <c r="E2218" t="s">
        <v>540</v>
      </c>
      <c r="F2218" t="s">
        <v>667</v>
      </c>
      <c r="G2218" t="s">
        <v>667</v>
      </c>
      <c r="H2218" t="s">
        <v>668</v>
      </c>
      <c r="I2218" t="s">
        <v>366</v>
      </c>
      <c r="J2218" t="str">
        <f>IFERROR(VLOOKUP(I2218,[1]AUTOS!$C:$G,2,0),"")</f>
        <v>VENTO</v>
      </c>
      <c r="K2218">
        <f>IFERROR(VLOOKUP(I2218,[1]AUTOS!$C:$G,3,0),"")</f>
        <v>2019</v>
      </c>
      <c r="L2218" t="str">
        <f>IFERROR(VLOOKUP(I2218,[1]AUTOS!$C:$G,4,0),"")</f>
        <v>BLANCO</v>
      </c>
      <c r="M2218" t="s">
        <v>215</v>
      </c>
      <c r="N2218" s="3">
        <v>0</v>
      </c>
      <c r="O2218" s="3">
        <v>0</v>
      </c>
      <c r="P2218" s="3">
        <v>-200</v>
      </c>
      <c r="Q2218" s="3">
        <v>0</v>
      </c>
    </row>
    <row r="2219" spans="1:17" hidden="1" x14ac:dyDescent="0.3">
      <c r="A2219">
        <v>38</v>
      </c>
      <c r="B2219" t="str">
        <f>VLOOKUP($A2219,[1]LISTA!$B:$C,2,0)</f>
        <v>SEPTIEMBRE</v>
      </c>
      <c r="C2219" s="1">
        <v>2025</v>
      </c>
      <c r="D2219" s="1" t="str">
        <f>IF($A2219&lt;=[1]RESULTADOS!$D$6,"YTD","YTG")</f>
        <v>YTD</v>
      </c>
      <c r="E2219" t="s">
        <v>607</v>
      </c>
      <c r="F2219" t="s">
        <v>667</v>
      </c>
      <c r="G2219" t="s">
        <v>667</v>
      </c>
      <c r="H2219" t="s">
        <v>668</v>
      </c>
      <c r="I2219" t="s">
        <v>560</v>
      </c>
      <c r="J2219" t="str">
        <f>IFERROR(VLOOKUP(I2219,[1]AUTOS!$C:$G,2,0),"")</f>
        <v>AVEO</v>
      </c>
      <c r="K2219">
        <f>IFERROR(VLOOKUP(I2219,[1]AUTOS!$C:$G,3,0),"")</f>
        <v>2023</v>
      </c>
      <c r="L2219" t="str">
        <f>IFERROR(VLOOKUP(I2219,[1]AUTOS!$C:$G,4,0),"")</f>
        <v>VINO</v>
      </c>
      <c r="M2219" t="s">
        <v>140</v>
      </c>
      <c r="N2219" s="3">
        <v>1168.2599999999998</v>
      </c>
      <c r="O2219" s="3">
        <v>1250</v>
      </c>
      <c r="P2219" s="3">
        <v>3500.2599999999998</v>
      </c>
      <c r="Q2219" s="3">
        <v>2250</v>
      </c>
    </row>
    <row r="2220" spans="1:17" hidden="1" x14ac:dyDescent="0.3">
      <c r="A2220">
        <v>38</v>
      </c>
      <c r="B2220" t="str">
        <f>VLOOKUP($A2220,[1]LISTA!$B:$C,2,0)</f>
        <v>SEPTIEMBRE</v>
      </c>
      <c r="C2220" s="1">
        <v>2025</v>
      </c>
      <c r="D2220" s="1" t="str">
        <f>IF($A2220&lt;=[1]RESULTADOS!$D$6,"YTD","YTG")</f>
        <v>YTD</v>
      </c>
      <c r="E2220" t="s">
        <v>456</v>
      </c>
      <c r="F2220" t="s">
        <v>667</v>
      </c>
      <c r="G2220" t="s">
        <v>667</v>
      </c>
      <c r="H2220" t="s">
        <v>668</v>
      </c>
      <c r="I2220" t="s">
        <v>146</v>
      </c>
      <c r="J2220" t="str">
        <f>IFERROR(VLOOKUP(I2220,[1]AUTOS!$C:$G,2,0),"")</f>
        <v>KIA RIO</v>
      </c>
      <c r="K2220">
        <f>IFERROR(VLOOKUP(I2220,[1]AUTOS!$C:$G,3,0),"")</f>
        <v>2023</v>
      </c>
      <c r="L2220" t="str">
        <f>IFERROR(VLOOKUP(I2220,[1]AUTOS!$C:$G,4,0),"")</f>
        <v>ROJO</v>
      </c>
      <c r="M2220" t="s">
        <v>140</v>
      </c>
      <c r="N2220" s="3">
        <v>3066.9200000000005</v>
      </c>
      <c r="O2220" s="3">
        <v>2500</v>
      </c>
      <c r="P2220" s="3">
        <v>2500</v>
      </c>
      <c r="Q2220" s="3">
        <v>0</v>
      </c>
    </row>
    <row r="2221" spans="1:17" hidden="1" x14ac:dyDescent="0.3">
      <c r="A2221">
        <v>38</v>
      </c>
      <c r="B2221" t="str">
        <f>VLOOKUP($A2221,[1]LISTA!$B:$C,2,0)</f>
        <v>SEPTIEMBRE</v>
      </c>
      <c r="C2221" s="1">
        <v>2025</v>
      </c>
      <c r="D2221" s="1" t="str">
        <f>IF($A2221&lt;=[1]RESULTADOS!$D$6,"YTD","YTG")</f>
        <v>YTD</v>
      </c>
      <c r="E2221" t="s">
        <v>411</v>
      </c>
      <c r="F2221" t="s">
        <v>667</v>
      </c>
      <c r="G2221" t="s">
        <v>667</v>
      </c>
      <c r="H2221" t="s">
        <v>668</v>
      </c>
      <c r="I2221" t="s">
        <v>178</v>
      </c>
      <c r="J2221" t="str">
        <f>IFERROR(VLOOKUP(I2221,[1]AUTOS!$C:$G,2,0),"")</f>
        <v>VERSA</v>
      </c>
      <c r="K2221">
        <f>IFERROR(VLOOKUP(I2221,[1]AUTOS!$C:$G,3,0),"")</f>
        <v>2020</v>
      </c>
      <c r="L2221" t="str">
        <f>IFERROR(VLOOKUP(I2221,[1]AUTOS!$C:$G,4,0),"")</f>
        <v>BLANCO</v>
      </c>
      <c r="M2221" t="s">
        <v>43</v>
      </c>
      <c r="N2221" s="3">
        <v>4031.83</v>
      </c>
      <c r="O2221" s="3">
        <v>2500</v>
      </c>
      <c r="P2221" s="3">
        <v>2500</v>
      </c>
      <c r="Q2221" s="3">
        <v>0</v>
      </c>
    </row>
    <row r="2222" spans="1:17" hidden="1" x14ac:dyDescent="0.3">
      <c r="A2222">
        <v>38</v>
      </c>
      <c r="B2222" t="str">
        <f>VLOOKUP($A2222,[1]LISTA!$B:$C,2,0)</f>
        <v>SEPTIEMBRE</v>
      </c>
      <c r="C2222" s="1">
        <v>2025</v>
      </c>
      <c r="D2222" s="1" t="str">
        <f>IF($A2222&lt;=[1]RESULTADOS!$D$6,"YTD","YTG")</f>
        <v>YTD</v>
      </c>
      <c r="E2222" t="s">
        <v>518</v>
      </c>
      <c r="F2222" t="s">
        <v>667</v>
      </c>
      <c r="G2222" t="s">
        <v>667</v>
      </c>
      <c r="H2222" t="s">
        <v>668</v>
      </c>
      <c r="I2222" t="s">
        <v>214</v>
      </c>
      <c r="J2222" t="str">
        <f>IFERROR(VLOOKUP(I2222,[1]AUTOS!$C:$G,2,0),"")</f>
        <v>VENTO</v>
      </c>
      <c r="K2222">
        <f>IFERROR(VLOOKUP(I2222,[1]AUTOS!$C:$G,3,0),"")</f>
        <v>2019</v>
      </c>
      <c r="L2222" t="str">
        <f>IFERROR(VLOOKUP(I2222,[1]AUTOS!$C:$G,4,0),"")</f>
        <v>BLANCO</v>
      </c>
      <c r="M2222" t="s">
        <v>215</v>
      </c>
      <c r="N2222" s="3">
        <v>0</v>
      </c>
      <c r="O2222" s="3">
        <v>2500</v>
      </c>
      <c r="P2222" s="3">
        <v>3000</v>
      </c>
      <c r="Q2222" s="3">
        <v>500</v>
      </c>
    </row>
    <row r="2223" spans="1:17" hidden="1" x14ac:dyDescent="0.3">
      <c r="A2223">
        <v>38</v>
      </c>
      <c r="B2223" t="str">
        <f>VLOOKUP($A2223,[1]LISTA!$B:$C,2,0)</f>
        <v>SEPTIEMBRE</v>
      </c>
      <c r="C2223" s="1">
        <v>2025</v>
      </c>
      <c r="D2223" s="1" t="str">
        <f>IF($A2223&lt;=[1]RESULTADOS!$D$6,"YTD","YTG")</f>
        <v>YTD</v>
      </c>
      <c r="E2223" t="s">
        <v>703</v>
      </c>
      <c r="F2223" t="s">
        <v>667</v>
      </c>
      <c r="G2223" t="s">
        <v>667</v>
      </c>
      <c r="H2223" t="s">
        <v>668</v>
      </c>
      <c r="I2223" t="s">
        <v>182</v>
      </c>
      <c r="J2223" t="str">
        <f>IFERROR(VLOOKUP(I2223,[1]AUTOS!$C:$G,2,0),"")</f>
        <v>AVEO</v>
      </c>
      <c r="K2223">
        <f>IFERROR(VLOOKUP(I2223,[1]AUTOS!$C:$G,3,0),"")</f>
        <v>2020</v>
      </c>
      <c r="L2223" t="str">
        <f>IFERROR(VLOOKUP(I2223,[1]AUTOS!$C:$G,4,0),"")</f>
        <v>AZUL</v>
      </c>
      <c r="M2223" t="s">
        <v>43</v>
      </c>
      <c r="N2223" s="3">
        <v>1801.4200000000005</v>
      </c>
      <c r="O2223" s="3">
        <v>2500</v>
      </c>
      <c r="P2223" s="3">
        <v>1801.4200000000005</v>
      </c>
      <c r="Q2223" s="3">
        <v>500</v>
      </c>
    </row>
    <row r="2224" spans="1:17" hidden="1" x14ac:dyDescent="0.3">
      <c r="A2224">
        <v>38</v>
      </c>
      <c r="B2224" t="str">
        <f>VLOOKUP($A2224,[1]LISTA!$B:$C,2,0)</f>
        <v>SEPTIEMBRE</v>
      </c>
      <c r="C2224" s="1">
        <v>2025</v>
      </c>
      <c r="D2224" s="1" t="str">
        <f>IF($A2224&lt;=[1]RESULTADOS!$D$6,"YTD","YTG")</f>
        <v>YTD</v>
      </c>
      <c r="E2224" t="s">
        <v>526</v>
      </c>
      <c r="F2224" t="s">
        <v>667</v>
      </c>
      <c r="G2224" t="s">
        <v>667</v>
      </c>
      <c r="H2224" t="s">
        <v>668</v>
      </c>
      <c r="I2224" t="s">
        <v>67</v>
      </c>
      <c r="J2224" t="str">
        <f>IFERROR(VLOOKUP(I2224,[1]AUTOS!$C:$G,2,0),"")</f>
        <v>KIA RIO</v>
      </c>
      <c r="K2224">
        <f>IFERROR(VLOOKUP(I2224,[1]AUTOS!$C:$G,3,0),"")</f>
        <v>2020</v>
      </c>
      <c r="L2224" t="str">
        <f>IFERROR(VLOOKUP(I2224,[1]AUTOS!$C:$G,4,0),"")</f>
        <v>GRIS</v>
      </c>
      <c r="M2224" t="s">
        <v>43</v>
      </c>
      <c r="N2224" s="3">
        <v>4528.1099999999997</v>
      </c>
      <c r="O2224" s="3">
        <v>2500</v>
      </c>
      <c r="P2224" s="3">
        <v>2500</v>
      </c>
      <c r="Q2224" s="3">
        <v>0</v>
      </c>
    </row>
    <row r="2225" spans="1:17" hidden="1" x14ac:dyDescent="0.3">
      <c r="A2225">
        <v>38</v>
      </c>
      <c r="B2225" t="str">
        <f>VLOOKUP($A2225,[1]LISTA!$B:$C,2,0)</f>
        <v>SEPTIEMBRE</v>
      </c>
      <c r="C2225" s="1">
        <v>2025</v>
      </c>
      <c r="D2225" s="1" t="str">
        <f>IF($A2225&lt;=[1]RESULTADOS!$D$6,"YTD","YTG")</f>
        <v>YTD</v>
      </c>
      <c r="E2225" t="s">
        <v>681</v>
      </c>
      <c r="F2225" t="s">
        <v>667</v>
      </c>
      <c r="G2225" t="s">
        <v>667</v>
      </c>
      <c r="H2225" t="s">
        <v>668</v>
      </c>
      <c r="I2225" t="s">
        <v>102</v>
      </c>
      <c r="J2225" t="str">
        <f>IFERROR(VLOOKUP(I2225,[1]AUTOS!$C:$G,2,0),"")</f>
        <v>AVEO</v>
      </c>
      <c r="K2225">
        <f>IFERROR(VLOOKUP(I2225,[1]AUTOS!$C:$G,3,0),"")</f>
        <v>2022</v>
      </c>
      <c r="L2225" t="str">
        <f>IFERROR(VLOOKUP(I2225,[1]AUTOS!$C:$G,4,0),"")</f>
        <v>AZUL</v>
      </c>
      <c r="M2225" t="s">
        <v>43</v>
      </c>
      <c r="N2225" s="3">
        <v>992.09999999999991</v>
      </c>
      <c r="O2225" s="3">
        <v>1428.57</v>
      </c>
      <c r="P2225" s="3">
        <v>992.09999999999991</v>
      </c>
      <c r="Q2225" s="3">
        <v>0</v>
      </c>
    </row>
    <row r="2226" spans="1:17" hidden="1" x14ac:dyDescent="0.3">
      <c r="A2226">
        <v>38</v>
      </c>
      <c r="B2226" t="str">
        <f>VLOOKUP($A2226,[1]LISTA!$B:$C,2,0)</f>
        <v>SEPTIEMBRE</v>
      </c>
      <c r="C2226" s="1">
        <v>2025</v>
      </c>
      <c r="D2226" s="1" t="str">
        <f>IF($A2226&lt;=[1]RESULTADOS!$D$6,"YTD","YTG")</f>
        <v>YTD</v>
      </c>
      <c r="E2226" t="s">
        <v>681</v>
      </c>
      <c r="F2226" t="s">
        <v>667</v>
      </c>
      <c r="G2226" t="s">
        <v>667</v>
      </c>
      <c r="H2226" t="s">
        <v>668</v>
      </c>
      <c r="I2226" t="s">
        <v>510</v>
      </c>
      <c r="J2226" t="str">
        <f>IFERROR(VLOOKUP(I2226,[1]AUTOS!$C:$G,2,0),"")</f>
        <v>AVEO</v>
      </c>
      <c r="K2226">
        <f>IFERROR(VLOOKUP(I2226,[1]AUTOS!$C:$G,3,0),"")</f>
        <v>2023</v>
      </c>
      <c r="L2226" t="str">
        <f>IFERROR(VLOOKUP(I2226,[1]AUTOS!$C:$G,4,0),"")</f>
        <v>GRIS</v>
      </c>
      <c r="M2226" t="s">
        <v>43</v>
      </c>
      <c r="N2226" s="3">
        <v>421.75</v>
      </c>
      <c r="O2226" s="3">
        <v>714.28</v>
      </c>
      <c r="P2226" s="3">
        <v>421.75</v>
      </c>
      <c r="Q2226" s="3">
        <v>0</v>
      </c>
    </row>
    <row r="2227" spans="1:17" hidden="1" x14ac:dyDescent="0.3">
      <c r="A2227">
        <v>38</v>
      </c>
      <c r="B2227" t="str">
        <f>VLOOKUP($A2227,[1]LISTA!$B:$C,2,0)</f>
        <v>SEPTIEMBRE</v>
      </c>
      <c r="C2227" s="1">
        <v>2025</v>
      </c>
      <c r="D2227" s="1" t="str">
        <f>IF($A2227&lt;=[1]RESULTADOS!$D$6,"YTD","YTG")</f>
        <v>YTD</v>
      </c>
      <c r="E2227" t="s">
        <v>675</v>
      </c>
      <c r="F2227" t="s">
        <v>667</v>
      </c>
      <c r="G2227" t="s">
        <v>667</v>
      </c>
      <c r="H2227" t="s">
        <v>668</v>
      </c>
      <c r="I2227" t="s">
        <v>440</v>
      </c>
      <c r="J2227" t="str">
        <f>IFERROR(VLOOKUP(I2227,[1]AUTOS!$C:$G,2,0),"")</f>
        <v>AVEO</v>
      </c>
      <c r="K2227">
        <f>IFERROR(VLOOKUP(I2227,[1]AUTOS!$C:$G,3,0),"")</f>
        <v>2021</v>
      </c>
      <c r="L2227" t="str">
        <f>IFERROR(VLOOKUP(I2227,[1]AUTOS!$C:$G,4,0),"")</f>
        <v>GRIS</v>
      </c>
      <c r="M2227" t="s">
        <v>140</v>
      </c>
      <c r="N2227" s="3">
        <v>2550.4800000000005</v>
      </c>
      <c r="O2227" s="3">
        <v>2500</v>
      </c>
      <c r="P2227" s="3">
        <v>2550.4800000000005</v>
      </c>
      <c r="Q2227" s="3">
        <v>0</v>
      </c>
    </row>
    <row r="2228" spans="1:17" hidden="1" x14ac:dyDescent="0.3">
      <c r="A2228">
        <v>38</v>
      </c>
      <c r="B2228" t="str">
        <f>VLOOKUP($A2228,[1]LISTA!$B:$C,2,0)</f>
        <v>SEPTIEMBRE</v>
      </c>
      <c r="C2228" s="1">
        <v>2025</v>
      </c>
      <c r="D2228" s="1" t="str">
        <f>IF($A2228&lt;=[1]RESULTADOS!$D$6,"YTD","YTG")</f>
        <v>YTD</v>
      </c>
      <c r="E2228" t="s">
        <v>622</v>
      </c>
      <c r="F2228" t="s">
        <v>667</v>
      </c>
      <c r="G2228" t="s">
        <v>667</v>
      </c>
      <c r="H2228" t="s">
        <v>668</v>
      </c>
      <c r="I2228" t="s">
        <v>76</v>
      </c>
      <c r="J2228" t="str">
        <f>IFERROR(VLOOKUP(I2228,[1]AUTOS!$C:$G,2,0),"")</f>
        <v>AVEO</v>
      </c>
      <c r="K2228">
        <f>IFERROR(VLOOKUP(I2228,[1]AUTOS!$C:$G,3,0),"")</f>
        <v>2018</v>
      </c>
      <c r="L2228" t="str">
        <f>IFERROR(VLOOKUP(I2228,[1]AUTOS!$C:$G,4,0),"")</f>
        <v>GRIS</v>
      </c>
      <c r="M2228" t="s">
        <v>43</v>
      </c>
      <c r="N2228" s="3">
        <v>2777.05</v>
      </c>
      <c r="O2228" s="3">
        <v>2500</v>
      </c>
      <c r="P2228" s="3">
        <v>3000.05</v>
      </c>
      <c r="Q2228" s="3">
        <v>500</v>
      </c>
    </row>
    <row r="2229" spans="1:17" hidden="1" x14ac:dyDescent="0.3">
      <c r="A2229">
        <v>38</v>
      </c>
      <c r="B2229" t="str">
        <f>VLOOKUP($A2229,[1]LISTA!$B:$C,2,0)</f>
        <v>SEPTIEMBRE</v>
      </c>
      <c r="C2229" s="1">
        <v>2025</v>
      </c>
      <c r="D2229" s="1" t="str">
        <f>IF($A2229&lt;=[1]RESULTADOS!$D$6,"YTD","YTG")</f>
        <v>YTD</v>
      </c>
      <c r="E2229" t="s">
        <v>563</v>
      </c>
      <c r="F2229" t="s">
        <v>667</v>
      </c>
      <c r="G2229" t="s">
        <v>667</v>
      </c>
      <c r="H2229" t="s">
        <v>668</v>
      </c>
      <c r="I2229" t="s">
        <v>61</v>
      </c>
      <c r="J2229" t="str">
        <f>IFERROR(VLOOKUP(I2229,[1]AUTOS!$C:$G,2,0),"")</f>
        <v>KIA RIO</v>
      </c>
      <c r="K2229">
        <f>IFERROR(VLOOKUP(I2229,[1]AUTOS!$C:$G,3,0),"")</f>
        <v>2017</v>
      </c>
      <c r="L2229" t="str">
        <f>IFERROR(VLOOKUP(I2229,[1]AUTOS!$C:$G,4,0),"")</f>
        <v>ROJO</v>
      </c>
      <c r="M2229" t="s">
        <v>140</v>
      </c>
      <c r="N2229" s="3">
        <v>3039.5299999999997</v>
      </c>
      <c r="O2229" s="3">
        <v>2500</v>
      </c>
      <c r="P2229" s="3">
        <v>2500</v>
      </c>
      <c r="Q2229" s="3">
        <v>0</v>
      </c>
    </row>
    <row r="2230" spans="1:17" hidden="1" x14ac:dyDescent="0.3">
      <c r="A2230">
        <v>38</v>
      </c>
      <c r="B2230" t="str">
        <f>VLOOKUP($A2230,[1]LISTA!$B:$C,2,0)</f>
        <v>SEPTIEMBRE</v>
      </c>
      <c r="C2230" s="1">
        <v>2025</v>
      </c>
      <c r="D2230" s="1" t="str">
        <f>IF($A2230&lt;=[1]RESULTADOS!$D$6,"YTD","YTG")</f>
        <v>YTD</v>
      </c>
      <c r="E2230" t="s">
        <v>534</v>
      </c>
      <c r="F2230" t="s">
        <v>667</v>
      </c>
      <c r="G2230" t="s">
        <v>667</v>
      </c>
      <c r="H2230" t="s">
        <v>668</v>
      </c>
      <c r="I2230" t="s">
        <v>313</v>
      </c>
      <c r="J2230" t="str">
        <f>IFERROR(VLOOKUP(I2230,[1]AUTOS!$C:$G,2,0),"")</f>
        <v>MARCH</v>
      </c>
      <c r="K2230">
        <f>IFERROR(VLOOKUP(I2230,[1]AUTOS!$C:$G,3,0),"")</f>
        <v>2019</v>
      </c>
      <c r="L2230" t="str">
        <f>IFERROR(VLOOKUP(I2230,[1]AUTOS!$C:$G,4,0),"")</f>
        <v>TURQ</v>
      </c>
      <c r="M2230" t="s">
        <v>140</v>
      </c>
      <c r="N2230" s="3">
        <v>2295.31</v>
      </c>
      <c r="O2230" s="3">
        <v>2500</v>
      </c>
      <c r="P2230" s="3">
        <v>2295.31</v>
      </c>
      <c r="Q2230" s="3">
        <v>0</v>
      </c>
    </row>
    <row r="2231" spans="1:17" hidden="1" x14ac:dyDescent="0.3">
      <c r="A2231">
        <v>38</v>
      </c>
      <c r="B2231" t="str">
        <f>VLOOKUP($A2231,[1]LISTA!$B:$C,2,0)</f>
        <v>SEPTIEMBRE</v>
      </c>
      <c r="C2231" s="1">
        <v>2025</v>
      </c>
      <c r="D2231" s="1" t="str">
        <f>IF($A2231&lt;=[1]RESULTADOS!$D$6,"YTD","YTG")</f>
        <v>YTD</v>
      </c>
      <c r="E2231" t="s">
        <v>707</v>
      </c>
      <c r="F2231" t="s">
        <v>667</v>
      </c>
      <c r="G2231" t="s">
        <v>667</v>
      </c>
      <c r="H2231" t="s">
        <v>668</v>
      </c>
      <c r="I2231" t="s">
        <v>383</v>
      </c>
      <c r="J2231" t="str">
        <f>IFERROR(VLOOKUP(I2231,[1]AUTOS!$C:$G,2,0),"")</f>
        <v>VENTO</v>
      </c>
      <c r="K2231">
        <f>IFERROR(VLOOKUP(I2231,[1]AUTOS!$C:$G,3,0),"")</f>
        <v>2020</v>
      </c>
      <c r="L2231" t="str">
        <f>IFERROR(VLOOKUP(I2231,[1]AUTOS!$C:$G,4,0),"")</f>
        <v>GRIS</v>
      </c>
      <c r="M2231" t="s">
        <v>215</v>
      </c>
      <c r="N2231" s="3">
        <v>3444.5600000000004</v>
      </c>
      <c r="O2231" s="3">
        <v>2500</v>
      </c>
      <c r="P2231" s="3">
        <v>3000</v>
      </c>
      <c r="Q2231" s="3">
        <v>500</v>
      </c>
    </row>
    <row r="2232" spans="1:17" x14ac:dyDescent="0.3">
      <c r="A2232">
        <v>38</v>
      </c>
      <c r="B2232" t="str">
        <f>VLOOKUP($A2232,[1]LISTA!$B:$C,2,0)</f>
        <v>SEPTIEMBRE</v>
      </c>
      <c r="C2232" s="1">
        <v>2025</v>
      </c>
      <c r="D2232" s="1" t="str">
        <f>IF($A2232&lt;=[1]RESULTADOS!$D$6,"YTD","YTG")</f>
        <v>YTD</v>
      </c>
      <c r="E2232" t="s">
        <v>403</v>
      </c>
      <c r="F2232" t="s">
        <v>667</v>
      </c>
      <c r="G2232" t="s">
        <v>667</v>
      </c>
      <c r="H2232" t="s">
        <v>668</v>
      </c>
      <c r="I2232" t="s">
        <v>72</v>
      </c>
      <c r="J2232" t="str">
        <f>IFERROR(VLOOKUP(I2232,[1]AUTOS!$C:$G,2,0),"")</f>
        <v>VENTO</v>
      </c>
      <c r="K2232">
        <f>IFERROR(VLOOKUP(I2232,[1]AUTOS!$C:$G,3,0),"")</f>
        <v>2020</v>
      </c>
      <c r="L2232" t="str">
        <f>IFERROR(VLOOKUP(I2232,[1]AUTOS!$C:$G,4,0),"")</f>
        <v>GRIS</v>
      </c>
      <c r="M2232" t="s">
        <v>43</v>
      </c>
      <c r="N2232" s="3">
        <v>3282.6699999999996</v>
      </c>
      <c r="O2232" s="3">
        <v>2500</v>
      </c>
      <c r="P2232" s="3">
        <v>3499.6699999999996</v>
      </c>
      <c r="Q2232" s="3">
        <v>0</v>
      </c>
    </row>
    <row r="2233" spans="1:17" hidden="1" x14ac:dyDescent="0.3">
      <c r="A2233">
        <v>38</v>
      </c>
      <c r="B2233" t="str">
        <f>VLOOKUP($A2233,[1]LISTA!$B:$C,2,0)</f>
        <v>SEPTIEMBRE</v>
      </c>
      <c r="C2233" s="1">
        <v>2025</v>
      </c>
      <c r="D2233" s="1" t="str">
        <f>IF($A2233&lt;=[1]RESULTADOS!$D$6,"YTD","YTG")</f>
        <v>YTD</v>
      </c>
      <c r="E2233" t="s">
        <v>470</v>
      </c>
      <c r="F2233" t="s">
        <v>667</v>
      </c>
      <c r="G2233" t="s">
        <v>667</v>
      </c>
      <c r="H2233" t="s">
        <v>668</v>
      </c>
      <c r="I2233" t="s">
        <v>73</v>
      </c>
      <c r="J2233" t="str">
        <f>IFERROR(VLOOKUP(I2233,[1]AUTOS!$C:$G,2,0),"")</f>
        <v>VERSA</v>
      </c>
      <c r="K2233">
        <f>IFERROR(VLOOKUP(I2233,[1]AUTOS!$C:$G,3,0),"")</f>
        <v>2023</v>
      </c>
      <c r="L2233" t="str">
        <f>IFERROR(VLOOKUP(I2233,[1]AUTOS!$C:$G,4,0),"")</f>
        <v>PLATA</v>
      </c>
      <c r="M2233" t="s">
        <v>43</v>
      </c>
      <c r="N2233" s="3">
        <v>2054.11</v>
      </c>
      <c r="O2233" s="3">
        <v>2500</v>
      </c>
      <c r="P2233" s="3">
        <v>2754.11</v>
      </c>
      <c r="Q2233" s="3">
        <v>0</v>
      </c>
    </row>
    <row r="2234" spans="1:17" hidden="1" x14ac:dyDescent="0.3">
      <c r="A2234">
        <v>38</v>
      </c>
      <c r="B2234" t="str">
        <f>VLOOKUP($A2234,[1]LISTA!$B:$C,2,0)</f>
        <v>SEPTIEMBRE</v>
      </c>
      <c r="C2234" s="1">
        <v>2025</v>
      </c>
      <c r="D2234" s="1" t="str">
        <f>IF($A2234&lt;=[1]RESULTADOS!$D$6,"YTD","YTG")</f>
        <v>YTD</v>
      </c>
      <c r="E2234" t="s">
        <v>402</v>
      </c>
      <c r="F2234" t="s">
        <v>667</v>
      </c>
      <c r="G2234" t="s">
        <v>667</v>
      </c>
      <c r="H2234" t="s">
        <v>668</v>
      </c>
      <c r="I2234" t="s">
        <v>59</v>
      </c>
      <c r="J2234" t="str">
        <f>IFERROR(VLOOKUP(I2234,[1]AUTOS!$C:$G,2,0),"")</f>
        <v>AVEO</v>
      </c>
      <c r="K2234">
        <f>IFERROR(VLOOKUP(I2234,[1]AUTOS!$C:$G,3,0),"")</f>
        <v>2019</v>
      </c>
      <c r="L2234" t="str">
        <f>IFERROR(VLOOKUP(I2234,[1]AUTOS!$C:$G,4,0),"")</f>
        <v>BLANCO</v>
      </c>
      <c r="M2234" t="s">
        <v>43</v>
      </c>
      <c r="N2234" s="3">
        <v>822.05</v>
      </c>
      <c r="O2234" s="3">
        <v>2500</v>
      </c>
      <c r="P2234" s="3">
        <v>2684.05</v>
      </c>
      <c r="Q2234" s="3">
        <v>0</v>
      </c>
    </row>
    <row r="2235" spans="1:17" hidden="1" x14ac:dyDescent="0.3">
      <c r="A2235">
        <v>38</v>
      </c>
      <c r="B2235" t="str">
        <f>VLOOKUP($A2235,[1]LISTA!$B:$C,2,0)</f>
        <v>SEPTIEMBRE</v>
      </c>
      <c r="C2235" s="1">
        <v>2025</v>
      </c>
      <c r="D2235" s="1" t="str">
        <f>IF($A2235&lt;=[1]RESULTADOS!$D$6,"YTD","YTG")</f>
        <v>YTD</v>
      </c>
      <c r="E2235" t="s">
        <v>496</v>
      </c>
      <c r="F2235" t="s">
        <v>667</v>
      </c>
      <c r="G2235" t="s">
        <v>667</v>
      </c>
      <c r="H2235" t="s">
        <v>668</v>
      </c>
      <c r="I2235" t="s">
        <v>547</v>
      </c>
      <c r="J2235" t="str">
        <f>IFERROR(VLOOKUP(I2235,[1]AUTOS!$C:$G,2,0),"")</f>
        <v>AVEO</v>
      </c>
      <c r="K2235">
        <f>IFERROR(VLOOKUP(I2235,[1]AUTOS!$C:$G,3,0),"")</f>
        <v>2022</v>
      </c>
      <c r="L2235" t="str">
        <f>IFERROR(VLOOKUP(I2235,[1]AUTOS!$C:$G,4,0),"")</f>
        <v>VINO</v>
      </c>
      <c r="M2235" t="s">
        <v>140</v>
      </c>
      <c r="N2235" s="3">
        <v>8530.4499999999989</v>
      </c>
      <c r="O2235" s="3">
        <v>2500</v>
      </c>
      <c r="P2235" s="3">
        <v>3000</v>
      </c>
      <c r="Q2235" s="3">
        <v>500</v>
      </c>
    </row>
    <row r="2236" spans="1:17" hidden="1" x14ac:dyDescent="0.3">
      <c r="A2236">
        <v>38</v>
      </c>
      <c r="B2236" t="str">
        <f>VLOOKUP($A2236,[1]LISTA!$B:$C,2,0)</f>
        <v>SEPTIEMBRE</v>
      </c>
      <c r="C2236" s="1">
        <v>2025</v>
      </c>
      <c r="D2236" s="1" t="str">
        <f>IF($A2236&lt;=[1]RESULTADOS!$D$6,"YTD","YTG")</f>
        <v>YTD</v>
      </c>
      <c r="E2236" t="s">
        <v>416</v>
      </c>
      <c r="F2236" t="s">
        <v>667</v>
      </c>
      <c r="G2236" t="s">
        <v>667</v>
      </c>
      <c r="H2236" t="s">
        <v>668</v>
      </c>
      <c r="I2236" t="s">
        <v>495</v>
      </c>
      <c r="J2236" t="str">
        <f>IFERROR(VLOOKUP(I2236,[1]AUTOS!$C:$G,2,0),"")</f>
        <v>VERSA</v>
      </c>
      <c r="K2236">
        <f>IFERROR(VLOOKUP(I2236,[1]AUTOS!$C:$G,3,0),"")</f>
        <v>2021</v>
      </c>
      <c r="L2236" t="str">
        <f>IFERROR(VLOOKUP(I2236,[1]AUTOS!$C:$G,4,0),"")</f>
        <v>BLANCO</v>
      </c>
      <c r="M2236" t="s">
        <v>140</v>
      </c>
      <c r="N2236" s="3">
        <v>5149.5</v>
      </c>
      <c r="O2236" s="3">
        <v>2500</v>
      </c>
      <c r="P2236" s="3">
        <v>3000</v>
      </c>
      <c r="Q2236" s="3">
        <v>500</v>
      </c>
    </row>
    <row r="2237" spans="1:17" hidden="1" x14ac:dyDescent="0.3">
      <c r="A2237">
        <v>38</v>
      </c>
      <c r="B2237" t="str">
        <f>VLOOKUP($A2237,[1]LISTA!$B:$C,2,0)</f>
        <v>SEPTIEMBRE</v>
      </c>
      <c r="C2237" s="1">
        <v>2025</v>
      </c>
      <c r="D2237" s="1" t="str">
        <f>IF($A2237&lt;=[1]RESULTADOS!$D$6,"YTD","YTG")</f>
        <v>YTD</v>
      </c>
      <c r="E2237" t="s">
        <v>708</v>
      </c>
      <c r="F2237" t="s">
        <v>667</v>
      </c>
      <c r="G2237" t="s">
        <v>667</v>
      </c>
      <c r="H2237" t="s">
        <v>668</v>
      </c>
      <c r="I2237" t="s">
        <v>384</v>
      </c>
      <c r="J2237" t="str">
        <f>IFERROR(VLOOKUP(I2237,[1]AUTOS!$C:$G,2,0),"")</f>
        <v>MARCH</v>
      </c>
      <c r="K2237">
        <f>IFERROR(VLOOKUP(I2237,[1]AUTOS!$C:$G,3,0),"")</f>
        <v>2022</v>
      </c>
      <c r="L2237" t="str">
        <f>IFERROR(VLOOKUP(I2237,[1]AUTOS!$C:$G,4,0),"")</f>
        <v>BLANCO</v>
      </c>
      <c r="M2237" t="s">
        <v>215</v>
      </c>
      <c r="N2237" s="3">
        <v>5939.33</v>
      </c>
      <c r="O2237" s="3">
        <v>2500</v>
      </c>
      <c r="P2237" s="3">
        <v>2500</v>
      </c>
      <c r="Q2237" s="3">
        <v>0</v>
      </c>
    </row>
    <row r="2238" spans="1:17" hidden="1" x14ac:dyDescent="0.3">
      <c r="A2238">
        <v>38</v>
      </c>
      <c r="B2238" t="str">
        <f>VLOOKUP($A2238,[1]LISTA!$B:$C,2,0)</f>
        <v>SEPTIEMBRE</v>
      </c>
      <c r="C2238" s="1">
        <v>2025</v>
      </c>
      <c r="D2238" s="1" t="str">
        <f>IF($A2238&lt;=[1]RESULTADOS!$D$6,"YTD","YTG")</f>
        <v>YTD</v>
      </c>
      <c r="E2238" t="s">
        <v>377</v>
      </c>
      <c r="F2238" t="s">
        <v>667</v>
      </c>
      <c r="G2238" t="s">
        <v>667</v>
      </c>
      <c r="H2238" t="s">
        <v>668</v>
      </c>
      <c r="I2238" t="s">
        <v>42</v>
      </c>
      <c r="J2238" t="str">
        <f>IFERROR(VLOOKUP(I2238,[1]AUTOS!$C:$G,2,0),"")</f>
        <v>VENTO</v>
      </c>
      <c r="K2238">
        <f>IFERROR(VLOOKUP(I2238,[1]AUTOS!$C:$G,3,0),"")</f>
        <v>2018</v>
      </c>
      <c r="L2238" t="str">
        <f>IFERROR(VLOOKUP(I2238,[1]AUTOS!$C:$G,4,0),"")</f>
        <v>AMARILLO</v>
      </c>
      <c r="M2238" t="s">
        <v>43</v>
      </c>
      <c r="N2238" s="3">
        <v>609.64</v>
      </c>
      <c r="O2238" s="3">
        <v>2500</v>
      </c>
      <c r="P2238" s="3">
        <v>609.64</v>
      </c>
      <c r="Q2238" s="3">
        <v>0</v>
      </c>
    </row>
    <row r="2239" spans="1:17" hidden="1" x14ac:dyDescent="0.3">
      <c r="A2239">
        <v>39</v>
      </c>
      <c r="B2239" t="str">
        <f>VLOOKUP($A2239,[1]LISTA!$B:$C,2,0)</f>
        <v>SEPTIEMBRE</v>
      </c>
      <c r="C2239" s="1">
        <v>2025</v>
      </c>
      <c r="D2239" s="1" t="str">
        <f>IF($A2239&lt;=[1]RESULTADOS!$D$6,"YTD","YTG")</f>
        <v>YTD</v>
      </c>
      <c r="E2239" t="s">
        <v>497</v>
      </c>
      <c r="F2239" t="s">
        <v>667</v>
      </c>
      <c r="G2239" t="s">
        <v>667</v>
      </c>
      <c r="H2239" t="s">
        <v>668</v>
      </c>
      <c r="I2239" t="s">
        <v>116</v>
      </c>
      <c r="J2239" t="str">
        <f>IFERROR(VLOOKUP(I2239,[1]AUTOS!$C:$G,2,0),"")</f>
        <v>AVEO</v>
      </c>
      <c r="K2239">
        <f>IFERROR(VLOOKUP(I2239,[1]AUTOS!$C:$G,3,0),"")</f>
        <v>2022</v>
      </c>
      <c r="L2239" t="str">
        <f>IFERROR(VLOOKUP(I2239,[1]AUTOS!$C:$G,4,0),"")</f>
        <v>AZUL</v>
      </c>
      <c r="M2239" t="s">
        <v>43</v>
      </c>
      <c r="N2239" s="3">
        <v>4248.7000000000007</v>
      </c>
      <c r="O2239" s="3">
        <v>2143</v>
      </c>
      <c r="P2239" s="3">
        <v>2643</v>
      </c>
      <c r="Q2239" s="3">
        <v>500</v>
      </c>
    </row>
    <row r="2240" spans="1:17" hidden="1" x14ac:dyDescent="0.3">
      <c r="A2240">
        <v>39</v>
      </c>
      <c r="B2240" t="str">
        <f>VLOOKUP($A2240,[1]LISTA!$B:$C,2,0)</f>
        <v>SEPTIEMBRE</v>
      </c>
      <c r="C2240" s="1">
        <v>2025</v>
      </c>
      <c r="D2240" s="1" t="str">
        <f>IF($A2240&lt;=[1]RESULTADOS!$D$6,"YTD","YTG")</f>
        <v>YTD</v>
      </c>
      <c r="E2240" t="s">
        <v>492</v>
      </c>
      <c r="F2240" t="s">
        <v>667</v>
      </c>
      <c r="G2240" t="s">
        <v>667</v>
      </c>
      <c r="H2240" t="s">
        <v>668</v>
      </c>
      <c r="I2240" t="s">
        <v>144</v>
      </c>
      <c r="J2240" t="str">
        <f>IFERROR(VLOOKUP(I2240,[1]AUTOS!$C:$G,2,0),"")</f>
        <v>VERSA</v>
      </c>
      <c r="K2240">
        <f>IFERROR(VLOOKUP(I2240,[1]AUTOS!$C:$G,3,0),"")</f>
        <v>2020</v>
      </c>
      <c r="L2240" t="str">
        <f>IFERROR(VLOOKUP(I2240,[1]AUTOS!$C:$G,4,0),"")</f>
        <v>ROJO</v>
      </c>
      <c r="M2240" t="s">
        <v>43</v>
      </c>
      <c r="N2240" s="3">
        <v>0</v>
      </c>
      <c r="O2240" s="3">
        <v>2500</v>
      </c>
      <c r="P2240" s="3">
        <v>2500</v>
      </c>
      <c r="Q2240" s="3">
        <v>0</v>
      </c>
    </row>
    <row r="2241" spans="1:17" hidden="1" x14ac:dyDescent="0.3">
      <c r="A2241">
        <v>39</v>
      </c>
      <c r="B2241" t="str">
        <f>VLOOKUP($A2241,[1]LISTA!$B:$C,2,0)</f>
        <v>SEPTIEMBRE</v>
      </c>
      <c r="C2241" s="1">
        <v>2025</v>
      </c>
      <c r="D2241" s="1" t="str">
        <f>IF($A2241&lt;=[1]RESULTADOS!$D$6,"YTD","YTG")</f>
        <v>YTD</v>
      </c>
      <c r="E2241" t="s">
        <v>705</v>
      </c>
      <c r="F2241" t="s">
        <v>667</v>
      </c>
      <c r="G2241" t="s">
        <v>667</v>
      </c>
      <c r="H2241" t="s">
        <v>668</v>
      </c>
      <c r="I2241" t="s">
        <v>82</v>
      </c>
      <c r="J2241" t="str">
        <f>IFERROR(VLOOKUP(I2241,[1]AUTOS!$C:$G,2,0),"")</f>
        <v>AVEO</v>
      </c>
      <c r="K2241">
        <f>IFERROR(VLOOKUP(I2241,[1]AUTOS!$C:$G,3,0),"")</f>
        <v>2019</v>
      </c>
      <c r="L2241" t="str">
        <f>IFERROR(VLOOKUP(I2241,[1]AUTOS!$C:$G,4,0),"")</f>
        <v>PLATA</v>
      </c>
      <c r="M2241" t="s">
        <v>43</v>
      </c>
      <c r="N2241" s="3">
        <v>6247.44</v>
      </c>
      <c r="O2241" s="3">
        <v>2500</v>
      </c>
      <c r="P2241" s="3">
        <v>3000</v>
      </c>
      <c r="Q2241" s="3">
        <v>500</v>
      </c>
    </row>
    <row r="2242" spans="1:17" hidden="1" x14ac:dyDescent="0.3">
      <c r="A2242">
        <v>39</v>
      </c>
      <c r="B2242" t="str">
        <f>VLOOKUP($A2242,[1]LISTA!$B:$C,2,0)</f>
        <v>SEPTIEMBRE</v>
      </c>
      <c r="C2242" s="1">
        <v>2025</v>
      </c>
      <c r="D2242" s="1" t="str">
        <f>IF($A2242&lt;=[1]RESULTADOS!$D$6,"YTD","YTG")</f>
        <v>YTD</v>
      </c>
      <c r="E2242" t="s">
        <v>691</v>
      </c>
      <c r="F2242" t="s">
        <v>667</v>
      </c>
      <c r="G2242" t="s">
        <v>667</v>
      </c>
      <c r="H2242" t="s">
        <v>668</v>
      </c>
      <c r="I2242" t="s">
        <v>139</v>
      </c>
      <c r="J2242" t="str">
        <f>IFERROR(VLOOKUP(I2242,[1]AUTOS!$C:$G,2,0),"")</f>
        <v>SWIFT</v>
      </c>
      <c r="K2242">
        <f>IFERROR(VLOOKUP(I2242,[1]AUTOS!$C:$G,3,0),"")</f>
        <v>2017</v>
      </c>
      <c r="L2242" t="str">
        <f>IFERROR(VLOOKUP(I2242,[1]AUTOS!$C:$G,4,0),"")</f>
        <v>ROJO</v>
      </c>
      <c r="M2242" t="s">
        <v>140</v>
      </c>
      <c r="N2242" s="3">
        <v>3574.8200000000006</v>
      </c>
      <c r="O2242" s="3">
        <v>2500</v>
      </c>
      <c r="P2242" s="3">
        <v>2500</v>
      </c>
      <c r="Q2242" s="3">
        <v>0</v>
      </c>
    </row>
    <row r="2243" spans="1:17" hidden="1" x14ac:dyDescent="0.3">
      <c r="A2243">
        <v>39</v>
      </c>
      <c r="B2243" t="str">
        <f>VLOOKUP($A2243,[1]LISTA!$B:$C,2,0)</f>
        <v>SEPTIEMBRE</v>
      </c>
      <c r="C2243" s="1">
        <v>2025</v>
      </c>
      <c r="D2243" s="1" t="str">
        <f>IF($A2243&lt;=[1]RESULTADOS!$D$6,"YTD","YTG")</f>
        <v>YTD</v>
      </c>
      <c r="E2243" t="s">
        <v>486</v>
      </c>
      <c r="F2243" t="s">
        <v>667</v>
      </c>
      <c r="G2243" t="s">
        <v>667</v>
      </c>
      <c r="H2243" t="s">
        <v>668</v>
      </c>
      <c r="I2243" t="s">
        <v>34</v>
      </c>
      <c r="J2243" t="str">
        <f>IFERROR(VLOOKUP(I2243,[1]AUTOS!$C:$G,2,0),"")</f>
        <v>AVEO</v>
      </c>
      <c r="K2243">
        <f>IFERROR(VLOOKUP(I2243,[1]AUTOS!$C:$G,3,0),"")</f>
        <v>2018</v>
      </c>
      <c r="L2243" t="str">
        <f>IFERROR(VLOOKUP(I2243,[1]AUTOS!$C:$G,4,0),"")</f>
        <v>ROJO</v>
      </c>
      <c r="M2243" t="s">
        <v>140</v>
      </c>
      <c r="N2243" s="3">
        <v>5651.63</v>
      </c>
      <c r="O2243" s="3">
        <v>2500</v>
      </c>
      <c r="P2243" s="3">
        <v>3000</v>
      </c>
      <c r="Q2243" s="3">
        <v>500</v>
      </c>
    </row>
    <row r="2244" spans="1:17" hidden="1" x14ac:dyDescent="0.3">
      <c r="A2244">
        <v>39</v>
      </c>
      <c r="B2244" t="str">
        <f>VLOOKUP($A2244,[1]LISTA!$B:$C,2,0)</f>
        <v>SEPTIEMBRE</v>
      </c>
      <c r="C2244" s="1">
        <v>2025</v>
      </c>
      <c r="D2244" s="1" t="str">
        <f>IF($A2244&lt;=[1]RESULTADOS!$D$6,"YTD","YTG")</f>
        <v>YTD</v>
      </c>
      <c r="E2244" t="s">
        <v>399</v>
      </c>
      <c r="F2244" t="s">
        <v>667</v>
      </c>
      <c r="G2244" t="s">
        <v>667</v>
      </c>
      <c r="H2244" t="s">
        <v>668</v>
      </c>
      <c r="I2244" t="s">
        <v>162</v>
      </c>
      <c r="J2244" t="str">
        <f>IFERROR(VLOOKUP(I2244,[1]AUTOS!$C:$G,2,0),"")</f>
        <v>HYUNDAI</v>
      </c>
      <c r="K2244">
        <f>IFERROR(VLOOKUP(I2244,[1]AUTOS!$C:$G,3,0),"")</f>
        <v>2022</v>
      </c>
      <c r="L2244" t="str">
        <f>IFERROR(VLOOKUP(I2244,[1]AUTOS!$C:$G,4,0),"")</f>
        <v>PLATA</v>
      </c>
      <c r="M2244" t="s">
        <v>43</v>
      </c>
      <c r="N2244" s="3">
        <v>8546.2099999999991</v>
      </c>
      <c r="O2244" s="3">
        <v>2500</v>
      </c>
      <c r="P2244" s="3">
        <v>3500</v>
      </c>
      <c r="Q2244" s="3">
        <v>0</v>
      </c>
    </row>
    <row r="2245" spans="1:17" hidden="1" x14ac:dyDescent="0.3">
      <c r="A2245">
        <v>39</v>
      </c>
      <c r="B2245" t="str">
        <f>VLOOKUP($A2245,[1]LISTA!$B:$C,2,0)</f>
        <v>SEPTIEMBRE</v>
      </c>
      <c r="C2245" s="1">
        <v>2025</v>
      </c>
      <c r="D2245" s="1" t="str">
        <f>IF($A2245&lt;=[1]RESULTADOS!$D$6,"YTD","YTG")</f>
        <v>YTD</v>
      </c>
      <c r="E2245" t="s">
        <v>704</v>
      </c>
      <c r="F2245" t="s">
        <v>667</v>
      </c>
      <c r="G2245" t="s">
        <v>667</v>
      </c>
      <c r="H2245" t="s">
        <v>668</v>
      </c>
      <c r="I2245" t="s">
        <v>37</v>
      </c>
      <c r="J2245" t="str">
        <f>IFERROR(VLOOKUP(I2245,[1]AUTOS!$C:$G,2,0),"")</f>
        <v>BEAT</v>
      </c>
      <c r="K2245">
        <f>IFERROR(VLOOKUP(I2245,[1]AUTOS!$C:$G,3,0),"")</f>
        <v>2020</v>
      </c>
      <c r="L2245" t="str">
        <f>IFERROR(VLOOKUP(I2245,[1]AUTOS!$C:$G,4,0),"")</f>
        <v>GRIS</v>
      </c>
      <c r="M2245" t="s">
        <v>140</v>
      </c>
      <c r="N2245" s="3">
        <v>1479.6100000000004</v>
      </c>
      <c r="O2245" s="3">
        <v>1964</v>
      </c>
      <c r="P2245" s="3">
        <v>1479.6100000000004</v>
      </c>
      <c r="Q2245" s="3">
        <v>-484</v>
      </c>
    </row>
    <row r="2246" spans="1:17" hidden="1" x14ac:dyDescent="0.3">
      <c r="A2246">
        <v>39</v>
      </c>
      <c r="B2246" t="str">
        <f>VLOOKUP($A2246,[1]LISTA!$B:$C,2,0)</f>
        <v>SEPTIEMBRE</v>
      </c>
      <c r="C2246" s="1">
        <v>2025</v>
      </c>
      <c r="D2246" s="1" t="str">
        <f>IF($A2246&lt;=[1]RESULTADOS!$D$6,"YTD","YTG")</f>
        <v>YTD</v>
      </c>
      <c r="E2246" t="s">
        <v>574</v>
      </c>
      <c r="F2246" t="s">
        <v>667</v>
      </c>
      <c r="G2246" t="s">
        <v>667</v>
      </c>
      <c r="H2246" t="s">
        <v>668</v>
      </c>
      <c r="I2246" t="s">
        <v>46</v>
      </c>
      <c r="J2246" t="str">
        <f>IFERROR(VLOOKUP(I2246,[1]AUTOS!$C:$G,2,0),"")</f>
        <v>MARCH</v>
      </c>
      <c r="K2246">
        <f>IFERROR(VLOOKUP(I2246,[1]AUTOS!$C:$G,3,0),"")</f>
        <v>2020</v>
      </c>
      <c r="L2246" t="str">
        <f>IFERROR(VLOOKUP(I2246,[1]AUTOS!$C:$G,4,0),"")</f>
        <v>TURQ</v>
      </c>
      <c r="M2246" t="s">
        <v>43</v>
      </c>
      <c r="N2246" s="3">
        <v>270.95</v>
      </c>
      <c r="O2246" s="3">
        <v>1964</v>
      </c>
      <c r="P2246" s="3">
        <v>2326.9499999999998</v>
      </c>
      <c r="Q2246" s="3">
        <v>392.28</v>
      </c>
    </row>
    <row r="2247" spans="1:17" hidden="1" x14ac:dyDescent="0.3">
      <c r="A2247">
        <v>39</v>
      </c>
      <c r="B2247" t="str">
        <f>VLOOKUP($A2247,[1]LISTA!$B:$C,2,0)</f>
        <v>SEPTIEMBRE</v>
      </c>
      <c r="C2247" s="1">
        <v>2025</v>
      </c>
      <c r="D2247" s="1" t="str">
        <f>IF($A2247&lt;=[1]RESULTADOS!$D$6,"YTD","YTG")</f>
        <v>YTD</v>
      </c>
      <c r="E2247" t="s">
        <v>478</v>
      </c>
      <c r="F2247" t="s">
        <v>667</v>
      </c>
      <c r="G2247" t="s">
        <v>667</v>
      </c>
      <c r="H2247" t="s">
        <v>668</v>
      </c>
      <c r="I2247" t="s">
        <v>185</v>
      </c>
      <c r="J2247" t="str">
        <f>IFERROR(VLOOKUP(I2247,[1]AUTOS!$C:$G,2,0),"")</f>
        <v>MARCH</v>
      </c>
      <c r="K2247">
        <f>IFERROR(VLOOKUP(I2247,[1]AUTOS!$C:$G,3,0),"")</f>
        <v>2021</v>
      </c>
      <c r="L2247" t="str">
        <f>IFERROR(VLOOKUP(I2247,[1]AUTOS!$C:$G,4,0),"")</f>
        <v>ROJO</v>
      </c>
      <c r="M2247" t="s">
        <v>43</v>
      </c>
      <c r="N2247" s="3">
        <v>2097.67</v>
      </c>
      <c r="O2247" s="3">
        <v>2500</v>
      </c>
      <c r="P2247" s="3">
        <v>2497.67</v>
      </c>
      <c r="Q2247" s="3">
        <v>0</v>
      </c>
    </row>
    <row r="2248" spans="1:17" hidden="1" x14ac:dyDescent="0.3">
      <c r="A2248">
        <v>39</v>
      </c>
      <c r="B2248" t="str">
        <f>VLOOKUP($A2248,[1]LISTA!$B:$C,2,0)</f>
        <v>SEPTIEMBRE</v>
      </c>
      <c r="C2248" s="1">
        <v>2025</v>
      </c>
      <c r="D2248" s="1" t="str">
        <f>IF($A2248&lt;=[1]RESULTADOS!$D$6,"YTD","YTG")</f>
        <v>YTD</v>
      </c>
      <c r="E2248" t="s">
        <v>436</v>
      </c>
      <c r="F2248" t="s">
        <v>667</v>
      </c>
      <c r="G2248" t="s">
        <v>667</v>
      </c>
      <c r="H2248" t="s">
        <v>668</v>
      </c>
      <c r="I2248" t="s">
        <v>112</v>
      </c>
      <c r="J2248" t="str">
        <f>IFERROR(VLOOKUP(I2248,[1]AUTOS!$C:$G,2,0),"")</f>
        <v>KIA RIO</v>
      </c>
      <c r="K2248">
        <f>IFERROR(VLOOKUP(I2248,[1]AUTOS!$C:$G,3,0),"")</f>
        <v>2020</v>
      </c>
      <c r="L2248" t="str">
        <f>IFERROR(VLOOKUP(I2248,[1]AUTOS!$C:$G,4,0),"")</f>
        <v>ROJO</v>
      </c>
      <c r="M2248" t="s">
        <v>140</v>
      </c>
      <c r="N2248" s="3">
        <v>3530.1810000000005</v>
      </c>
      <c r="O2248" s="3">
        <v>2500</v>
      </c>
      <c r="P2248" s="3">
        <v>3530.1810000000005</v>
      </c>
      <c r="Q2248" s="3">
        <v>0</v>
      </c>
    </row>
    <row r="2249" spans="1:17" hidden="1" x14ac:dyDescent="0.3">
      <c r="A2249">
        <v>39</v>
      </c>
      <c r="B2249" t="str">
        <f>VLOOKUP($A2249,[1]LISTA!$B:$C,2,0)</f>
        <v>SEPTIEMBRE</v>
      </c>
      <c r="C2249" s="1">
        <v>2025</v>
      </c>
      <c r="D2249" s="1" t="str">
        <f>IF($A2249&lt;=[1]RESULTADOS!$D$6,"YTD","YTG")</f>
        <v>YTD</v>
      </c>
      <c r="E2249" t="s">
        <v>642</v>
      </c>
      <c r="F2249" t="s">
        <v>667</v>
      </c>
      <c r="G2249" t="s">
        <v>667</v>
      </c>
      <c r="H2249" t="s">
        <v>668</v>
      </c>
      <c r="I2249" t="s">
        <v>370</v>
      </c>
      <c r="J2249" t="str">
        <f>IFERROR(VLOOKUP(I2249,[1]AUTOS!$C:$G,2,0),"")</f>
        <v>KIA RIO</v>
      </c>
      <c r="K2249">
        <f>IFERROR(VLOOKUP(I2249,[1]AUTOS!$C:$G,3,0),"")</f>
        <v>2020</v>
      </c>
      <c r="L2249" t="str">
        <f>IFERROR(VLOOKUP(I2249,[1]AUTOS!$C:$G,4,0),"")</f>
        <v>AZUL</v>
      </c>
      <c r="M2249" t="s">
        <v>215</v>
      </c>
      <c r="N2249" s="3">
        <v>2219</v>
      </c>
      <c r="O2249" s="3">
        <v>2414.2857142857142</v>
      </c>
      <c r="P2249" s="3">
        <v>2878</v>
      </c>
      <c r="Q2249" s="3">
        <v>464</v>
      </c>
    </row>
    <row r="2250" spans="1:17" hidden="1" x14ac:dyDescent="0.3">
      <c r="A2250">
        <v>39</v>
      </c>
      <c r="B2250" t="str">
        <f>VLOOKUP($A2250,[1]LISTA!$B:$C,2,0)</f>
        <v>SEPTIEMBRE</v>
      </c>
      <c r="C2250" s="1">
        <v>2025</v>
      </c>
      <c r="D2250" s="1" t="str">
        <f>IF($A2250&lt;=[1]RESULTADOS!$D$6,"YTD","YTG")</f>
        <v>YTD</v>
      </c>
      <c r="E2250" t="s">
        <v>706</v>
      </c>
      <c r="F2250" t="s">
        <v>667</v>
      </c>
      <c r="G2250" t="s">
        <v>667</v>
      </c>
      <c r="H2250" t="s">
        <v>668</v>
      </c>
      <c r="I2250" t="s">
        <v>131</v>
      </c>
      <c r="J2250" t="str">
        <f>IFERROR(VLOOKUP(I2250,[1]AUTOS!$C:$G,2,0),"")</f>
        <v>AVEO</v>
      </c>
      <c r="K2250">
        <f>IFERROR(VLOOKUP(I2250,[1]AUTOS!$C:$G,3,0),"")</f>
        <v>2024</v>
      </c>
      <c r="L2250" t="str">
        <f>IFERROR(VLOOKUP(I2250,[1]AUTOS!$C:$G,4,0),"")</f>
        <v>GRIS</v>
      </c>
      <c r="M2250" t="s">
        <v>43</v>
      </c>
      <c r="N2250" s="3">
        <v>1643.4099999999994</v>
      </c>
      <c r="O2250" s="3">
        <v>2500</v>
      </c>
      <c r="P2250" s="3">
        <v>3000.4099999999994</v>
      </c>
      <c r="Q2250" s="3">
        <v>500</v>
      </c>
    </row>
    <row r="2251" spans="1:17" hidden="1" x14ac:dyDescent="0.3">
      <c r="A2251">
        <v>39</v>
      </c>
      <c r="B2251" t="str">
        <f>VLOOKUP($A2251,[1]LISTA!$B:$C,2,0)</f>
        <v>SEPTIEMBRE</v>
      </c>
      <c r="C2251" s="1">
        <v>2025</v>
      </c>
      <c r="D2251" s="1" t="str">
        <f>IF($A2251&lt;=[1]RESULTADOS!$D$6,"YTD","YTG")</f>
        <v>YTD</v>
      </c>
      <c r="E2251" t="s">
        <v>540</v>
      </c>
      <c r="F2251" t="s">
        <v>667</v>
      </c>
      <c r="G2251" t="s">
        <v>667</v>
      </c>
      <c r="H2251" t="s">
        <v>668</v>
      </c>
      <c r="I2251" t="s">
        <v>366</v>
      </c>
      <c r="J2251" t="str">
        <f>IFERROR(VLOOKUP(I2251,[1]AUTOS!$C:$G,2,0),"")</f>
        <v>VENTO</v>
      </c>
      <c r="K2251">
        <f>IFERROR(VLOOKUP(I2251,[1]AUTOS!$C:$G,3,0),"")</f>
        <v>2019</v>
      </c>
      <c r="L2251" t="str">
        <f>IFERROR(VLOOKUP(I2251,[1]AUTOS!$C:$G,4,0),"")</f>
        <v>BLANCO</v>
      </c>
      <c r="M2251" t="s">
        <v>215</v>
      </c>
      <c r="N2251" s="3">
        <v>0</v>
      </c>
      <c r="O2251" s="3">
        <v>0</v>
      </c>
      <c r="P2251" s="3">
        <v>-200</v>
      </c>
      <c r="Q2251" s="3">
        <v>0</v>
      </c>
    </row>
    <row r="2252" spans="1:17" hidden="1" x14ac:dyDescent="0.3">
      <c r="A2252">
        <v>39</v>
      </c>
      <c r="B2252" t="str">
        <f>VLOOKUP($A2252,[1]LISTA!$B:$C,2,0)</f>
        <v>SEPTIEMBRE</v>
      </c>
      <c r="C2252" s="1">
        <v>2025</v>
      </c>
      <c r="D2252" s="1" t="str">
        <f>IF($A2252&lt;=[1]RESULTADOS!$D$6,"YTD","YTG")</f>
        <v>YTD</v>
      </c>
      <c r="E2252" t="s">
        <v>607</v>
      </c>
      <c r="F2252" t="s">
        <v>667</v>
      </c>
      <c r="G2252" t="s">
        <v>667</v>
      </c>
      <c r="H2252" t="s">
        <v>668</v>
      </c>
      <c r="I2252" t="s">
        <v>560</v>
      </c>
      <c r="J2252" t="str">
        <f>IFERROR(VLOOKUP(I2252,[1]AUTOS!$C:$G,2,0),"")</f>
        <v>AVEO</v>
      </c>
      <c r="K2252">
        <f>IFERROR(VLOOKUP(I2252,[1]AUTOS!$C:$G,3,0),"")</f>
        <v>2023</v>
      </c>
      <c r="L2252" t="str">
        <f>IFERROR(VLOOKUP(I2252,[1]AUTOS!$C:$G,4,0),"")</f>
        <v>VINO</v>
      </c>
      <c r="M2252" t="s">
        <v>140</v>
      </c>
      <c r="N2252" s="3">
        <v>921.62999999999965</v>
      </c>
      <c r="O2252" s="3">
        <v>2500</v>
      </c>
      <c r="P2252" s="3">
        <v>921.62999999999965</v>
      </c>
      <c r="Q2252" s="3">
        <v>0</v>
      </c>
    </row>
    <row r="2253" spans="1:17" hidden="1" x14ac:dyDescent="0.3">
      <c r="A2253">
        <v>39</v>
      </c>
      <c r="B2253" t="str">
        <f>VLOOKUP($A2253,[1]LISTA!$B:$C,2,0)</f>
        <v>SEPTIEMBRE</v>
      </c>
      <c r="C2253" s="1">
        <v>2025</v>
      </c>
      <c r="D2253" s="1" t="str">
        <f>IF($A2253&lt;=[1]RESULTADOS!$D$6,"YTD","YTG")</f>
        <v>YTD</v>
      </c>
      <c r="E2253" t="s">
        <v>456</v>
      </c>
      <c r="F2253" t="s">
        <v>667</v>
      </c>
      <c r="G2253" t="s">
        <v>667</v>
      </c>
      <c r="H2253" t="s">
        <v>668</v>
      </c>
      <c r="I2253" t="s">
        <v>146</v>
      </c>
      <c r="J2253" t="str">
        <f>IFERROR(VLOOKUP(I2253,[1]AUTOS!$C:$G,2,0),"")</f>
        <v>KIA RIO</v>
      </c>
      <c r="K2253">
        <f>IFERROR(VLOOKUP(I2253,[1]AUTOS!$C:$G,3,0),"")</f>
        <v>2023</v>
      </c>
      <c r="L2253" t="str">
        <f>IFERROR(VLOOKUP(I2253,[1]AUTOS!$C:$G,4,0),"")</f>
        <v>ROJO</v>
      </c>
      <c r="M2253" t="s">
        <v>140</v>
      </c>
      <c r="N2253" s="3">
        <v>3610.8699999999981</v>
      </c>
      <c r="O2253" s="3">
        <v>2500</v>
      </c>
      <c r="P2253" s="3">
        <v>2500</v>
      </c>
      <c r="Q2253" s="3">
        <v>0</v>
      </c>
    </row>
    <row r="2254" spans="1:17" hidden="1" x14ac:dyDescent="0.3">
      <c r="A2254">
        <v>39</v>
      </c>
      <c r="B2254" t="str">
        <f>VLOOKUP($A2254,[1]LISTA!$B:$C,2,0)</f>
        <v>SEPTIEMBRE</v>
      </c>
      <c r="C2254" s="1">
        <v>2025</v>
      </c>
      <c r="D2254" s="1" t="str">
        <f>IF($A2254&lt;=[1]RESULTADOS!$D$6,"YTD","YTG")</f>
        <v>YTD</v>
      </c>
      <c r="E2254" t="s">
        <v>411</v>
      </c>
      <c r="F2254" t="s">
        <v>667</v>
      </c>
      <c r="G2254" t="s">
        <v>667</v>
      </c>
      <c r="H2254" t="s">
        <v>668</v>
      </c>
      <c r="I2254" t="s">
        <v>178</v>
      </c>
      <c r="J2254" t="str">
        <f>IFERROR(VLOOKUP(I2254,[1]AUTOS!$C:$G,2,0),"")</f>
        <v>VERSA</v>
      </c>
      <c r="K2254">
        <f>IFERROR(VLOOKUP(I2254,[1]AUTOS!$C:$G,3,0),"")</f>
        <v>2020</v>
      </c>
      <c r="L2254" t="str">
        <f>IFERROR(VLOOKUP(I2254,[1]AUTOS!$C:$G,4,0),"")</f>
        <v>BLANCO</v>
      </c>
      <c r="M2254" t="s">
        <v>43</v>
      </c>
      <c r="N2254" s="3">
        <v>4256</v>
      </c>
      <c r="O2254" s="3">
        <v>2500</v>
      </c>
      <c r="P2254" s="3">
        <v>2500</v>
      </c>
      <c r="Q2254" s="3">
        <v>0</v>
      </c>
    </row>
    <row r="2255" spans="1:17" hidden="1" x14ac:dyDescent="0.3">
      <c r="A2255">
        <v>39</v>
      </c>
      <c r="B2255" t="str">
        <f>VLOOKUP($A2255,[1]LISTA!$B:$C,2,0)</f>
        <v>SEPTIEMBRE</v>
      </c>
      <c r="C2255" s="1">
        <v>2025</v>
      </c>
      <c r="D2255" s="1" t="str">
        <f>IF($A2255&lt;=[1]RESULTADOS!$D$6,"YTD","YTG")</f>
        <v>YTD</v>
      </c>
      <c r="E2255" t="s">
        <v>518</v>
      </c>
      <c r="F2255" t="s">
        <v>667</v>
      </c>
      <c r="G2255" t="s">
        <v>667</v>
      </c>
      <c r="H2255" t="s">
        <v>668</v>
      </c>
      <c r="I2255" t="s">
        <v>366</v>
      </c>
      <c r="J2255" t="str">
        <f>IFERROR(VLOOKUP(I2255,[1]AUTOS!$C:$G,2,0),"")</f>
        <v>VENTO</v>
      </c>
      <c r="K2255">
        <f>IFERROR(VLOOKUP(I2255,[1]AUTOS!$C:$G,3,0),"")</f>
        <v>2019</v>
      </c>
      <c r="L2255" t="str">
        <f>IFERROR(VLOOKUP(I2255,[1]AUTOS!$C:$G,4,0),"")</f>
        <v>BLANCO</v>
      </c>
      <c r="M2255" t="s">
        <v>215</v>
      </c>
      <c r="N2255" s="3">
        <v>2500</v>
      </c>
      <c r="O2255" s="3">
        <v>2500</v>
      </c>
      <c r="P2255" s="3">
        <v>3000</v>
      </c>
      <c r="Q2255" s="3">
        <v>500</v>
      </c>
    </row>
    <row r="2256" spans="1:17" hidden="1" x14ac:dyDescent="0.3">
      <c r="A2256">
        <v>39</v>
      </c>
      <c r="B2256" t="str">
        <f>VLOOKUP($A2256,[1]LISTA!$B:$C,2,0)</f>
        <v>SEPTIEMBRE</v>
      </c>
      <c r="C2256" s="1">
        <v>2025</v>
      </c>
      <c r="D2256" s="1" t="str">
        <f>IF($A2256&lt;=[1]RESULTADOS!$D$6,"YTD","YTG")</f>
        <v>YTD</v>
      </c>
      <c r="E2256" t="s">
        <v>703</v>
      </c>
      <c r="F2256" t="s">
        <v>667</v>
      </c>
      <c r="G2256" t="s">
        <v>667</v>
      </c>
      <c r="H2256" t="s">
        <v>668</v>
      </c>
      <c r="I2256" t="s">
        <v>182</v>
      </c>
      <c r="J2256" t="str">
        <f>IFERROR(VLOOKUP(I2256,[1]AUTOS!$C:$G,2,0),"")</f>
        <v>AVEO</v>
      </c>
      <c r="K2256">
        <f>IFERROR(VLOOKUP(I2256,[1]AUTOS!$C:$G,3,0),"")</f>
        <v>2020</v>
      </c>
      <c r="L2256" t="str">
        <f>IFERROR(VLOOKUP(I2256,[1]AUTOS!$C:$G,4,0),"")</f>
        <v>AZUL</v>
      </c>
      <c r="M2256" t="s">
        <v>43</v>
      </c>
      <c r="N2256" s="3">
        <v>4570.42</v>
      </c>
      <c r="O2256" s="3">
        <v>2500</v>
      </c>
      <c r="P2256" s="3">
        <v>4236</v>
      </c>
      <c r="Q2256" s="3">
        <v>393</v>
      </c>
    </row>
    <row r="2257" spans="1:17" hidden="1" x14ac:dyDescent="0.3">
      <c r="A2257">
        <v>39</v>
      </c>
      <c r="B2257" t="str">
        <f>VLOOKUP($A2257,[1]LISTA!$B:$C,2,0)</f>
        <v>SEPTIEMBRE</v>
      </c>
      <c r="C2257" s="1">
        <v>2025</v>
      </c>
      <c r="D2257" s="1" t="str">
        <f>IF($A2257&lt;=[1]RESULTADOS!$D$6,"YTD","YTG")</f>
        <v>YTD</v>
      </c>
      <c r="E2257" t="s">
        <v>526</v>
      </c>
      <c r="F2257" t="s">
        <v>667</v>
      </c>
      <c r="G2257" t="s">
        <v>667</v>
      </c>
      <c r="H2257" t="s">
        <v>668</v>
      </c>
      <c r="I2257" t="s">
        <v>67</v>
      </c>
      <c r="J2257" t="str">
        <f>IFERROR(VLOOKUP(I2257,[1]AUTOS!$C:$G,2,0),"")</f>
        <v>KIA RIO</v>
      </c>
      <c r="K2257">
        <f>IFERROR(VLOOKUP(I2257,[1]AUTOS!$C:$G,3,0),"")</f>
        <v>2020</v>
      </c>
      <c r="L2257" t="str">
        <f>IFERROR(VLOOKUP(I2257,[1]AUTOS!$C:$G,4,0),"")</f>
        <v>GRIS</v>
      </c>
      <c r="M2257" t="s">
        <v>43</v>
      </c>
      <c r="N2257" s="3">
        <v>6195.47</v>
      </c>
      <c r="O2257" s="3">
        <v>2500</v>
      </c>
      <c r="P2257" s="3">
        <v>2500</v>
      </c>
      <c r="Q2257" s="3">
        <v>0</v>
      </c>
    </row>
    <row r="2258" spans="1:17" hidden="1" x14ac:dyDescent="0.3">
      <c r="A2258">
        <v>39</v>
      </c>
      <c r="B2258" t="str">
        <f>VLOOKUP($A2258,[1]LISTA!$B:$C,2,0)</f>
        <v>SEPTIEMBRE</v>
      </c>
      <c r="C2258" s="1">
        <v>2025</v>
      </c>
      <c r="D2258" s="1" t="str">
        <f>IF($A2258&lt;=[1]RESULTADOS!$D$6,"YTD","YTG")</f>
        <v>YTD</v>
      </c>
      <c r="E2258" t="s">
        <v>681</v>
      </c>
      <c r="F2258" t="s">
        <v>667</v>
      </c>
      <c r="G2258" t="s">
        <v>667</v>
      </c>
      <c r="H2258" t="s">
        <v>668</v>
      </c>
      <c r="I2258" t="s">
        <v>510</v>
      </c>
      <c r="J2258" t="str">
        <f>IFERROR(VLOOKUP(I2258,[1]AUTOS!$C:$G,2,0),"")</f>
        <v>AVEO</v>
      </c>
      <c r="K2258">
        <f>IFERROR(VLOOKUP(I2258,[1]AUTOS!$C:$G,3,0),"")</f>
        <v>2023</v>
      </c>
      <c r="L2258" t="str">
        <f>IFERROR(VLOOKUP(I2258,[1]AUTOS!$C:$G,4,0),"")</f>
        <v>GRIS</v>
      </c>
      <c r="M2258" t="s">
        <v>43</v>
      </c>
      <c r="N2258" s="3">
        <v>2921.6900000000014</v>
      </c>
      <c r="O2258" s="3">
        <v>2500</v>
      </c>
      <c r="P2258" s="3">
        <v>2828.16</v>
      </c>
      <c r="Q2258" s="3">
        <v>0</v>
      </c>
    </row>
    <row r="2259" spans="1:17" hidden="1" x14ac:dyDescent="0.3">
      <c r="A2259">
        <v>39</v>
      </c>
      <c r="B2259" t="str">
        <f>VLOOKUP($A2259,[1]LISTA!$B:$C,2,0)</f>
        <v>SEPTIEMBRE</v>
      </c>
      <c r="C2259" s="1">
        <v>2025</v>
      </c>
      <c r="D2259" s="1" t="str">
        <f>IF($A2259&lt;=[1]RESULTADOS!$D$6,"YTD","YTG")</f>
        <v>YTD</v>
      </c>
      <c r="E2259" t="s">
        <v>681</v>
      </c>
      <c r="F2259" t="s">
        <v>667</v>
      </c>
      <c r="G2259" t="s">
        <v>667</v>
      </c>
      <c r="H2259" t="s">
        <v>668</v>
      </c>
      <c r="I2259" t="s">
        <v>102</v>
      </c>
      <c r="J2259" t="str">
        <f>IFERROR(VLOOKUP(I2259,[1]AUTOS!$C:$G,2,0),"")</f>
        <v>AVEO</v>
      </c>
      <c r="K2259">
        <f>IFERROR(VLOOKUP(I2259,[1]AUTOS!$C:$G,3,0),"")</f>
        <v>2022</v>
      </c>
      <c r="L2259" t="str">
        <f>IFERROR(VLOOKUP(I2259,[1]AUTOS!$C:$G,4,0),"")</f>
        <v>AZUL</v>
      </c>
      <c r="M2259" t="s">
        <v>43</v>
      </c>
      <c r="N2259" s="3">
        <v>0</v>
      </c>
      <c r="O2259" s="3">
        <v>0</v>
      </c>
      <c r="P2259" s="3">
        <v>494</v>
      </c>
      <c r="Q2259" s="3">
        <v>0</v>
      </c>
    </row>
    <row r="2260" spans="1:17" hidden="1" x14ac:dyDescent="0.3">
      <c r="A2260">
        <v>39</v>
      </c>
      <c r="B2260" t="str">
        <f>VLOOKUP($A2260,[1]LISTA!$B:$C,2,0)</f>
        <v>SEPTIEMBRE</v>
      </c>
      <c r="C2260" s="1">
        <v>2025</v>
      </c>
      <c r="D2260" s="1" t="str">
        <f>IF($A2260&lt;=[1]RESULTADOS!$D$6,"YTD","YTG")</f>
        <v>YTD</v>
      </c>
      <c r="E2260" t="s">
        <v>675</v>
      </c>
      <c r="F2260" t="s">
        <v>667</v>
      </c>
      <c r="G2260" t="s">
        <v>667</v>
      </c>
      <c r="H2260" t="s">
        <v>668</v>
      </c>
      <c r="I2260" t="s">
        <v>440</v>
      </c>
      <c r="J2260" t="str">
        <f>IFERROR(VLOOKUP(I2260,[1]AUTOS!$C:$G,2,0),"")</f>
        <v>AVEO</v>
      </c>
      <c r="K2260">
        <f>IFERROR(VLOOKUP(I2260,[1]AUTOS!$C:$G,3,0),"")</f>
        <v>2021</v>
      </c>
      <c r="L2260" t="str">
        <f>IFERROR(VLOOKUP(I2260,[1]AUTOS!$C:$G,4,0),"")</f>
        <v>GRIS</v>
      </c>
      <c r="M2260" t="s">
        <v>140</v>
      </c>
      <c r="N2260" s="3">
        <v>1962.6299999999999</v>
      </c>
      <c r="O2260" s="3">
        <v>2500</v>
      </c>
      <c r="P2260" s="3">
        <v>1962.6299999999999</v>
      </c>
      <c r="Q2260" s="3">
        <v>0</v>
      </c>
    </row>
    <row r="2261" spans="1:17" hidden="1" x14ac:dyDescent="0.3">
      <c r="A2261">
        <v>39</v>
      </c>
      <c r="B2261" t="str">
        <f>VLOOKUP($A2261,[1]LISTA!$B:$C,2,0)</f>
        <v>SEPTIEMBRE</v>
      </c>
      <c r="C2261" s="1">
        <v>2025</v>
      </c>
      <c r="D2261" s="1" t="str">
        <f>IF($A2261&lt;=[1]RESULTADOS!$D$6,"YTD","YTG")</f>
        <v>YTD</v>
      </c>
      <c r="E2261" t="s">
        <v>622</v>
      </c>
      <c r="F2261" t="s">
        <v>667</v>
      </c>
      <c r="G2261" t="s">
        <v>667</v>
      </c>
      <c r="H2261" t="s">
        <v>668</v>
      </c>
      <c r="I2261" t="s">
        <v>76</v>
      </c>
      <c r="J2261" t="str">
        <f>IFERROR(VLOOKUP(I2261,[1]AUTOS!$C:$G,2,0),"")</f>
        <v>AVEO</v>
      </c>
      <c r="K2261">
        <f>IFERROR(VLOOKUP(I2261,[1]AUTOS!$C:$G,3,0),"")</f>
        <v>2018</v>
      </c>
      <c r="L2261" t="str">
        <f>IFERROR(VLOOKUP(I2261,[1]AUTOS!$C:$G,4,0),"")</f>
        <v>GRIS</v>
      </c>
      <c r="M2261" t="s">
        <v>43</v>
      </c>
      <c r="N2261" s="3">
        <v>2514.4800000000005</v>
      </c>
      <c r="O2261" s="3">
        <v>2500</v>
      </c>
      <c r="P2261" s="3">
        <v>3000.4800000000005</v>
      </c>
      <c r="Q2261" s="3">
        <v>500</v>
      </c>
    </row>
    <row r="2262" spans="1:17" hidden="1" x14ac:dyDescent="0.3">
      <c r="A2262">
        <v>39</v>
      </c>
      <c r="B2262" t="str">
        <f>VLOOKUP($A2262,[1]LISTA!$B:$C,2,0)</f>
        <v>SEPTIEMBRE</v>
      </c>
      <c r="C2262" s="1">
        <v>2025</v>
      </c>
      <c r="D2262" s="1" t="str">
        <f>IF($A2262&lt;=[1]RESULTADOS!$D$6,"YTD","YTG")</f>
        <v>YTD</v>
      </c>
      <c r="E2262" t="s">
        <v>563</v>
      </c>
      <c r="F2262" t="s">
        <v>667</v>
      </c>
      <c r="G2262" t="s">
        <v>667</v>
      </c>
      <c r="H2262" t="s">
        <v>668</v>
      </c>
      <c r="I2262" t="s">
        <v>61</v>
      </c>
      <c r="J2262" t="str">
        <f>IFERROR(VLOOKUP(I2262,[1]AUTOS!$C:$G,2,0),"")</f>
        <v>KIA RIO</v>
      </c>
      <c r="K2262">
        <f>IFERROR(VLOOKUP(I2262,[1]AUTOS!$C:$G,3,0),"")</f>
        <v>2017</v>
      </c>
      <c r="L2262" t="str">
        <f>IFERROR(VLOOKUP(I2262,[1]AUTOS!$C:$G,4,0),"")</f>
        <v>ROJO</v>
      </c>
      <c r="M2262" t="s">
        <v>140</v>
      </c>
      <c r="N2262" s="3">
        <v>2543.04</v>
      </c>
      <c r="O2262" s="3">
        <v>2500</v>
      </c>
      <c r="P2262" s="3">
        <v>3125.04</v>
      </c>
      <c r="Q2262" s="3">
        <v>0</v>
      </c>
    </row>
    <row r="2263" spans="1:17" hidden="1" x14ac:dyDescent="0.3">
      <c r="A2263">
        <v>39</v>
      </c>
      <c r="B2263" t="str">
        <f>VLOOKUP($A2263,[1]LISTA!$B:$C,2,0)</f>
        <v>SEPTIEMBRE</v>
      </c>
      <c r="C2263" s="1">
        <v>2025</v>
      </c>
      <c r="D2263" s="1" t="str">
        <f>IF($A2263&lt;=[1]RESULTADOS!$D$6,"YTD","YTG")</f>
        <v>YTD</v>
      </c>
      <c r="E2263" t="s">
        <v>534</v>
      </c>
      <c r="F2263" t="s">
        <v>667</v>
      </c>
      <c r="G2263" t="s">
        <v>667</v>
      </c>
      <c r="H2263" t="s">
        <v>668</v>
      </c>
      <c r="I2263" t="s">
        <v>313</v>
      </c>
      <c r="J2263" t="str">
        <f>IFERROR(VLOOKUP(I2263,[1]AUTOS!$C:$G,2,0),"")</f>
        <v>MARCH</v>
      </c>
      <c r="K2263">
        <f>IFERROR(VLOOKUP(I2263,[1]AUTOS!$C:$G,3,0),"")</f>
        <v>2019</v>
      </c>
      <c r="L2263" t="str">
        <f>IFERROR(VLOOKUP(I2263,[1]AUTOS!$C:$G,4,0),"")</f>
        <v>TURQ</v>
      </c>
      <c r="M2263" t="s">
        <v>140</v>
      </c>
      <c r="N2263" s="3">
        <v>0</v>
      </c>
      <c r="O2263" s="3">
        <v>0</v>
      </c>
      <c r="P2263" s="3">
        <v>0</v>
      </c>
      <c r="Q2263" s="3">
        <v>0</v>
      </c>
    </row>
    <row r="2264" spans="1:17" hidden="1" x14ac:dyDescent="0.3">
      <c r="A2264">
        <v>39</v>
      </c>
      <c r="B2264" t="str">
        <f>VLOOKUP($A2264,[1]LISTA!$B:$C,2,0)</f>
        <v>SEPTIEMBRE</v>
      </c>
      <c r="C2264" s="1">
        <v>2025</v>
      </c>
      <c r="D2264" s="1" t="str">
        <f>IF($A2264&lt;=[1]RESULTADOS!$D$6,"YTD","YTG")</f>
        <v>YTD</v>
      </c>
      <c r="E2264" t="s">
        <v>534</v>
      </c>
      <c r="F2264" t="s">
        <v>667</v>
      </c>
      <c r="G2264" t="s">
        <v>667</v>
      </c>
      <c r="H2264" t="s">
        <v>668</v>
      </c>
      <c r="I2264" t="s">
        <v>51</v>
      </c>
      <c r="J2264" t="str">
        <f>IFERROR(VLOOKUP(I2264,[1]AUTOS!$C:$G,2,0),"")</f>
        <v>VENTO</v>
      </c>
      <c r="K2264">
        <f>IFERROR(VLOOKUP(I2264,[1]AUTOS!$C:$G,3,0),"")</f>
        <v>2017</v>
      </c>
      <c r="L2264" t="str">
        <f>IFERROR(VLOOKUP(I2264,[1]AUTOS!$C:$G,4,0),"")</f>
        <v>GRIS</v>
      </c>
      <c r="M2264" t="s">
        <v>43</v>
      </c>
      <c r="N2264" s="3">
        <v>609.38</v>
      </c>
      <c r="O2264" s="3">
        <v>1964</v>
      </c>
      <c r="P2264" s="3">
        <v>2964.38</v>
      </c>
      <c r="Q2264" s="3">
        <v>0</v>
      </c>
    </row>
    <row r="2265" spans="1:17" hidden="1" x14ac:dyDescent="0.3">
      <c r="A2265">
        <v>39</v>
      </c>
      <c r="B2265" t="str">
        <f>VLOOKUP($A2265,[1]LISTA!$B:$C,2,0)</f>
        <v>SEPTIEMBRE</v>
      </c>
      <c r="C2265" s="1">
        <v>2025</v>
      </c>
      <c r="D2265" s="1" t="str">
        <f>IF($A2265&lt;=[1]RESULTADOS!$D$6,"YTD","YTG")</f>
        <v>YTD</v>
      </c>
      <c r="E2265" t="s">
        <v>707</v>
      </c>
      <c r="F2265" t="s">
        <v>667</v>
      </c>
      <c r="G2265" t="s">
        <v>667</v>
      </c>
      <c r="H2265" t="s">
        <v>668</v>
      </c>
      <c r="I2265" t="s">
        <v>383</v>
      </c>
      <c r="J2265" t="str">
        <f>IFERROR(VLOOKUP(I2265,[1]AUTOS!$C:$G,2,0),"")</f>
        <v>VENTO</v>
      </c>
      <c r="K2265">
        <f>IFERROR(VLOOKUP(I2265,[1]AUTOS!$C:$G,3,0),"")</f>
        <v>2020</v>
      </c>
      <c r="L2265" t="str">
        <f>IFERROR(VLOOKUP(I2265,[1]AUTOS!$C:$G,4,0),"")</f>
        <v>GRIS</v>
      </c>
      <c r="M2265" t="s">
        <v>215</v>
      </c>
      <c r="N2265" s="3">
        <v>2043.58</v>
      </c>
      <c r="O2265" s="3">
        <v>2500</v>
      </c>
      <c r="P2265" s="3">
        <v>2043.58</v>
      </c>
      <c r="Q2265" s="3">
        <v>500</v>
      </c>
    </row>
    <row r="2266" spans="1:17" x14ac:dyDescent="0.3">
      <c r="A2266">
        <v>39</v>
      </c>
      <c r="B2266" t="str">
        <f>VLOOKUP($A2266,[1]LISTA!$B:$C,2,0)</f>
        <v>SEPTIEMBRE</v>
      </c>
      <c r="C2266" s="1">
        <v>2025</v>
      </c>
      <c r="D2266" s="1" t="str">
        <f>IF($A2266&lt;=[1]RESULTADOS!$D$6,"YTD","YTG")</f>
        <v>YTD</v>
      </c>
      <c r="E2266" t="s">
        <v>403</v>
      </c>
      <c r="F2266" t="s">
        <v>667</v>
      </c>
      <c r="G2266" t="s">
        <v>667</v>
      </c>
      <c r="H2266" t="s">
        <v>668</v>
      </c>
      <c r="I2266" t="s">
        <v>72</v>
      </c>
      <c r="J2266" t="str">
        <f>IFERROR(VLOOKUP(I2266,[1]AUTOS!$C:$G,2,0),"")</f>
        <v>VENTO</v>
      </c>
      <c r="K2266">
        <f>IFERROR(VLOOKUP(I2266,[1]AUTOS!$C:$G,3,0),"")</f>
        <v>2020</v>
      </c>
      <c r="L2266" t="str">
        <f>IFERROR(VLOOKUP(I2266,[1]AUTOS!$C:$G,4,0),"")</f>
        <v>GRIS</v>
      </c>
      <c r="M2266" t="s">
        <v>43</v>
      </c>
      <c r="N2266" s="3">
        <v>1715.6800000000003</v>
      </c>
      <c r="O2266" s="3">
        <v>2500</v>
      </c>
      <c r="P2266" s="3">
        <v>2999.6800000000003</v>
      </c>
      <c r="Q2266" s="3">
        <v>0</v>
      </c>
    </row>
    <row r="2267" spans="1:17" hidden="1" x14ac:dyDescent="0.3">
      <c r="A2267">
        <v>39</v>
      </c>
      <c r="B2267" t="str">
        <f>VLOOKUP($A2267,[1]LISTA!$B:$C,2,0)</f>
        <v>SEPTIEMBRE</v>
      </c>
      <c r="C2267" s="1">
        <v>2025</v>
      </c>
      <c r="D2267" s="1" t="str">
        <f>IF($A2267&lt;=[1]RESULTADOS!$D$6,"YTD","YTG")</f>
        <v>YTD</v>
      </c>
      <c r="E2267" t="s">
        <v>470</v>
      </c>
      <c r="F2267" t="s">
        <v>667</v>
      </c>
      <c r="G2267" t="s">
        <v>667</v>
      </c>
      <c r="H2267" t="s">
        <v>668</v>
      </c>
      <c r="I2267" t="s">
        <v>73</v>
      </c>
      <c r="J2267" t="str">
        <f>IFERROR(VLOOKUP(I2267,[1]AUTOS!$C:$G,2,0),"")</f>
        <v>VERSA</v>
      </c>
      <c r="K2267">
        <f>IFERROR(VLOOKUP(I2267,[1]AUTOS!$C:$G,3,0),"")</f>
        <v>2023</v>
      </c>
      <c r="L2267" t="str">
        <f>IFERROR(VLOOKUP(I2267,[1]AUTOS!$C:$G,4,0),"")</f>
        <v>PLATA</v>
      </c>
      <c r="M2267" t="s">
        <v>43</v>
      </c>
      <c r="N2267" s="3">
        <v>2108.69</v>
      </c>
      <c r="O2267" s="3">
        <v>2500</v>
      </c>
      <c r="P2267" s="3">
        <v>2358.69</v>
      </c>
      <c r="Q2267" s="3">
        <v>0</v>
      </c>
    </row>
    <row r="2268" spans="1:17" hidden="1" x14ac:dyDescent="0.3">
      <c r="A2268">
        <v>39</v>
      </c>
      <c r="B2268" t="str">
        <f>VLOOKUP($A2268,[1]LISTA!$B:$C,2,0)</f>
        <v>SEPTIEMBRE</v>
      </c>
      <c r="C2268" s="1">
        <v>2025</v>
      </c>
      <c r="D2268" s="1" t="str">
        <f>IF($A2268&lt;=[1]RESULTADOS!$D$6,"YTD","YTG")</f>
        <v>YTD</v>
      </c>
      <c r="E2268" t="s">
        <v>537</v>
      </c>
      <c r="F2268" t="s">
        <v>667</v>
      </c>
      <c r="G2268" t="s">
        <v>667</v>
      </c>
      <c r="H2268" t="s">
        <v>668</v>
      </c>
      <c r="I2268" t="s">
        <v>214</v>
      </c>
      <c r="J2268" t="str">
        <f>IFERROR(VLOOKUP(I2268,[1]AUTOS!$C:$G,2,0),"")</f>
        <v>VENTO</v>
      </c>
      <c r="K2268">
        <f>IFERROR(VLOOKUP(I2268,[1]AUTOS!$C:$G,3,0),"")</f>
        <v>2019</v>
      </c>
      <c r="L2268" t="str">
        <f>IFERROR(VLOOKUP(I2268,[1]AUTOS!$C:$G,4,0),"")</f>
        <v>BLANCO</v>
      </c>
      <c r="M2268" t="s">
        <v>215</v>
      </c>
      <c r="N2268" s="3">
        <v>4833.63</v>
      </c>
      <c r="O2268" s="3">
        <v>1607.14</v>
      </c>
      <c r="P2268" s="3">
        <v>1928.5600000000004</v>
      </c>
      <c r="Q2268" s="3">
        <v>321.42</v>
      </c>
    </row>
    <row r="2269" spans="1:17" hidden="1" x14ac:dyDescent="0.3">
      <c r="A2269">
        <v>39</v>
      </c>
      <c r="B2269" t="str">
        <f>VLOOKUP($A2269,[1]LISTA!$B:$C,2,0)</f>
        <v>SEPTIEMBRE</v>
      </c>
      <c r="C2269" s="1">
        <v>2025</v>
      </c>
      <c r="D2269" s="1" t="str">
        <f>IF($A2269&lt;=[1]RESULTADOS!$D$6,"YTD","YTG")</f>
        <v>YTD</v>
      </c>
      <c r="E2269" t="s">
        <v>402</v>
      </c>
      <c r="F2269" t="s">
        <v>667</v>
      </c>
      <c r="G2269" t="s">
        <v>667</v>
      </c>
      <c r="H2269" t="s">
        <v>668</v>
      </c>
      <c r="I2269" t="s">
        <v>59</v>
      </c>
      <c r="J2269" t="str">
        <f>IFERROR(VLOOKUP(I2269,[1]AUTOS!$C:$G,2,0),"")</f>
        <v>AVEO</v>
      </c>
      <c r="K2269">
        <f>IFERROR(VLOOKUP(I2269,[1]AUTOS!$C:$G,3,0),"")</f>
        <v>2019</v>
      </c>
      <c r="L2269" t="str">
        <f>IFERROR(VLOOKUP(I2269,[1]AUTOS!$C:$G,4,0),"")</f>
        <v>BLANCO</v>
      </c>
      <c r="M2269" t="s">
        <v>43</v>
      </c>
      <c r="N2269" s="3">
        <v>715.76</v>
      </c>
      <c r="O2269" s="3">
        <v>2500</v>
      </c>
      <c r="P2269" s="3">
        <v>2315.7600000000002</v>
      </c>
      <c r="Q2269" s="3">
        <v>0</v>
      </c>
    </row>
    <row r="2270" spans="1:17" hidden="1" x14ac:dyDescent="0.3">
      <c r="A2270">
        <v>39</v>
      </c>
      <c r="B2270" t="str">
        <f>VLOOKUP($A2270,[1]LISTA!$B:$C,2,0)</f>
        <v>SEPTIEMBRE</v>
      </c>
      <c r="C2270" s="1">
        <v>2025</v>
      </c>
      <c r="D2270" s="1" t="str">
        <f>IF($A2270&lt;=[1]RESULTADOS!$D$6,"YTD","YTG")</f>
        <v>YTD</v>
      </c>
      <c r="E2270" t="s">
        <v>496</v>
      </c>
      <c r="F2270" t="s">
        <v>667</v>
      </c>
      <c r="G2270" t="s">
        <v>667</v>
      </c>
      <c r="H2270" t="s">
        <v>668</v>
      </c>
      <c r="I2270" t="s">
        <v>547</v>
      </c>
      <c r="J2270" t="str">
        <f>IFERROR(VLOOKUP(I2270,[1]AUTOS!$C:$G,2,0),"")</f>
        <v>AVEO</v>
      </c>
      <c r="K2270">
        <f>IFERROR(VLOOKUP(I2270,[1]AUTOS!$C:$G,3,0),"")</f>
        <v>2022</v>
      </c>
      <c r="L2270" t="str">
        <f>IFERROR(VLOOKUP(I2270,[1]AUTOS!$C:$G,4,0),"")</f>
        <v>VINO</v>
      </c>
      <c r="M2270" t="s">
        <v>140</v>
      </c>
      <c r="N2270" s="3">
        <v>1692.3</v>
      </c>
      <c r="O2270" s="3">
        <v>893</v>
      </c>
      <c r="P2270" s="3">
        <v>893</v>
      </c>
      <c r="Q2270" s="3">
        <v>0</v>
      </c>
    </row>
    <row r="2271" spans="1:17" hidden="1" x14ac:dyDescent="0.3">
      <c r="A2271">
        <v>39</v>
      </c>
      <c r="B2271" t="str">
        <f>VLOOKUP($A2271,[1]LISTA!$B:$C,2,0)</f>
        <v>SEPTIEMBRE</v>
      </c>
      <c r="C2271" s="1">
        <v>2025</v>
      </c>
      <c r="D2271" s="1" t="str">
        <f>IF($A2271&lt;=[1]RESULTADOS!$D$6,"YTD","YTG")</f>
        <v>YTD</v>
      </c>
      <c r="E2271" t="s">
        <v>496</v>
      </c>
      <c r="F2271" t="s">
        <v>667</v>
      </c>
      <c r="G2271" t="s">
        <v>667</v>
      </c>
      <c r="H2271" t="s">
        <v>668</v>
      </c>
      <c r="I2271" t="s">
        <v>384</v>
      </c>
      <c r="J2271" t="str">
        <f>IFERROR(VLOOKUP(I2271,[1]AUTOS!$C:$G,2,0),"")</f>
        <v>MARCH</v>
      </c>
      <c r="K2271">
        <f>IFERROR(VLOOKUP(I2271,[1]AUTOS!$C:$G,3,0),"")</f>
        <v>2022</v>
      </c>
      <c r="L2271" t="str">
        <f>IFERROR(VLOOKUP(I2271,[1]AUTOS!$C:$G,4,0),"")</f>
        <v>BLANCO</v>
      </c>
      <c r="M2271" t="s">
        <v>215</v>
      </c>
      <c r="N2271" s="3">
        <v>4915.8499999999995</v>
      </c>
      <c r="O2271" s="3">
        <v>893</v>
      </c>
      <c r="P2271" s="3">
        <v>893</v>
      </c>
      <c r="Q2271" s="3">
        <v>0</v>
      </c>
    </row>
    <row r="2272" spans="1:17" hidden="1" x14ac:dyDescent="0.3">
      <c r="A2272">
        <v>39</v>
      </c>
      <c r="B2272" t="str">
        <f>VLOOKUP($A2272,[1]LISTA!$B:$C,2,0)</f>
        <v>SEPTIEMBRE</v>
      </c>
      <c r="C2272" s="1">
        <v>2025</v>
      </c>
      <c r="D2272" s="1" t="str">
        <f>IF($A2272&lt;=[1]RESULTADOS!$D$6,"YTD","YTG")</f>
        <v>YTD</v>
      </c>
      <c r="E2272" t="s">
        <v>416</v>
      </c>
      <c r="F2272" t="s">
        <v>667</v>
      </c>
      <c r="G2272" t="s">
        <v>667</v>
      </c>
      <c r="H2272" t="s">
        <v>668</v>
      </c>
      <c r="I2272" t="s">
        <v>495</v>
      </c>
      <c r="J2272" t="str">
        <f>IFERROR(VLOOKUP(I2272,[1]AUTOS!$C:$G,2,0),"")</f>
        <v>VERSA</v>
      </c>
      <c r="K2272">
        <f>IFERROR(VLOOKUP(I2272,[1]AUTOS!$C:$G,3,0),"")</f>
        <v>2021</v>
      </c>
      <c r="L2272" t="str">
        <f>IFERROR(VLOOKUP(I2272,[1]AUTOS!$C:$G,4,0),"")</f>
        <v>BLANCO</v>
      </c>
      <c r="M2272" t="s">
        <v>140</v>
      </c>
      <c r="N2272" s="3">
        <v>3523.44</v>
      </c>
      <c r="O2272" s="3">
        <v>2500</v>
      </c>
      <c r="P2272" s="3">
        <v>2500</v>
      </c>
      <c r="Q2272" s="3">
        <v>0</v>
      </c>
    </row>
    <row r="2273" spans="1:17" hidden="1" x14ac:dyDescent="0.3">
      <c r="A2273">
        <v>39</v>
      </c>
      <c r="B2273" t="str">
        <f>VLOOKUP($A2273,[1]LISTA!$B:$C,2,0)</f>
        <v>SEPTIEMBRE</v>
      </c>
      <c r="C2273" s="1">
        <v>2025</v>
      </c>
      <c r="D2273" s="1" t="str">
        <f>IF($A2273&lt;=[1]RESULTADOS!$D$6,"YTD","YTG")</f>
        <v>YTD</v>
      </c>
      <c r="E2273" t="s">
        <v>708</v>
      </c>
      <c r="F2273" t="s">
        <v>667</v>
      </c>
      <c r="G2273" t="s">
        <v>667</v>
      </c>
      <c r="H2273" t="s">
        <v>668</v>
      </c>
      <c r="I2273" t="s">
        <v>384</v>
      </c>
      <c r="J2273" t="str">
        <f>IFERROR(VLOOKUP(I2273,[1]AUTOS!$C:$G,2,0),"")</f>
        <v>MARCH</v>
      </c>
      <c r="K2273">
        <f>IFERROR(VLOOKUP(I2273,[1]AUTOS!$C:$G,3,0),"")</f>
        <v>2022</v>
      </c>
      <c r="L2273" t="str">
        <f>IFERROR(VLOOKUP(I2273,[1]AUTOS!$C:$G,4,0),"")</f>
        <v>BLANCO</v>
      </c>
      <c r="M2273" t="s">
        <v>215</v>
      </c>
      <c r="N2273" s="3">
        <v>3145.64</v>
      </c>
      <c r="O2273" s="3">
        <v>2500</v>
      </c>
      <c r="P2273" s="3">
        <v>2500</v>
      </c>
      <c r="Q2273" s="3">
        <v>0</v>
      </c>
    </row>
    <row r="2274" spans="1:17" hidden="1" x14ac:dyDescent="0.3">
      <c r="A2274">
        <v>39</v>
      </c>
      <c r="B2274" t="str">
        <f>VLOOKUP($A2274,[1]LISTA!$B:$C,2,0)</f>
        <v>SEPTIEMBRE</v>
      </c>
      <c r="C2274" s="1">
        <v>2025</v>
      </c>
      <c r="D2274" s="1" t="str">
        <f>IF($A2274&lt;=[1]RESULTADOS!$D$6,"YTD","YTG")</f>
        <v>YTD</v>
      </c>
      <c r="E2274" t="s">
        <v>709</v>
      </c>
      <c r="F2274" t="s">
        <v>667</v>
      </c>
      <c r="G2274" t="s">
        <v>667</v>
      </c>
      <c r="H2274" t="s">
        <v>668</v>
      </c>
      <c r="I2274" t="s">
        <v>313</v>
      </c>
      <c r="J2274" t="str">
        <f>IFERROR(VLOOKUP(I2274,[1]AUTOS!$C:$G,2,0),"")</f>
        <v>MARCH</v>
      </c>
      <c r="K2274">
        <f>IFERROR(VLOOKUP(I2274,[1]AUTOS!$C:$G,3,0),"")</f>
        <v>2019</v>
      </c>
      <c r="L2274" t="str">
        <f>IFERROR(VLOOKUP(I2274,[1]AUTOS!$C:$G,4,0),"")</f>
        <v>TURQ</v>
      </c>
      <c r="M2274" t="s">
        <v>140</v>
      </c>
      <c r="N2274" s="3">
        <v>2751.47</v>
      </c>
      <c r="O2274" s="3">
        <v>1072</v>
      </c>
      <c r="P2274" s="3">
        <v>1286</v>
      </c>
      <c r="Q2274" s="3">
        <v>214</v>
      </c>
    </row>
    <row r="2275" spans="1:17" hidden="1" x14ac:dyDescent="0.3">
      <c r="A2275">
        <v>39</v>
      </c>
      <c r="B2275" t="str">
        <f>VLOOKUP($A2275,[1]LISTA!$B:$C,2,0)</f>
        <v>SEPTIEMBRE</v>
      </c>
      <c r="C2275" s="1">
        <v>2025</v>
      </c>
      <c r="D2275" s="1" t="str">
        <f>IF($A2275&lt;=[1]RESULTADOS!$D$6,"YTD","YTG")</f>
        <v>YTD</v>
      </c>
      <c r="E2275" t="s">
        <v>377</v>
      </c>
      <c r="F2275" t="s">
        <v>667</v>
      </c>
      <c r="G2275" t="s">
        <v>667</v>
      </c>
      <c r="H2275" t="s">
        <v>668</v>
      </c>
      <c r="I2275" t="s">
        <v>42</v>
      </c>
      <c r="J2275" t="str">
        <f>IFERROR(VLOOKUP(I2275,[1]AUTOS!$C:$G,2,0),"")</f>
        <v>VENTO</v>
      </c>
      <c r="K2275">
        <f>IFERROR(VLOOKUP(I2275,[1]AUTOS!$C:$G,3,0),"")</f>
        <v>2018</v>
      </c>
      <c r="L2275" t="str">
        <f>IFERROR(VLOOKUP(I2275,[1]AUTOS!$C:$G,4,0),"")</f>
        <v>AMARILLO</v>
      </c>
      <c r="M2275" t="s">
        <v>43</v>
      </c>
      <c r="N2275" s="3">
        <v>2144.0700000000002</v>
      </c>
      <c r="O2275" s="3">
        <v>1786</v>
      </c>
      <c r="P2275" s="3">
        <v>3994.07</v>
      </c>
      <c r="Q2275" s="3">
        <v>0</v>
      </c>
    </row>
    <row r="2276" spans="1:17" hidden="1" x14ac:dyDescent="0.3">
      <c r="A2276">
        <v>40</v>
      </c>
      <c r="B2276" t="str">
        <f>VLOOKUP($A2276,[1]LISTA!$B:$C,2,0)</f>
        <v>OCTUBRE</v>
      </c>
      <c r="C2276" s="1">
        <v>2025</v>
      </c>
      <c r="D2276" s="1" t="str">
        <f>IF($A2276&lt;=[1]RESULTADOS!$D$6,"YTD","YTG")</f>
        <v>YTG</v>
      </c>
      <c r="E2276" t="s">
        <v>497</v>
      </c>
      <c r="F2276" t="s">
        <v>667</v>
      </c>
      <c r="G2276" t="s">
        <v>667</v>
      </c>
      <c r="H2276" t="s">
        <v>668</v>
      </c>
      <c r="I2276" t="s">
        <v>116</v>
      </c>
      <c r="J2276" t="str">
        <f>IFERROR(VLOOKUP(I2276,[1]AUTOS!$C:$G,2,0),"")</f>
        <v>AVEO</v>
      </c>
      <c r="K2276">
        <f>IFERROR(VLOOKUP(I2276,[1]AUTOS!$C:$G,3,0),"")</f>
        <v>2022</v>
      </c>
      <c r="L2276" t="str">
        <f>IFERROR(VLOOKUP(I2276,[1]AUTOS!$C:$G,4,0),"")</f>
        <v>AZUL</v>
      </c>
      <c r="M2276" t="s">
        <v>43</v>
      </c>
      <c r="N2276" s="3">
        <v>3824.51</v>
      </c>
      <c r="O2276" s="3">
        <v>1780.71</v>
      </c>
      <c r="P2276" s="3">
        <v>2280.71</v>
      </c>
      <c r="Q2276" s="3">
        <v>500</v>
      </c>
    </row>
    <row r="2277" spans="1:17" hidden="1" x14ac:dyDescent="0.3">
      <c r="A2277">
        <v>40</v>
      </c>
      <c r="B2277" t="str">
        <f>VLOOKUP($A2277,[1]LISTA!$B:$C,2,0)</f>
        <v>OCTUBRE</v>
      </c>
      <c r="C2277" s="1">
        <v>2025</v>
      </c>
      <c r="D2277" s="1" t="str">
        <f>IF($A2277&lt;=[1]RESULTADOS!$D$6,"YTD","YTG")</f>
        <v>YTG</v>
      </c>
      <c r="E2277" t="s">
        <v>497</v>
      </c>
      <c r="F2277" t="s">
        <v>667</v>
      </c>
      <c r="G2277" t="s">
        <v>667</v>
      </c>
      <c r="H2277" t="s">
        <v>668</v>
      </c>
      <c r="I2277" t="s">
        <v>313</v>
      </c>
      <c r="J2277" t="str">
        <f>IFERROR(VLOOKUP(I2277,[1]AUTOS!$C:$G,2,0),"")</f>
        <v>MARCH</v>
      </c>
      <c r="K2277">
        <f>IFERROR(VLOOKUP(I2277,[1]AUTOS!$C:$G,3,0),"")</f>
        <v>2019</v>
      </c>
      <c r="L2277" t="str">
        <f>IFERROR(VLOOKUP(I2277,[1]AUTOS!$C:$G,4,0),"")</f>
        <v>TURQ</v>
      </c>
      <c r="M2277" t="s">
        <v>140</v>
      </c>
      <c r="N2277" s="3">
        <v>718.82999999999993</v>
      </c>
      <c r="O2277" s="3">
        <v>719</v>
      </c>
      <c r="P2277" s="3">
        <v>718.82999999999993</v>
      </c>
      <c r="Q2277" s="3">
        <v>0</v>
      </c>
    </row>
    <row r="2278" spans="1:17" hidden="1" x14ac:dyDescent="0.3">
      <c r="A2278">
        <v>40</v>
      </c>
      <c r="B2278" t="str">
        <f>VLOOKUP($A2278,[1]LISTA!$B:$C,2,0)</f>
        <v>OCTUBRE</v>
      </c>
      <c r="C2278" s="1">
        <v>2025</v>
      </c>
      <c r="D2278" s="1" t="str">
        <f>IF($A2278&lt;=[1]RESULTADOS!$D$6,"YTD","YTG")</f>
        <v>YTG</v>
      </c>
      <c r="E2278" t="s">
        <v>492</v>
      </c>
      <c r="F2278" t="s">
        <v>667</v>
      </c>
      <c r="G2278" t="s">
        <v>667</v>
      </c>
      <c r="H2278" t="s">
        <v>668</v>
      </c>
      <c r="I2278" t="s">
        <v>144</v>
      </c>
      <c r="J2278" t="str">
        <f>IFERROR(VLOOKUP(I2278,[1]AUTOS!$C:$G,2,0),"")</f>
        <v>VERSA</v>
      </c>
      <c r="K2278">
        <f>IFERROR(VLOOKUP(I2278,[1]AUTOS!$C:$G,3,0),"")</f>
        <v>2020</v>
      </c>
      <c r="L2278" t="str">
        <f>IFERROR(VLOOKUP(I2278,[1]AUTOS!$C:$G,4,0),"")</f>
        <v>ROJO</v>
      </c>
      <c r="M2278" t="s">
        <v>43</v>
      </c>
      <c r="N2278" s="3">
        <v>0</v>
      </c>
      <c r="O2278" s="3">
        <v>2500</v>
      </c>
      <c r="P2278" s="3">
        <v>2500</v>
      </c>
      <c r="Q2278" s="3">
        <v>0</v>
      </c>
    </row>
    <row r="2279" spans="1:17" hidden="1" x14ac:dyDescent="0.3">
      <c r="A2279">
        <v>40</v>
      </c>
      <c r="B2279" t="str">
        <f>VLOOKUP($A2279,[1]LISTA!$B:$C,2,0)</f>
        <v>OCTUBRE</v>
      </c>
      <c r="C2279" s="1">
        <v>2025</v>
      </c>
      <c r="D2279" s="1" t="str">
        <f>IF($A2279&lt;=[1]RESULTADOS!$D$6,"YTD","YTG")</f>
        <v>YTG</v>
      </c>
      <c r="E2279" t="s">
        <v>705</v>
      </c>
      <c r="F2279" t="s">
        <v>667</v>
      </c>
      <c r="G2279" t="s">
        <v>667</v>
      </c>
      <c r="H2279" t="s">
        <v>668</v>
      </c>
      <c r="I2279" t="s">
        <v>82</v>
      </c>
      <c r="J2279" t="str">
        <f>IFERROR(VLOOKUP(I2279,[1]AUTOS!$C:$G,2,0),"")</f>
        <v>AVEO</v>
      </c>
      <c r="K2279">
        <f>IFERROR(VLOOKUP(I2279,[1]AUTOS!$C:$G,3,0),"")</f>
        <v>2019</v>
      </c>
      <c r="L2279" t="str">
        <f>IFERROR(VLOOKUP(I2279,[1]AUTOS!$C:$G,4,0),"")</f>
        <v>PLATA</v>
      </c>
      <c r="M2279" t="s">
        <v>43</v>
      </c>
      <c r="N2279" s="3">
        <v>10093.039999999999</v>
      </c>
      <c r="O2279" s="3">
        <v>2500</v>
      </c>
      <c r="P2279" s="3">
        <v>3000</v>
      </c>
      <c r="Q2279" s="3">
        <v>500</v>
      </c>
    </row>
    <row r="2280" spans="1:17" hidden="1" x14ac:dyDescent="0.3">
      <c r="A2280">
        <v>40</v>
      </c>
      <c r="B2280" t="str">
        <f>VLOOKUP($A2280,[1]LISTA!$B:$C,2,0)</f>
        <v>OCTUBRE</v>
      </c>
      <c r="C2280" s="1">
        <v>2025</v>
      </c>
      <c r="D2280" s="1" t="str">
        <f>IF($A2280&lt;=[1]RESULTADOS!$D$6,"YTD","YTG")</f>
        <v>YTG</v>
      </c>
      <c r="E2280" t="s">
        <v>691</v>
      </c>
      <c r="F2280" t="s">
        <v>667</v>
      </c>
      <c r="G2280" t="s">
        <v>667</v>
      </c>
      <c r="H2280" t="s">
        <v>668</v>
      </c>
      <c r="I2280" t="s">
        <v>139</v>
      </c>
      <c r="J2280" t="str">
        <f>IFERROR(VLOOKUP(I2280,[1]AUTOS!$C:$G,2,0),"")</f>
        <v>SWIFT</v>
      </c>
      <c r="K2280">
        <f>IFERROR(VLOOKUP(I2280,[1]AUTOS!$C:$G,3,0),"")</f>
        <v>2017</v>
      </c>
      <c r="L2280" t="str">
        <f>IFERROR(VLOOKUP(I2280,[1]AUTOS!$C:$G,4,0),"")</f>
        <v>ROJO</v>
      </c>
      <c r="M2280" t="s">
        <v>140</v>
      </c>
      <c r="N2280" s="3">
        <v>3928.3600000000006</v>
      </c>
      <c r="O2280" s="3">
        <v>2500</v>
      </c>
      <c r="P2280" s="3">
        <v>2500</v>
      </c>
      <c r="Q2280" s="3">
        <v>0</v>
      </c>
    </row>
    <row r="2281" spans="1:17" hidden="1" x14ac:dyDescent="0.3">
      <c r="A2281">
        <v>40</v>
      </c>
      <c r="B2281" t="str">
        <f>VLOOKUP($A2281,[1]LISTA!$B:$C,2,0)</f>
        <v>OCTUBRE</v>
      </c>
      <c r="C2281" s="1">
        <v>2025</v>
      </c>
      <c r="D2281" s="1" t="str">
        <f>IF($A2281&lt;=[1]RESULTADOS!$D$6,"YTD","YTG")</f>
        <v>YTG</v>
      </c>
      <c r="E2281" t="s">
        <v>486</v>
      </c>
      <c r="F2281" t="s">
        <v>667</v>
      </c>
      <c r="G2281" t="s">
        <v>667</v>
      </c>
      <c r="H2281" t="s">
        <v>668</v>
      </c>
      <c r="I2281" t="s">
        <v>34</v>
      </c>
      <c r="J2281" t="str">
        <f>IFERROR(VLOOKUP(I2281,[1]AUTOS!$C:$G,2,0),"")</f>
        <v>AVEO</v>
      </c>
      <c r="K2281">
        <f>IFERROR(VLOOKUP(I2281,[1]AUTOS!$C:$G,3,0),"")</f>
        <v>2018</v>
      </c>
      <c r="L2281" t="str">
        <f>IFERROR(VLOOKUP(I2281,[1]AUTOS!$C:$G,4,0),"")</f>
        <v>ROJO</v>
      </c>
      <c r="M2281" t="s">
        <v>140</v>
      </c>
      <c r="N2281" s="3">
        <v>7804.51</v>
      </c>
      <c r="O2281" s="3">
        <v>2500</v>
      </c>
      <c r="P2281" s="3">
        <v>2250</v>
      </c>
      <c r="Q2281" s="3">
        <v>0</v>
      </c>
    </row>
    <row r="2282" spans="1:17" hidden="1" x14ac:dyDescent="0.3">
      <c r="A2282">
        <v>40</v>
      </c>
      <c r="B2282" t="str">
        <f>VLOOKUP($A2282,[1]LISTA!$B:$C,2,0)</f>
        <v>OCTUBRE</v>
      </c>
      <c r="C2282" s="1">
        <v>2025</v>
      </c>
      <c r="D2282" s="1" t="str">
        <f>IF($A2282&lt;=[1]RESULTADOS!$D$6,"YTD","YTG")</f>
        <v>YTG</v>
      </c>
      <c r="E2282" t="s">
        <v>399</v>
      </c>
      <c r="F2282" t="s">
        <v>667</v>
      </c>
      <c r="G2282" t="s">
        <v>667</v>
      </c>
      <c r="H2282" t="s">
        <v>668</v>
      </c>
      <c r="I2282" t="s">
        <v>162</v>
      </c>
      <c r="J2282" t="str">
        <f>IFERROR(VLOOKUP(I2282,[1]AUTOS!$C:$G,2,0),"")</f>
        <v>HYUNDAI</v>
      </c>
      <c r="K2282">
        <f>IFERROR(VLOOKUP(I2282,[1]AUTOS!$C:$G,3,0),"")</f>
        <v>2022</v>
      </c>
      <c r="L2282" t="str">
        <f>IFERROR(VLOOKUP(I2282,[1]AUTOS!$C:$G,4,0),"")</f>
        <v>PLATA</v>
      </c>
      <c r="M2282" t="s">
        <v>43</v>
      </c>
      <c r="N2282" s="3">
        <v>4688.17</v>
      </c>
      <c r="O2282" s="3">
        <v>2143</v>
      </c>
      <c r="P2282" s="3">
        <v>3143</v>
      </c>
      <c r="Q2282" s="3">
        <v>0</v>
      </c>
    </row>
    <row r="2283" spans="1:17" hidden="1" x14ac:dyDescent="0.3">
      <c r="A2283">
        <v>40</v>
      </c>
      <c r="B2283" t="str">
        <f>VLOOKUP($A2283,[1]LISTA!$B:$C,2,0)</f>
        <v>OCTUBRE</v>
      </c>
      <c r="C2283" s="1">
        <v>2025</v>
      </c>
      <c r="D2283" s="1" t="str">
        <f>IF($A2283&lt;=[1]RESULTADOS!$D$6,"YTD","YTG")</f>
        <v>YTG</v>
      </c>
      <c r="E2283" t="s">
        <v>574</v>
      </c>
      <c r="F2283" t="s">
        <v>667</v>
      </c>
      <c r="G2283" t="s">
        <v>667</v>
      </c>
      <c r="H2283" t="s">
        <v>668</v>
      </c>
      <c r="I2283" t="s">
        <v>46</v>
      </c>
      <c r="J2283" t="str">
        <f>IFERROR(VLOOKUP(I2283,[1]AUTOS!$C:$G,2,0),"")</f>
        <v>MARCH</v>
      </c>
      <c r="K2283">
        <f>IFERROR(VLOOKUP(I2283,[1]AUTOS!$C:$G,3,0),"")</f>
        <v>2020</v>
      </c>
      <c r="L2283" t="str">
        <f>IFERROR(VLOOKUP(I2283,[1]AUTOS!$C:$G,4,0),"")</f>
        <v>TURQ</v>
      </c>
      <c r="M2283" t="s">
        <v>43</v>
      </c>
      <c r="N2283" s="3">
        <v>332.34999999999997</v>
      </c>
      <c r="O2283" s="3">
        <v>714.28</v>
      </c>
      <c r="P2283" s="3">
        <v>714.34999999999991</v>
      </c>
      <c r="Q2283" s="3">
        <v>0</v>
      </c>
    </row>
    <row r="2284" spans="1:17" hidden="1" x14ac:dyDescent="0.3">
      <c r="A2284">
        <v>40</v>
      </c>
      <c r="B2284" t="str">
        <f>VLOOKUP($A2284,[1]LISTA!$B:$C,2,0)</f>
        <v>OCTUBRE</v>
      </c>
      <c r="C2284" s="1">
        <v>2025</v>
      </c>
      <c r="D2284" s="1" t="str">
        <f>IF($A2284&lt;=[1]RESULTADOS!$D$6,"YTD","YTG")</f>
        <v>YTG</v>
      </c>
      <c r="E2284" t="s">
        <v>574</v>
      </c>
      <c r="F2284" t="s">
        <v>667</v>
      </c>
      <c r="G2284" t="s">
        <v>667</v>
      </c>
      <c r="H2284" t="s">
        <v>668</v>
      </c>
      <c r="I2284" t="s">
        <v>333</v>
      </c>
      <c r="J2284" t="str">
        <f>IFERROR(VLOOKUP(I2284,[1]AUTOS!$C:$G,2,0),"")</f>
        <v>BEAT</v>
      </c>
      <c r="K2284">
        <f>IFERROR(VLOOKUP(I2284,[1]AUTOS!$C:$G,3,0),"")</f>
        <v>2019</v>
      </c>
      <c r="L2284" t="str">
        <f>IFERROR(VLOOKUP(I2284,[1]AUTOS!$C:$G,4,0),"")</f>
        <v>OCRE</v>
      </c>
      <c r="M2284" t="s">
        <v>140</v>
      </c>
      <c r="N2284" s="3">
        <v>2025.7099999999996</v>
      </c>
      <c r="O2284" s="3">
        <v>1785.7</v>
      </c>
      <c r="P2284" s="3">
        <v>2285.7099999999996</v>
      </c>
      <c r="Q2284" s="3">
        <v>500</v>
      </c>
    </row>
    <row r="2285" spans="1:17" hidden="1" x14ac:dyDescent="0.3">
      <c r="A2285">
        <v>40</v>
      </c>
      <c r="B2285" t="str">
        <f>VLOOKUP($A2285,[1]LISTA!$B:$C,2,0)</f>
        <v>OCTUBRE</v>
      </c>
      <c r="C2285" s="1">
        <v>2025</v>
      </c>
      <c r="D2285" s="1" t="str">
        <f>IF($A2285&lt;=[1]RESULTADOS!$D$6,"YTD","YTG")</f>
        <v>YTG</v>
      </c>
      <c r="E2285" t="s">
        <v>478</v>
      </c>
      <c r="F2285" t="s">
        <v>667</v>
      </c>
      <c r="G2285" t="s">
        <v>667</v>
      </c>
      <c r="H2285" t="s">
        <v>668</v>
      </c>
      <c r="I2285" t="s">
        <v>185</v>
      </c>
      <c r="J2285" t="str">
        <f>IFERROR(VLOOKUP(I2285,[1]AUTOS!$C:$G,2,0),"")</f>
        <v>MARCH</v>
      </c>
      <c r="K2285">
        <f>IFERROR(VLOOKUP(I2285,[1]AUTOS!$C:$G,3,0),"")</f>
        <v>2021</v>
      </c>
      <c r="L2285" t="str">
        <f>IFERROR(VLOOKUP(I2285,[1]AUTOS!$C:$G,4,0),"")</f>
        <v>ROJO</v>
      </c>
      <c r="M2285" t="s">
        <v>43</v>
      </c>
      <c r="N2285" s="3">
        <v>922.36999999999898</v>
      </c>
      <c r="O2285" s="3">
        <v>2500</v>
      </c>
      <c r="P2285" s="3">
        <v>2505.369999999999</v>
      </c>
      <c r="Q2285" s="3">
        <v>0</v>
      </c>
    </row>
    <row r="2286" spans="1:17" hidden="1" x14ac:dyDescent="0.3">
      <c r="A2286">
        <v>40</v>
      </c>
      <c r="B2286" t="str">
        <f>VLOOKUP($A2286,[1]LISTA!$B:$C,2,0)</f>
        <v>OCTUBRE</v>
      </c>
      <c r="C2286" s="1">
        <v>2025</v>
      </c>
      <c r="D2286" s="1" t="str">
        <f>IF($A2286&lt;=[1]RESULTADOS!$D$6,"YTD","YTG")</f>
        <v>YTG</v>
      </c>
      <c r="E2286" t="s">
        <v>436</v>
      </c>
      <c r="F2286" t="s">
        <v>667</v>
      </c>
      <c r="G2286" t="s">
        <v>667</v>
      </c>
      <c r="H2286" t="s">
        <v>668</v>
      </c>
      <c r="I2286" t="s">
        <v>112</v>
      </c>
      <c r="J2286" t="str">
        <f>IFERROR(VLOOKUP(I2286,[1]AUTOS!$C:$G,2,0),"")</f>
        <v>KIA RIO</v>
      </c>
      <c r="K2286">
        <f>IFERROR(VLOOKUP(I2286,[1]AUTOS!$C:$G,3,0),"")</f>
        <v>2020</v>
      </c>
      <c r="L2286" t="str">
        <f>IFERROR(VLOOKUP(I2286,[1]AUTOS!$C:$G,4,0),"")</f>
        <v>ROJO</v>
      </c>
      <c r="M2286" t="s">
        <v>140</v>
      </c>
      <c r="N2286" s="3">
        <v>2212.4899999999998</v>
      </c>
      <c r="O2286" s="3">
        <v>2143</v>
      </c>
      <c r="P2286" s="3">
        <v>2212.4899999999998</v>
      </c>
      <c r="Q2286" s="3">
        <v>0</v>
      </c>
    </row>
    <row r="2287" spans="1:17" hidden="1" x14ac:dyDescent="0.3">
      <c r="A2287">
        <v>40</v>
      </c>
      <c r="B2287" t="str">
        <f>VLOOKUP($A2287,[1]LISTA!$B:$C,2,0)</f>
        <v>OCTUBRE</v>
      </c>
      <c r="C2287" s="1">
        <v>2025</v>
      </c>
      <c r="D2287" s="1" t="str">
        <f>IF($A2287&lt;=[1]RESULTADOS!$D$6,"YTD","YTG")</f>
        <v>YTG</v>
      </c>
      <c r="E2287" t="s">
        <v>642</v>
      </c>
      <c r="F2287" t="s">
        <v>667</v>
      </c>
      <c r="G2287" t="s">
        <v>667</v>
      </c>
      <c r="H2287" t="s">
        <v>668</v>
      </c>
      <c r="I2287" t="s">
        <v>370</v>
      </c>
      <c r="J2287" t="str">
        <f>IFERROR(VLOOKUP(I2287,[1]AUTOS!$C:$G,2,0),"")</f>
        <v>KIA RIO</v>
      </c>
      <c r="K2287">
        <f>IFERROR(VLOOKUP(I2287,[1]AUTOS!$C:$G,3,0),"")</f>
        <v>2020</v>
      </c>
      <c r="L2287" t="str">
        <f>IFERROR(VLOOKUP(I2287,[1]AUTOS!$C:$G,4,0),"")</f>
        <v>AZUL</v>
      </c>
      <c r="M2287" t="s">
        <v>215</v>
      </c>
      <c r="N2287" s="3">
        <v>2469.8500000000004</v>
      </c>
      <c r="O2287" s="3">
        <v>2600</v>
      </c>
      <c r="P2287" s="3">
        <v>3099.8500000000004</v>
      </c>
      <c r="Q2287" s="3">
        <v>500</v>
      </c>
    </row>
    <row r="2288" spans="1:17" hidden="1" x14ac:dyDescent="0.3">
      <c r="A2288">
        <v>40</v>
      </c>
      <c r="B2288" t="str">
        <f>VLOOKUP($A2288,[1]LISTA!$B:$C,2,0)</f>
        <v>OCTUBRE</v>
      </c>
      <c r="C2288" s="1">
        <v>2025</v>
      </c>
      <c r="D2288" s="1" t="str">
        <f>IF($A2288&lt;=[1]RESULTADOS!$D$6,"YTD","YTG")</f>
        <v>YTG</v>
      </c>
      <c r="E2288" t="s">
        <v>706</v>
      </c>
      <c r="F2288" t="s">
        <v>667</v>
      </c>
      <c r="G2288" t="s">
        <v>667</v>
      </c>
      <c r="H2288" t="s">
        <v>668</v>
      </c>
      <c r="I2288" t="s">
        <v>131</v>
      </c>
      <c r="J2288" t="str">
        <f>IFERROR(VLOOKUP(I2288,[1]AUTOS!$C:$G,2,0),"")</f>
        <v>AVEO</v>
      </c>
      <c r="K2288">
        <f>IFERROR(VLOOKUP(I2288,[1]AUTOS!$C:$G,3,0),"")</f>
        <v>2024</v>
      </c>
      <c r="L2288" t="str">
        <f>IFERROR(VLOOKUP(I2288,[1]AUTOS!$C:$G,4,0),"")</f>
        <v>GRIS</v>
      </c>
      <c r="M2288" t="s">
        <v>43</v>
      </c>
      <c r="N2288" s="3">
        <v>2111.7200000000003</v>
      </c>
      <c r="O2288" s="3">
        <v>2500</v>
      </c>
      <c r="P2288" s="3">
        <v>2999.7200000000003</v>
      </c>
      <c r="Q2288" s="3">
        <v>500</v>
      </c>
    </row>
    <row r="2289" spans="1:17" hidden="1" x14ac:dyDescent="0.3">
      <c r="A2289">
        <v>40</v>
      </c>
      <c r="B2289" t="str">
        <f>VLOOKUP($A2289,[1]LISTA!$B:$C,2,0)</f>
        <v>OCTUBRE</v>
      </c>
      <c r="C2289" s="1">
        <v>2025</v>
      </c>
      <c r="D2289" s="1" t="str">
        <f>IF($A2289&lt;=[1]RESULTADOS!$D$6,"YTD","YTG")</f>
        <v>YTG</v>
      </c>
      <c r="E2289" t="s">
        <v>474</v>
      </c>
      <c r="F2289" t="s">
        <v>667</v>
      </c>
      <c r="G2289" t="s">
        <v>667</v>
      </c>
      <c r="H2289" t="s">
        <v>668</v>
      </c>
      <c r="I2289" t="s">
        <v>333</v>
      </c>
      <c r="J2289" t="str">
        <f>IFERROR(VLOOKUP(I2289,[1]AUTOS!$C:$G,2,0),"")</f>
        <v>BEAT</v>
      </c>
      <c r="K2289">
        <f>IFERROR(VLOOKUP(I2289,[1]AUTOS!$C:$G,3,0),"")</f>
        <v>2019</v>
      </c>
      <c r="L2289" t="str">
        <f>IFERROR(VLOOKUP(I2289,[1]AUTOS!$C:$G,4,0),"")</f>
        <v>OCRE</v>
      </c>
      <c r="M2289" t="s">
        <v>140</v>
      </c>
      <c r="N2289" s="3">
        <v>1612.34</v>
      </c>
      <c r="O2289" s="3">
        <v>1612</v>
      </c>
      <c r="P2289" s="3">
        <v>1612</v>
      </c>
      <c r="Q2289" s="3">
        <v>0</v>
      </c>
    </row>
    <row r="2290" spans="1:17" hidden="1" x14ac:dyDescent="0.3">
      <c r="A2290">
        <v>40</v>
      </c>
      <c r="B2290" t="str">
        <f>VLOOKUP($A2290,[1]LISTA!$B:$C,2,0)</f>
        <v>OCTUBRE</v>
      </c>
      <c r="C2290" s="1">
        <v>2025</v>
      </c>
      <c r="D2290" s="1" t="str">
        <f>IF($A2290&lt;=[1]RESULTADOS!$D$6,"YTD","YTG")</f>
        <v>YTG</v>
      </c>
      <c r="E2290" t="s">
        <v>540</v>
      </c>
      <c r="F2290" t="s">
        <v>667</v>
      </c>
      <c r="G2290" t="s">
        <v>667</v>
      </c>
      <c r="H2290" t="s">
        <v>668</v>
      </c>
      <c r="I2290" t="s">
        <v>366</v>
      </c>
      <c r="J2290" t="str">
        <f>IFERROR(VLOOKUP(I2290,[1]AUTOS!$C:$G,2,0),"")</f>
        <v>VENTO</v>
      </c>
      <c r="K2290">
        <f>IFERROR(VLOOKUP(I2290,[1]AUTOS!$C:$G,3,0),"")</f>
        <v>2019</v>
      </c>
      <c r="L2290" t="str">
        <f>IFERROR(VLOOKUP(I2290,[1]AUTOS!$C:$G,4,0),"")</f>
        <v>BLANCO</v>
      </c>
      <c r="M2290" t="s">
        <v>215</v>
      </c>
      <c r="N2290" s="3">
        <v>0</v>
      </c>
      <c r="O2290" s="3">
        <v>0</v>
      </c>
      <c r="P2290" s="3">
        <v>-200</v>
      </c>
      <c r="Q2290" s="3">
        <v>0</v>
      </c>
    </row>
    <row r="2291" spans="1:17" hidden="1" x14ac:dyDescent="0.3">
      <c r="A2291">
        <v>40</v>
      </c>
      <c r="B2291" t="str">
        <f>VLOOKUP($A2291,[1]LISTA!$B:$C,2,0)</f>
        <v>OCTUBRE</v>
      </c>
      <c r="C2291" s="1">
        <v>2025</v>
      </c>
      <c r="D2291" s="1" t="str">
        <f>IF($A2291&lt;=[1]RESULTADOS!$D$6,"YTD","YTG")</f>
        <v>YTG</v>
      </c>
      <c r="E2291" t="s">
        <v>607</v>
      </c>
      <c r="F2291" t="s">
        <v>667</v>
      </c>
      <c r="G2291" t="s">
        <v>667</v>
      </c>
      <c r="H2291" t="s">
        <v>668</v>
      </c>
      <c r="I2291" t="s">
        <v>560</v>
      </c>
      <c r="J2291" t="str">
        <f>IFERROR(VLOOKUP(I2291,[1]AUTOS!$C:$G,2,0),"")</f>
        <v>AVEO</v>
      </c>
      <c r="K2291">
        <f>IFERROR(VLOOKUP(I2291,[1]AUTOS!$C:$G,3,0),"")</f>
        <v>2023</v>
      </c>
      <c r="L2291" t="str">
        <f>IFERROR(VLOOKUP(I2291,[1]AUTOS!$C:$G,4,0),"")</f>
        <v>VINO</v>
      </c>
      <c r="M2291" t="s">
        <v>140</v>
      </c>
      <c r="N2291" s="3">
        <v>-144.95999999999958</v>
      </c>
      <c r="O2291" s="3">
        <v>2500</v>
      </c>
      <c r="P2291" s="3">
        <v>2155.0400000000004</v>
      </c>
      <c r="Q2291" s="3">
        <v>0</v>
      </c>
    </row>
    <row r="2292" spans="1:17" hidden="1" x14ac:dyDescent="0.3">
      <c r="A2292">
        <v>40</v>
      </c>
      <c r="B2292" t="str">
        <f>VLOOKUP($A2292,[1]LISTA!$B:$C,2,0)</f>
        <v>OCTUBRE</v>
      </c>
      <c r="C2292" s="1">
        <v>2025</v>
      </c>
      <c r="D2292" s="1" t="str">
        <f>IF($A2292&lt;=[1]RESULTADOS!$D$6,"YTD","YTG")</f>
        <v>YTG</v>
      </c>
      <c r="E2292" t="s">
        <v>456</v>
      </c>
      <c r="F2292" t="s">
        <v>667</v>
      </c>
      <c r="G2292" t="s">
        <v>667</v>
      </c>
      <c r="H2292" t="s">
        <v>668</v>
      </c>
      <c r="I2292" t="s">
        <v>146</v>
      </c>
      <c r="J2292" t="str">
        <f>IFERROR(VLOOKUP(I2292,[1]AUTOS!$C:$G,2,0),"")</f>
        <v>KIA RIO</v>
      </c>
      <c r="K2292">
        <f>IFERROR(VLOOKUP(I2292,[1]AUTOS!$C:$G,3,0),"")</f>
        <v>2023</v>
      </c>
      <c r="L2292" t="str">
        <f>IFERROR(VLOOKUP(I2292,[1]AUTOS!$C:$G,4,0),"")</f>
        <v>ROJO</v>
      </c>
      <c r="M2292" t="s">
        <v>140</v>
      </c>
      <c r="N2292" s="3">
        <v>2510.3999999999996</v>
      </c>
      <c r="O2292" s="3">
        <v>2500</v>
      </c>
      <c r="P2292" s="3">
        <v>2500</v>
      </c>
      <c r="Q2292" s="3">
        <v>0</v>
      </c>
    </row>
    <row r="2293" spans="1:17" hidden="1" x14ac:dyDescent="0.3">
      <c r="A2293">
        <v>40</v>
      </c>
      <c r="B2293" t="str">
        <f>VLOOKUP($A2293,[1]LISTA!$B:$C,2,0)</f>
        <v>OCTUBRE</v>
      </c>
      <c r="C2293" s="1">
        <v>2025</v>
      </c>
      <c r="D2293" s="1" t="str">
        <f>IF($A2293&lt;=[1]RESULTADOS!$D$6,"YTD","YTG")</f>
        <v>YTG</v>
      </c>
      <c r="E2293" t="s">
        <v>411</v>
      </c>
      <c r="F2293" t="s">
        <v>667</v>
      </c>
      <c r="G2293" t="s">
        <v>667</v>
      </c>
      <c r="H2293" t="s">
        <v>668</v>
      </c>
      <c r="I2293" t="s">
        <v>178</v>
      </c>
      <c r="J2293" t="str">
        <f>IFERROR(VLOOKUP(I2293,[1]AUTOS!$C:$G,2,0),"")</f>
        <v>VERSA</v>
      </c>
      <c r="K2293">
        <f>IFERROR(VLOOKUP(I2293,[1]AUTOS!$C:$G,3,0),"")</f>
        <v>2020</v>
      </c>
      <c r="L2293" t="str">
        <f>IFERROR(VLOOKUP(I2293,[1]AUTOS!$C:$G,4,0),"")</f>
        <v>BLANCO</v>
      </c>
      <c r="M2293" t="s">
        <v>43</v>
      </c>
      <c r="N2293" s="3">
        <v>3010.6599999999989</v>
      </c>
      <c r="O2293" s="3">
        <v>2500</v>
      </c>
      <c r="P2293" s="3">
        <v>2500</v>
      </c>
      <c r="Q2293" s="3">
        <v>0</v>
      </c>
    </row>
    <row r="2294" spans="1:17" hidden="1" x14ac:dyDescent="0.3">
      <c r="A2294">
        <v>40</v>
      </c>
      <c r="B2294" t="str">
        <f>VLOOKUP($A2294,[1]LISTA!$B:$C,2,0)</f>
        <v>OCTUBRE</v>
      </c>
      <c r="C2294" s="1">
        <v>2025</v>
      </c>
      <c r="D2294" s="1" t="str">
        <f>IF($A2294&lt;=[1]RESULTADOS!$D$6,"YTD","YTG")</f>
        <v>YTG</v>
      </c>
      <c r="E2294" t="s">
        <v>518</v>
      </c>
      <c r="F2294" t="s">
        <v>667</v>
      </c>
      <c r="G2294" t="s">
        <v>667</v>
      </c>
      <c r="H2294" t="s">
        <v>668</v>
      </c>
      <c r="I2294" t="s">
        <v>384</v>
      </c>
      <c r="J2294" t="str">
        <f>IFERROR(VLOOKUP(I2294,[1]AUTOS!$C:$G,2,0),"")</f>
        <v>MARCH</v>
      </c>
      <c r="K2294">
        <f>IFERROR(VLOOKUP(I2294,[1]AUTOS!$C:$G,3,0),"")</f>
        <v>2022</v>
      </c>
      <c r="L2294" t="str">
        <f>IFERROR(VLOOKUP(I2294,[1]AUTOS!$C:$G,4,0),"")</f>
        <v>BLANCO</v>
      </c>
      <c r="M2294" t="s">
        <v>215</v>
      </c>
      <c r="N2294" s="3">
        <v>2500</v>
      </c>
      <c r="O2294" s="3">
        <v>2500</v>
      </c>
      <c r="P2294" s="3">
        <v>2500</v>
      </c>
      <c r="Q2294" s="3">
        <v>500</v>
      </c>
    </row>
    <row r="2295" spans="1:17" hidden="1" x14ac:dyDescent="0.3">
      <c r="A2295">
        <v>40</v>
      </c>
      <c r="B2295" t="str">
        <f>VLOOKUP($A2295,[1]LISTA!$B:$C,2,0)</f>
        <v>OCTUBRE</v>
      </c>
      <c r="C2295" s="1">
        <v>2025</v>
      </c>
      <c r="D2295" s="1" t="str">
        <f>IF($A2295&lt;=[1]RESULTADOS!$D$6,"YTD","YTG")</f>
        <v>YTG</v>
      </c>
      <c r="E2295" t="s">
        <v>633</v>
      </c>
      <c r="F2295" t="s">
        <v>667</v>
      </c>
      <c r="G2295" t="s">
        <v>667</v>
      </c>
      <c r="H2295" t="s">
        <v>668</v>
      </c>
      <c r="I2295" t="s">
        <v>46</v>
      </c>
      <c r="J2295" t="str">
        <f>IFERROR(VLOOKUP(I2295,[1]AUTOS!$C:$G,2,0),"")</f>
        <v>MARCH</v>
      </c>
      <c r="K2295">
        <f>IFERROR(VLOOKUP(I2295,[1]AUTOS!$C:$G,3,0),"")</f>
        <v>2020</v>
      </c>
      <c r="L2295" t="str">
        <f>IFERROR(VLOOKUP(I2295,[1]AUTOS!$C:$G,4,0),"")</f>
        <v>TURQ</v>
      </c>
      <c r="M2295" t="s">
        <v>43</v>
      </c>
      <c r="N2295" s="3">
        <v>2932.01</v>
      </c>
      <c r="O2295" s="3">
        <v>1428.57</v>
      </c>
      <c r="P2295" s="3">
        <v>1714.28</v>
      </c>
      <c r="Q2295" s="3">
        <v>285.70999999999998</v>
      </c>
    </row>
    <row r="2296" spans="1:17" hidden="1" x14ac:dyDescent="0.3">
      <c r="A2296">
        <v>40</v>
      </c>
      <c r="B2296" t="str">
        <f>VLOOKUP($A2296,[1]LISTA!$B:$C,2,0)</f>
        <v>OCTUBRE</v>
      </c>
      <c r="C2296" s="1">
        <v>2025</v>
      </c>
      <c r="D2296" s="1" t="str">
        <f>IF($A2296&lt;=[1]RESULTADOS!$D$6,"YTD","YTG")</f>
        <v>YTG</v>
      </c>
      <c r="E2296" t="s">
        <v>703</v>
      </c>
      <c r="F2296" t="s">
        <v>667</v>
      </c>
      <c r="G2296" t="s">
        <v>667</v>
      </c>
      <c r="H2296" t="s">
        <v>668</v>
      </c>
      <c r="I2296" t="s">
        <v>182</v>
      </c>
      <c r="J2296" t="str">
        <f>IFERROR(VLOOKUP(I2296,[1]AUTOS!$C:$G,2,0),"")</f>
        <v>AVEO</v>
      </c>
      <c r="K2296">
        <f>IFERROR(VLOOKUP(I2296,[1]AUTOS!$C:$G,3,0),"")</f>
        <v>2020</v>
      </c>
      <c r="L2296" t="str">
        <f>IFERROR(VLOOKUP(I2296,[1]AUTOS!$C:$G,4,0),"")</f>
        <v>AZUL</v>
      </c>
      <c r="M2296" t="s">
        <v>43</v>
      </c>
      <c r="N2296" s="3">
        <v>1421.63</v>
      </c>
      <c r="O2296" s="3">
        <v>2500</v>
      </c>
      <c r="P2296" s="3">
        <v>2499.63</v>
      </c>
      <c r="Q2296" s="3">
        <v>0</v>
      </c>
    </row>
    <row r="2297" spans="1:17" hidden="1" x14ac:dyDescent="0.3">
      <c r="A2297">
        <v>40</v>
      </c>
      <c r="B2297" t="str">
        <f>VLOOKUP($A2297,[1]LISTA!$B:$C,2,0)</f>
        <v>OCTUBRE</v>
      </c>
      <c r="C2297" s="1">
        <v>2025</v>
      </c>
      <c r="D2297" s="1" t="str">
        <f>IF($A2297&lt;=[1]RESULTADOS!$D$6,"YTD","YTG")</f>
        <v>YTG</v>
      </c>
      <c r="E2297" t="s">
        <v>681</v>
      </c>
      <c r="F2297" t="s">
        <v>667</v>
      </c>
      <c r="G2297" t="s">
        <v>667</v>
      </c>
      <c r="H2297" t="s">
        <v>668</v>
      </c>
      <c r="I2297" t="s">
        <v>510</v>
      </c>
      <c r="J2297" t="str">
        <f>IFERROR(VLOOKUP(I2297,[1]AUTOS!$C:$G,2,0),"")</f>
        <v>AVEO</v>
      </c>
      <c r="K2297">
        <f>IFERROR(VLOOKUP(I2297,[1]AUTOS!$C:$G,3,0),"")</f>
        <v>2023</v>
      </c>
      <c r="L2297" t="str">
        <f>IFERROR(VLOOKUP(I2297,[1]AUTOS!$C:$G,4,0),"")</f>
        <v>GRIS</v>
      </c>
      <c r="M2297" t="s">
        <v>43</v>
      </c>
      <c r="N2297" s="3">
        <v>2560.5699999999997</v>
      </c>
      <c r="O2297" s="3">
        <v>2500</v>
      </c>
      <c r="P2297" s="3">
        <v>2542</v>
      </c>
      <c r="Q2297" s="3">
        <v>0</v>
      </c>
    </row>
    <row r="2298" spans="1:17" hidden="1" x14ac:dyDescent="0.3">
      <c r="A2298">
        <v>40</v>
      </c>
      <c r="B2298" t="str">
        <f>VLOOKUP($A2298,[1]LISTA!$B:$C,2,0)</f>
        <v>OCTUBRE</v>
      </c>
      <c r="C2298" s="1">
        <v>2025</v>
      </c>
      <c r="D2298" s="1" t="str">
        <f>IF($A2298&lt;=[1]RESULTADOS!$D$6,"YTD","YTG")</f>
        <v>YTG</v>
      </c>
      <c r="E2298" t="s">
        <v>675</v>
      </c>
      <c r="F2298" t="s">
        <v>667</v>
      </c>
      <c r="G2298" t="s">
        <v>667</v>
      </c>
      <c r="H2298" t="s">
        <v>668</v>
      </c>
      <c r="I2298" t="s">
        <v>440</v>
      </c>
      <c r="J2298" t="str">
        <f>IFERROR(VLOOKUP(I2298,[1]AUTOS!$C:$G,2,0),"")</f>
        <v>AVEO</v>
      </c>
      <c r="K2298">
        <f>IFERROR(VLOOKUP(I2298,[1]AUTOS!$C:$G,3,0),"")</f>
        <v>2021</v>
      </c>
      <c r="L2298" t="str">
        <f>IFERROR(VLOOKUP(I2298,[1]AUTOS!$C:$G,4,0),"")</f>
        <v>GRIS</v>
      </c>
      <c r="M2298" t="s">
        <v>140</v>
      </c>
      <c r="N2298" s="3">
        <v>2883.79</v>
      </c>
      <c r="O2298" s="3">
        <v>2500</v>
      </c>
      <c r="P2298" s="3">
        <v>3083.79</v>
      </c>
      <c r="Q2298" s="3">
        <v>0</v>
      </c>
    </row>
    <row r="2299" spans="1:17" hidden="1" x14ac:dyDescent="0.3">
      <c r="A2299">
        <v>40</v>
      </c>
      <c r="B2299" t="str">
        <f>VLOOKUP($A2299,[1]LISTA!$B:$C,2,0)</f>
        <v>OCTUBRE</v>
      </c>
      <c r="C2299" s="1">
        <v>2025</v>
      </c>
      <c r="D2299" s="1" t="str">
        <f>IF($A2299&lt;=[1]RESULTADOS!$D$6,"YTD","YTG")</f>
        <v>YTG</v>
      </c>
      <c r="E2299" t="s">
        <v>622</v>
      </c>
      <c r="F2299" t="s">
        <v>667</v>
      </c>
      <c r="G2299" t="s">
        <v>667</v>
      </c>
      <c r="H2299" t="s">
        <v>668</v>
      </c>
      <c r="I2299" t="s">
        <v>76</v>
      </c>
      <c r="J2299" t="str">
        <f>IFERROR(VLOOKUP(I2299,[1]AUTOS!$C:$G,2,0),"")</f>
        <v>AVEO</v>
      </c>
      <c r="K2299">
        <f>IFERROR(VLOOKUP(I2299,[1]AUTOS!$C:$G,3,0),"")</f>
        <v>2018</v>
      </c>
      <c r="L2299" t="str">
        <f>IFERROR(VLOOKUP(I2299,[1]AUTOS!$C:$G,4,0),"")</f>
        <v>GRIS</v>
      </c>
      <c r="M2299" t="s">
        <v>43</v>
      </c>
      <c r="N2299" s="3">
        <v>3356.27</v>
      </c>
      <c r="O2299" s="3">
        <v>2500</v>
      </c>
      <c r="P2299" s="3">
        <v>3000</v>
      </c>
      <c r="Q2299" s="3">
        <v>500</v>
      </c>
    </row>
    <row r="2300" spans="1:17" hidden="1" x14ac:dyDescent="0.3">
      <c r="A2300">
        <v>40</v>
      </c>
      <c r="B2300" t="str">
        <f>VLOOKUP($A2300,[1]LISTA!$B:$C,2,0)</f>
        <v>OCTUBRE</v>
      </c>
      <c r="C2300" s="1">
        <v>2025</v>
      </c>
      <c r="D2300" s="1" t="str">
        <f>IF($A2300&lt;=[1]RESULTADOS!$D$6,"YTD","YTG")</f>
        <v>YTG</v>
      </c>
      <c r="E2300" t="s">
        <v>563</v>
      </c>
      <c r="F2300" t="s">
        <v>667</v>
      </c>
      <c r="G2300" t="s">
        <v>667</v>
      </c>
      <c r="H2300" t="s">
        <v>668</v>
      </c>
      <c r="I2300" t="s">
        <v>61</v>
      </c>
      <c r="J2300" t="str">
        <f>IFERROR(VLOOKUP(I2300,[1]AUTOS!$C:$G,2,0),"")</f>
        <v>KIA RIO</v>
      </c>
      <c r="K2300">
        <f>IFERROR(VLOOKUP(I2300,[1]AUTOS!$C:$G,3,0),"")</f>
        <v>2017</v>
      </c>
      <c r="L2300" t="str">
        <f>IFERROR(VLOOKUP(I2300,[1]AUTOS!$C:$G,4,0),"")</f>
        <v>ROJO</v>
      </c>
      <c r="M2300" t="s">
        <v>140</v>
      </c>
      <c r="N2300" s="3">
        <v>3567.85</v>
      </c>
      <c r="O2300" s="3">
        <v>2500</v>
      </c>
      <c r="P2300" s="3">
        <v>3125</v>
      </c>
      <c r="Q2300" s="3">
        <v>0</v>
      </c>
    </row>
    <row r="2301" spans="1:17" hidden="1" x14ac:dyDescent="0.3">
      <c r="A2301">
        <v>40</v>
      </c>
      <c r="B2301" t="str">
        <f>VLOOKUP($A2301,[1]LISTA!$B:$C,2,0)</f>
        <v>OCTUBRE</v>
      </c>
      <c r="C2301" s="1">
        <v>2025</v>
      </c>
      <c r="D2301" s="1" t="str">
        <f>IF($A2301&lt;=[1]RESULTADOS!$D$6,"YTD","YTG")</f>
        <v>YTG</v>
      </c>
      <c r="E2301" t="s">
        <v>707</v>
      </c>
      <c r="F2301" t="s">
        <v>667</v>
      </c>
      <c r="G2301" t="s">
        <v>667</v>
      </c>
      <c r="H2301" t="s">
        <v>668</v>
      </c>
      <c r="I2301" t="s">
        <v>383</v>
      </c>
      <c r="J2301" t="str">
        <f>IFERROR(VLOOKUP(I2301,[1]AUTOS!$C:$G,2,0),"")</f>
        <v>VENTO</v>
      </c>
      <c r="K2301">
        <f>IFERROR(VLOOKUP(I2301,[1]AUTOS!$C:$G,3,0),"")</f>
        <v>2020</v>
      </c>
      <c r="L2301" t="str">
        <f>IFERROR(VLOOKUP(I2301,[1]AUTOS!$C:$G,4,0),"")</f>
        <v>GRIS</v>
      </c>
      <c r="M2301" t="s">
        <v>215</v>
      </c>
      <c r="N2301" s="3">
        <v>3341.1700000000005</v>
      </c>
      <c r="O2301" s="3">
        <v>2500</v>
      </c>
      <c r="P2301" s="3">
        <v>3956.1700000000005</v>
      </c>
      <c r="Q2301" s="3">
        <v>500</v>
      </c>
    </row>
    <row r="2302" spans="1:17" x14ac:dyDescent="0.3">
      <c r="A2302">
        <v>40</v>
      </c>
      <c r="B2302" t="str">
        <f>VLOOKUP($A2302,[1]LISTA!$B:$C,2,0)</f>
        <v>OCTUBRE</v>
      </c>
      <c r="C2302" s="1">
        <v>2025</v>
      </c>
      <c r="D2302" s="1" t="str">
        <f>IF($A2302&lt;=[1]RESULTADOS!$D$6,"YTD","YTG")</f>
        <v>YTG</v>
      </c>
      <c r="E2302" t="s">
        <v>403</v>
      </c>
      <c r="F2302" t="s">
        <v>667</v>
      </c>
      <c r="G2302" t="s">
        <v>667</v>
      </c>
      <c r="H2302" t="s">
        <v>668</v>
      </c>
      <c r="I2302" t="s">
        <v>72</v>
      </c>
      <c r="J2302" t="str">
        <f>IFERROR(VLOOKUP(I2302,[1]AUTOS!$C:$G,2,0),"")</f>
        <v>VENTO</v>
      </c>
      <c r="K2302">
        <f>IFERROR(VLOOKUP(I2302,[1]AUTOS!$C:$G,3,0),"")</f>
        <v>2020</v>
      </c>
      <c r="L2302" t="str">
        <f>IFERROR(VLOOKUP(I2302,[1]AUTOS!$C:$G,4,0),"")</f>
        <v>GRIS</v>
      </c>
      <c r="M2302" t="s">
        <v>43</v>
      </c>
      <c r="N2302" s="3">
        <v>748.83999999999992</v>
      </c>
      <c r="O2302" s="3">
        <v>2143</v>
      </c>
      <c r="P2302" s="3">
        <v>3202.84</v>
      </c>
      <c r="Q2302" s="3">
        <v>0</v>
      </c>
    </row>
    <row r="2303" spans="1:17" hidden="1" x14ac:dyDescent="0.3">
      <c r="A2303">
        <v>40</v>
      </c>
      <c r="B2303" t="str">
        <f>VLOOKUP($A2303,[1]LISTA!$B:$C,2,0)</f>
        <v>OCTUBRE</v>
      </c>
      <c r="C2303" s="1">
        <v>2025</v>
      </c>
      <c r="D2303" s="1" t="str">
        <f>IF($A2303&lt;=[1]RESULTADOS!$D$6,"YTD","YTG")</f>
        <v>YTG</v>
      </c>
      <c r="E2303" t="s">
        <v>470</v>
      </c>
      <c r="F2303" t="s">
        <v>667</v>
      </c>
      <c r="G2303" t="s">
        <v>667</v>
      </c>
      <c r="H2303" t="s">
        <v>668</v>
      </c>
      <c r="I2303" t="s">
        <v>73</v>
      </c>
      <c r="J2303" t="str">
        <f>IFERROR(VLOOKUP(I2303,[1]AUTOS!$C:$G,2,0),"")</f>
        <v>VERSA</v>
      </c>
      <c r="K2303">
        <f>IFERROR(VLOOKUP(I2303,[1]AUTOS!$C:$G,3,0),"")</f>
        <v>2023</v>
      </c>
      <c r="L2303" t="str">
        <f>IFERROR(VLOOKUP(I2303,[1]AUTOS!$C:$G,4,0),"")</f>
        <v>PLATA</v>
      </c>
      <c r="M2303" t="s">
        <v>43</v>
      </c>
      <c r="N2303" s="3">
        <v>932.92000000000007</v>
      </c>
      <c r="O2303" s="3">
        <v>2500</v>
      </c>
      <c r="P2303" s="3">
        <v>2489.92</v>
      </c>
      <c r="Q2303" s="3">
        <v>0</v>
      </c>
    </row>
    <row r="2304" spans="1:17" hidden="1" x14ac:dyDescent="0.3">
      <c r="A2304">
        <v>40</v>
      </c>
      <c r="B2304" t="str">
        <f>VLOOKUP($A2304,[1]LISTA!$B:$C,2,0)</f>
        <v>OCTUBRE</v>
      </c>
      <c r="C2304" s="1">
        <v>2025</v>
      </c>
      <c r="D2304" s="1" t="str">
        <f>IF($A2304&lt;=[1]RESULTADOS!$D$6,"YTD","YTG")</f>
        <v>YTG</v>
      </c>
      <c r="E2304" t="s">
        <v>537</v>
      </c>
      <c r="F2304" t="s">
        <v>667</v>
      </c>
      <c r="G2304" t="s">
        <v>667</v>
      </c>
      <c r="H2304" t="s">
        <v>668</v>
      </c>
      <c r="I2304" t="s">
        <v>214</v>
      </c>
      <c r="J2304" t="str">
        <f>IFERROR(VLOOKUP(I2304,[1]AUTOS!$C:$G,2,0),"")</f>
        <v>VENTO</v>
      </c>
      <c r="K2304">
        <f>IFERROR(VLOOKUP(I2304,[1]AUTOS!$C:$G,3,0),"")</f>
        <v>2019</v>
      </c>
      <c r="L2304" t="str">
        <f>IFERROR(VLOOKUP(I2304,[1]AUTOS!$C:$G,4,0),"")</f>
        <v>BLANCO</v>
      </c>
      <c r="M2304" t="s">
        <v>215</v>
      </c>
      <c r="N2304" s="3">
        <v>5650.3099999999995</v>
      </c>
      <c r="O2304" s="3">
        <v>2500</v>
      </c>
      <c r="P2304" s="3">
        <v>3000</v>
      </c>
      <c r="Q2304" s="3">
        <v>500</v>
      </c>
    </row>
    <row r="2305" spans="1:17" hidden="1" x14ac:dyDescent="0.3">
      <c r="A2305">
        <v>40</v>
      </c>
      <c r="B2305" t="str">
        <f>VLOOKUP($A2305,[1]LISTA!$B:$C,2,0)</f>
        <v>OCTUBRE</v>
      </c>
      <c r="C2305" s="1">
        <v>2025</v>
      </c>
      <c r="D2305" s="1" t="str">
        <f>IF($A2305&lt;=[1]RESULTADOS!$D$6,"YTD","YTG")</f>
        <v>YTG</v>
      </c>
      <c r="E2305" t="s">
        <v>402</v>
      </c>
      <c r="F2305" t="s">
        <v>667</v>
      </c>
      <c r="G2305" t="s">
        <v>667</v>
      </c>
      <c r="H2305" t="s">
        <v>668</v>
      </c>
      <c r="I2305" t="s">
        <v>59</v>
      </c>
      <c r="J2305" t="str">
        <f>IFERROR(VLOOKUP(I2305,[1]AUTOS!$C:$G,2,0),"")</f>
        <v>AVEO</v>
      </c>
      <c r="K2305">
        <f>IFERROR(VLOOKUP(I2305,[1]AUTOS!$C:$G,3,0),"")</f>
        <v>2019</v>
      </c>
      <c r="L2305" t="str">
        <f>IFERROR(VLOOKUP(I2305,[1]AUTOS!$C:$G,4,0),"")</f>
        <v>BLANCO</v>
      </c>
      <c r="M2305" t="s">
        <v>43</v>
      </c>
      <c r="N2305" s="3">
        <v>0</v>
      </c>
      <c r="O2305" s="3">
        <v>2500</v>
      </c>
      <c r="P2305" s="3">
        <v>2150</v>
      </c>
      <c r="Q2305" s="3">
        <v>0</v>
      </c>
    </row>
    <row r="2306" spans="1:17" hidden="1" x14ac:dyDescent="0.3">
      <c r="A2306">
        <v>40</v>
      </c>
      <c r="B2306" t="str">
        <f>VLOOKUP($A2306,[1]LISTA!$B:$C,2,0)</f>
        <v>OCTUBRE</v>
      </c>
      <c r="C2306" s="1">
        <v>2025</v>
      </c>
      <c r="D2306" s="1" t="str">
        <f>IF($A2306&lt;=[1]RESULTADOS!$D$6,"YTD","YTG")</f>
        <v>YTG</v>
      </c>
      <c r="E2306" t="s">
        <v>496</v>
      </c>
      <c r="F2306" t="s">
        <v>667</v>
      </c>
      <c r="G2306" t="s">
        <v>667</v>
      </c>
      <c r="H2306" t="s">
        <v>668</v>
      </c>
      <c r="I2306" t="s">
        <v>547</v>
      </c>
      <c r="J2306" t="str">
        <f>IFERROR(VLOOKUP(I2306,[1]AUTOS!$C:$G,2,0),"")</f>
        <v>AVEO</v>
      </c>
      <c r="K2306">
        <f>IFERROR(VLOOKUP(I2306,[1]AUTOS!$C:$G,3,0),"")</f>
        <v>2022</v>
      </c>
      <c r="L2306" t="str">
        <f>IFERROR(VLOOKUP(I2306,[1]AUTOS!$C:$G,4,0),"")</f>
        <v>VINO</v>
      </c>
      <c r="M2306" t="s">
        <v>140</v>
      </c>
      <c r="N2306" s="3">
        <v>3344.85</v>
      </c>
      <c r="O2306" s="3">
        <v>714.28</v>
      </c>
      <c r="P2306" s="3">
        <v>714.2800000000002</v>
      </c>
      <c r="Q2306" s="3">
        <v>0</v>
      </c>
    </row>
    <row r="2307" spans="1:17" hidden="1" x14ac:dyDescent="0.3">
      <c r="A2307">
        <v>40</v>
      </c>
      <c r="B2307" t="str">
        <f>VLOOKUP($A2307,[1]LISTA!$B:$C,2,0)</f>
        <v>OCTUBRE</v>
      </c>
      <c r="C2307" s="1">
        <v>2025</v>
      </c>
      <c r="D2307" s="1" t="str">
        <f>IF($A2307&lt;=[1]RESULTADOS!$D$6,"YTD","YTG")</f>
        <v>YTG</v>
      </c>
      <c r="E2307" t="s">
        <v>496</v>
      </c>
      <c r="F2307" t="s">
        <v>667</v>
      </c>
      <c r="G2307" t="s">
        <v>667</v>
      </c>
      <c r="H2307" t="s">
        <v>668</v>
      </c>
      <c r="I2307" t="s">
        <v>384</v>
      </c>
      <c r="J2307" t="str">
        <f>IFERROR(VLOOKUP(I2307,[1]AUTOS!$C:$G,2,0),"")</f>
        <v>MARCH</v>
      </c>
      <c r="K2307">
        <f>IFERROR(VLOOKUP(I2307,[1]AUTOS!$C:$G,3,0),"")</f>
        <v>2022</v>
      </c>
      <c r="L2307" t="str">
        <f>IFERROR(VLOOKUP(I2307,[1]AUTOS!$C:$G,4,0),"")</f>
        <v>BLANCO</v>
      </c>
      <c r="M2307" t="s">
        <v>215</v>
      </c>
      <c r="N2307" s="3">
        <v>2061.33</v>
      </c>
      <c r="O2307" s="3">
        <v>1071.1400000000001</v>
      </c>
      <c r="P2307" s="3">
        <v>1071.1400000000001</v>
      </c>
      <c r="Q2307" s="3">
        <v>0</v>
      </c>
    </row>
    <row r="2308" spans="1:17" hidden="1" x14ac:dyDescent="0.3">
      <c r="A2308">
        <v>40</v>
      </c>
      <c r="B2308" t="str">
        <f>VLOOKUP($A2308,[1]LISTA!$B:$C,2,0)</f>
        <v>OCTUBRE</v>
      </c>
      <c r="C2308" s="1">
        <v>2025</v>
      </c>
      <c r="D2308" s="1" t="str">
        <f>IF($A2308&lt;=[1]RESULTADOS!$D$6,"YTD","YTG")</f>
        <v>YTG</v>
      </c>
      <c r="E2308" t="s">
        <v>416</v>
      </c>
      <c r="F2308" t="s">
        <v>667</v>
      </c>
      <c r="G2308" t="s">
        <v>667</v>
      </c>
      <c r="H2308" t="s">
        <v>668</v>
      </c>
      <c r="I2308" t="s">
        <v>495</v>
      </c>
      <c r="J2308" t="str">
        <f>IFERROR(VLOOKUP(I2308,[1]AUTOS!$C:$G,2,0),"")</f>
        <v>VERSA</v>
      </c>
      <c r="K2308">
        <f>IFERROR(VLOOKUP(I2308,[1]AUTOS!$C:$G,3,0),"")</f>
        <v>2021</v>
      </c>
      <c r="L2308" t="str">
        <f>IFERROR(VLOOKUP(I2308,[1]AUTOS!$C:$G,4,0),"")</f>
        <v>BLANCO</v>
      </c>
      <c r="M2308" t="s">
        <v>140</v>
      </c>
      <c r="N2308" s="3">
        <v>1629.6499999999999</v>
      </c>
      <c r="O2308" s="3">
        <v>2500</v>
      </c>
      <c r="P2308" s="3">
        <v>2499.6499999999996</v>
      </c>
      <c r="Q2308" s="3">
        <v>0</v>
      </c>
    </row>
    <row r="2309" spans="1:17" hidden="1" x14ac:dyDescent="0.3">
      <c r="A2309">
        <v>40</v>
      </c>
      <c r="B2309" t="str">
        <f>VLOOKUP($A2309,[1]LISTA!$B:$C,2,0)</f>
        <v>OCTUBRE</v>
      </c>
      <c r="C2309" s="1">
        <v>2025</v>
      </c>
      <c r="D2309" s="1" t="str">
        <f>IF($A2309&lt;=[1]RESULTADOS!$D$6,"YTD","YTG")</f>
        <v>YTG</v>
      </c>
      <c r="E2309" t="s">
        <v>708</v>
      </c>
      <c r="F2309" t="s">
        <v>667</v>
      </c>
      <c r="G2309" t="s">
        <v>667</v>
      </c>
      <c r="H2309" t="s">
        <v>668</v>
      </c>
      <c r="I2309" t="s">
        <v>384</v>
      </c>
      <c r="J2309" t="str">
        <f>IFERROR(VLOOKUP(I2309,[1]AUTOS!$C:$G,2,0),"")</f>
        <v>MARCH</v>
      </c>
      <c r="K2309">
        <f>IFERROR(VLOOKUP(I2309,[1]AUTOS!$C:$G,3,0),"")</f>
        <v>2022</v>
      </c>
      <c r="L2309" t="str">
        <f>IFERROR(VLOOKUP(I2309,[1]AUTOS!$C:$G,4,0),"")</f>
        <v>BLANCO</v>
      </c>
      <c r="M2309" t="s">
        <v>43</v>
      </c>
      <c r="N2309" s="3">
        <v>566.37</v>
      </c>
      <c r="O2309" s="3">
        <v>566</v>
      </c>
      <c r="P2309" s="3">
        <v>566</v>
      </c>
      <c r="Q2309" s="3">
        <v>0</v>
      </c>
    </row>
    <row r="2310" spans="1:17" hidden="1" x14ac:dyDescent="0.3">
      <c r="A2310">
        <v>40</v>
      </c>
      <c r="B2310" t="str">
        <f>VLOOKUP($A2310,[1]LISTA!$B:$C,2,0)</f>
        <v>OCTUBRE</v>
      </c>
      <c r="C2310" s="1">
        <v>2025</v>
      </c>
      <c r="D2310" s="1" t="str">
        <f>IF($A2310&lt;=[1]RESULTADOS!$D$6,"YTD","YTG")</f>
        <v>YTG</v>
      </c>
      <c r="E2310" t="s">
        <v>709</v>
      </c>
      <c r="F2310" t="s">
        <v>667</v>
      </c>
      <c r="G2310" t="s">
        <v>667</v>
      </c>
      <c r="H2310" t="s">
        <v>668</v>
      </c>
      <c r="I2310" t="s">
        <v>313</v>
      </c>
      <c r="J2310" t="str">
        <f>IFERROR(VLOOKUP(I2310,[1]AUTOS!$C:$G,2,0),"")</f>
        <v>MARCH</v>
      </c>
      <c r="K2310">
        <f>IFERROR(VLOOKUP(I2310,[1]AUTOS!$C:$G,3,0),"")</f>
        <v>2019</v>
      </c>
      <c r="L2310" t="str">
        <f>IFERROR(VLOOKUP(I2310,[1]AUTOS!$C:$G,4,0),"")</f>
        <v>TURQ</v>
      </c>
      <c r="M2310" t="s">
        <v>140</v>
      </c>
      <c r="N2310" s="3">
        <v>5024.8500000000004</v>
      </c>
      <c r="O2310" s="3">
        <v>2500</v>
      </c>
      <c r="P2310" s="3">
        <v>3000</v>
      </c>
      <c r="Q2310" s="3">
        <v>500</v>
      </c>
    </row>
    <row r="2311" spans="1:17" hidden="1" x14ac:dyDescent="0.3">
      <c r="A2311">
        <v>40</v>
      </c>
      <c r="B2311" t="str">
        <f>VLOOKUP($A2311,[1]LISTA!$B:$C,2,0)</f>
        <v>OCTUBRE</v>
      </c>
      <c r="C2311" s="1">
        <v>2025</v>
      </c>
      <c r="D2311" s="1" t="str">
        <f>IF($A2311&lt;=[1]RESULTADOS!$D$6,"YTD","YTG")</f>
        <v>YTG</v>
      </c>
      <c r="E2311" t="s">
        <v>377</v>
      </c>
      <c r="F2311" t="s">
        <v>667</v>
      </c>
      <c r="G2311" t="s">
        <v>667</v>
      </c>
      <c r="H2311" t="s">
        <v>668</v>
      </c>
      <c r="I2311" t="s">
        <v>42</v>
      </c>
      <c r="J2311" t="str">
        <f>IFERROR(VLOOKUP(I2311,[1]AUTOS!$C:$G,2,0),"")</f>
        <v>VENTO</v>
      </c>
      <c r="K2311">
        <f>IFERROR(VLOOKUP(I2311,[1]AUTOS!$C:$G,3,0),"")</f>
        <v>2018</v>
      </c>
      <c r="L2311" t="str">
        <f>IFERROR(VLOOKUP(I2311,[1]AUTOS!$C:$G,4,0),"")</f>
        <v>AMARILLO</v>
      </c>
      <c r="M2311" t="s">
        <v>43</v>
      </c>
      <c r="N2311" s="3">
        <v>998.38999999999987</v>
      </c>
      <c r="O2311" s="3">
        <v>2500</v>
      </c>
      <c r="P2311" s="3">
        <v>4653.3899999999994</v>
      </c>
      <c r="Q2311" s="3">
        <v>0</v>
      </c>
    </row>
    <row r="2312" spans="1:17" hidden="1" x14ac:dyDescent="0.3">
      <c r="A2312">
        <v>41</v>
      </c>
      <c r="B2312" t="str">
        <f>VLOOKUP($A2312,[1]LISTA!$B:$C,2,0)</f>
        <v>OCTUBRE</v>
      </c>
      <c r="C2312" s="1">
        <v>2025</v>
      </c>
      <c r="D2312" s="1" t="str">
        <f>IF($A2312&lt;=[1]RESULTADOS!$D$6,"YTD","YTG")</f>
        <v>YTG</v>
      </c>
      <c r="E2312" t="s">
        <v>497</v>
      </c>
      <c r="F2312" t="s">
        <v>667</v>
      </c>
      <c r="G2312" t="s">
        <v>667</v>
      </c>
      <c r="H2312" t="s">
        <v>668</v>
      </c>
      <c r="I2312" t="s">
        <v>313</v>
      </c>
      <c r="J2312" t="str">
        <f>IFERROR(VLOOKUP(I2312,[1]AUTOS!$C:$G,2,0),"")</f>
        <v>MARCH</v>
      </c>
      <c r="K2312">
        <f>IFERROR(VLOOKUP(I2312,[1]AUTOS!$C:$G,3,0),"")</f>
        <v>2019</v>
      </c>
      <c r="L2312" t="str">
        <f>IFERROR(VLOOKUP(I2312,[1]AUTOS!$C:$G,4,0),"")</f>
        <v>TURQ</v>
      </c>
      <c r="M2312" t="s">
        <v>140</v>
      </c>
      <c r="N2312" s="3">
        <v>4791.3099999999995</v>
      </c>
      <c r="O2312" s="3">
        <v>2500</v>
      </c>
      <c r="P2312" s="3">
        <v>3000</v>
      </c>
      <c r="Q2312" s="3">
        <v>500</v>
      </c>
    </row>
    <row r="2313" spans="1:17" hidden="1" x14ac:dyDescent="0.3">
      <c r="A2313">
        <v>41</v>
      </c>
      <c r="B2313" t="str">
        <f>VLOOKUP($A2313,[1]LISTA!$B:$C,2,0)</f>
        <v>OCTUBRE</v>
      </c>
      <c r="C2313" s="1">
        <v>2025</v>
      </c>
      <c r="D2313" s="1" t="str">
        <f>IF($A2313&lt;=[1]RESULTADOS!$D$6,"YTD","YTG")</f>
        <v>YTG</v>
      </c>
      <c r="E2313" t="s">
        <v>492</v>
      </c>
      <c r="F2313" t="s">
        <v>667</v>
      </c>
      <c r="G2313" t="s">
        <v>667</v>
      </c>
      <c r="H2313" t="s">
        <v>668</v>
      </c>
      <c r="I2313" t="s">
        <v>144</v>
      </c>
      <c r="J2313" t="str">
        <f>IFERROR(VLOOKUP(I2313,[1]AUTOS!$C:$G,2,0),"")</f>
        <v>VERSA</v>
      </c>
      <c r="K2313">
        <f>IFERROR(VLOOKUP(I2313,[1]AUTOS!$C:$G,3,0),"")</f>
        <v>2020</v>
      </c>
      <c r="L2313" t="str">
        <f>IFERROR(VLOOKUP(I2313,[1]AUTOS!$C:$G,4,0),"")</f>
        <v>ROJO</v>
      </c>
      <c r="M2313" t="s">
        <v>43</v>
      </c>
      <c r="N2313" s="3">
        <v>413.85</v>
      </c>
      <c r="O2313" s="3">
        <v>2500</v>
      </c>
      <c r="P2313" s="3">
        <v>2499.85</v>
      </c>
      <c r="Q2313" s="3">
        <v>0</v>
      </c>
    </row>
    <row r="2314" spans="1:17" hidden="1" x14ac:dyDescent="0.3">
      <c r="A2314">
        <v>41</v>
      </c>
      <c r="B2314" t="str">
        <f>VLOOKUP($A2314,[1]LISTA!$B:$C,2,0)</f>
        <v>OCTUBRE</v>
      </c>
      <c r="C2314" s="1">
        <v>2025</v>
      </c>
      <c r="D2314" s="1" t="str">
        <f>IF($A2314&lt;=[1]RESULTADOS!$D$6,"YTD","YTG")</f>
        <v>YTG</v>
      </c>
      <c r="E2314" t="s">
        <v>705</v>
      </c>
      <c r="F2314" t="s">
        <v>667</v>
      </c>
      <c r="G2314" t="s">
        <v>667</v>
      </c>
      <c r="H2314" t="s">
        <v>668</v>
      </c>
      <c r="I2314" t="s">
        <v>82</v>
      </c>
      <c r="J2314" t="str">
        <f>IFERROR(VLOOKUP(I2314,[1]AUTOS!$C:$G,2,0),"")</f>
        <v>AVEO</v>
      </c>
      <c r="K2314">
        <f>IFERROR(VLOOKUP(I2314,[1]AUTOS!$C:$G,3,0),"")</f>
        <v>2019</v>
      </c>
      <c r="L2314" t="str">
        <f>IFERROR(VLOOKUP(I2314,[1]AUTOS!$C:$G,4,0),"")</f>
        <v>PLATA</v>
      </c>
      <c r="M2314" t="s">
        <v>43</v>
      </c>
      <c r="N2314" s="3">
        <v>7519.8399999999992</v>
      </c>
      <c r="O2314" s="3">
        <v>2500</v>
      </c>
      <c r="P2314" s="3">
        <v>3000</v>
      </c>
      <c r="Q2314" s="3">
        <v>500</v>
      </c>
    </row>
    <row r="2315" spans="1:17" hidden="1" x14ac:dyDescent="0.3">
      <c r="A2315">
        <v>41</v>
      </c>
      <c r="B2315" t="str">
        <f>VLOOKUP($A2315,[1]LISTA!$B:$C,2,0)</f>
        <v>OCTUBRE</v>
      </c>
      <c r="C2315" s="1">
        <v>2025</v>
      </c>
      <c r="D2315" s="1" t="str">
        <f>IF($A2315&lt;=[1]RESULTADOS!$D$6,"YTD","YTG")</f>
        <v>YTG</v>
      </c>
      <c r="E2315" t="s">
        <v>691</v>
      </c>
      <c r="F2315" t="s">
        <v>667</v>
      </c>
      <c r="G2315" t="s">
        <v>667</v>
      </c>
      <c r="H2315" t="s">
        <v>668</v>
      </c>
      <c r="I2315" t="s">
        <v>139</v>
      </c>
      <c r="J2315" t="str">
        <f>IFERROR(VLOOKUP(I2315,[1]AUTOS!$C:$G,2,0),"")</f>
        <v>SWIFT</v>
      </c>
      <c r="K2315">
        <f>IFERROR(VLOOKUP(I2315,[1]AUTOS!$C:$G,3,0),"")</f>
        <v>2017</v>
      </c>
      <c r="L2315" t="str">
        <f>IFERROR(VLOOKUP(I2315,[1]AUTOS!$C:$G,4,0),"")</f>
        <v>ROJO</v>
      </c>
      <c r="M2315" t="s">
        <v>140</v>
      </c>
      <c r="N2315" s="3">
        <v>3233.26</v>
      </c>
      <c r="O2315" s="3">
        <v>2500</v>
      </c>
      <c r="P2315" s="3">
        <v>2500</v>
      </c>
      <c r="Q2315" s="3">
        <v>0</v>
      </c>
    </row>
    <row r="2316" spans="1:17" hidden="1" x14ac:dyDescent="0.3">
      <c r="A2316">
        <v>41</v>
      </c>
      <c r="B2316" t="str">
        <f>VLOOKUP($A2316,[1]LISTA!$B:$C,2,0)</f>
        <v>OCTUBRE</v>
      </c>
      <c r="C2316" s="1">
        <v>2025</v>
      </c>
      <c r="D2316" s="1" t="str">
        <f>IF($A2316&lt;=[1]RESULTADOS!$D$6,"YTD","YTG")</f>
        <v>YTG</v>
      </c>
      <c r="E2316" t="s">
        <v>486</v>
      </c>
      <c r="F2316" t="s">
        <v>667</v>
      </c>
      <c r="G2316" t="s">
        <v>667</v>
      </c>
      <c r="H2316" t="s">
        <v>668</v>
      </c>
      <c r="I2316" t="s">
        <v>34</v>
      </c>
      <c r="J2316" t="str">
        <f>IFERROR(VLOOKUP(I2316,[1]AUTOS!$C:$G,2,0),"")</f>
        <v>AVEO</v>
      </c>
      <c r="K2316">
        <f>IFERROR(VLOOKUP(I2316,[1]AUTOS!$C:$G,3,0),"")</f>
        <v>2018</v>
      </c>
      <c r="L2316" t="str">
        <f>IFERROR(VLOOKUP(I2316,[1]AUTOS!$C:$G,4,0),"")</f>
        <v>ROJO</v>
      </c>
      <c r="M2316" t="s">
        <v>140</v>
      </c>
      <c r="N2316" s="3">
        <v>3259.6</v>
      </c>
      <c r="O2316" s="3">
        <v>2500</v>
      </c>
      <c r="P2316" s="3">
        <v>3100</v>
      </c>
      <c r="Q2316" s="3">
        <v>0</v>
      </c>
    </row>
    <row r="2317" spans="1:17" hidden="1" x14ac:dyDescent="0.3">
      <c r="A2317">
        <v>41</v>
      </c>
      <c r="B2317" t="str">
        <f>VLOOKUP($A2317,[1]LISTA!$B:$C,2,0)</f>
        <v>OCTUBRE</v>
      </c>
      <c r="C2317" s="1">
        <v>2025</v>
      </c>
      <c r="D2317" s="1" t="str">
        <f>IF($A2317&lt;=[1]RESULTADOS!$D$6,"YTD","YTG")</f>
        <v>YTG</v>
      </c>
      <c r="E2317" t="s">
        <v>399</v>
      </c>
      <c r="F2317" t="s">
        <v>667</v>
      </c>
      <c r="G2317" t="s">
        <v>667</v>
      </c>
      <c r="H2317" t="s">
        <v>668</v>
      </c>
      <c r="I2317" t="s">
        <v>162</v>
      </c>
      <c r="J2317" t="str">
        <f>IFERROR(VLOOKUP(I2317,[1]AUTOS!$C:$G,2,0),"")</f>
        <v>HYUNDAI</v>
      </c>
      <c r="K2317">
        <f>IFERROR(VLOOKUP(I2317,[1]AUTOS!$C:$G,3,0),"")</f>
        <v>2022</v>
      </c>
      <c r="L2317" t="str">
        <f>IFERROR(VLOOKUP(I2317,[1]AUTOS!$C:$G,4,0),"")</f>
        <v>PLATA</v>
      </c>
      <c r="M2317" t="s">
        <v>43</v>
      </c>
      <c r="N2317" s="3">
        <v>3328.3700000000003</v>
      </c>
      <c r="O2317" s="3">
        <v>892.85</v>
      </c>
      <c r="P2317" s="3">
        <v>1892.85</v>
      </c>
      <c r="Q2317" s="3">
        <v>0</v>
      </c>
    </row>
    <row r="2318" spans="1:17" hidden="1" x14ac:dyDescent="0.3">
      <c r="A2318">
        <v>41</v>
      </c>
      <c r="B2318" t="str">
        <f>VLOOKUP($A2318,[1]LISTA!$B:$C,2,0)</f>
        <v>OCTUBRE</v>
      </c>
      <c r="C2318" s="1">
        <v>2025</v>
      </c>
      <c r="D2318" s="1" t="str">
        <f>IF($A2318&lt;=[1]RESULTADOS!$D$6,"YTD","YTG")</f>
        <v>YTG</v>
      </c>
      <c r="E2318" t="s">
        <v>574</v>
      </c>
      <c r="F2318" t="s">
        <v>667</v>
      </c>
      <c r="G2318" t="s">
        <v>667</v>
      </c>
      <c r="H2318" t="s">
        <v>668</v>
      </c>
      <c r="I2318" t="s">
        <v>333</v>
      </c>
      <c r="J2318" t="str">
        <f>IFERROR(VLOOKUP(I2318,[1]AUTOS!$C:$G,2,0),"")</f>
        <v>BEAT</v>
      </c>
      <c r="K2318">
        <f>IFERROR(VLOOKUP(I2318,[1]AUTOS!$C:$G,3,0),"")</f>
        <v>2019</v>
      </c>
      <c r="L2318" t="str">
        <f>IFERROR(VLOOKUP(I2318,[1]AUTOS!$C:$G,4,0),"")</f>
        <v>OCRE</v>
      </c>
      <c r="M2318" t="s">
        <v>140</v>
      </c>
      <c r="N2318" s="3">
        <v>1203.45</v>
      </c>
      <c r="O2318" s="3">
        <v>2500</v>
      </c>
      <c r="P2318" s="3">
        <v>3000.45</v>
      </c>
      <c r="Q2318" s="3">
        <v>500</v>
      </c>
    </row>
    <row r="2319" spans="1:17" hidden="1" x14ac:dyDescent="0.3">
      <c r="A2319">
        <v>41</v>
      </c>
      <c r="B2319" t="str">
        <f>VLOOKUP($A2319,[1]LISTA!$B:$C,2,0)</f>
        <v>OCTUBRE</v>
      </c>
      <c r="C2319" s="1">
        <v>2025</v>
      </c>
      <c r="D2319" s="1" t="str">
        <f>IF($A2319&lt;=[1]RESULTADOS!$D$6,"YTD","YTG")</f>
        <v>YTG</v>
      </c>
      <c r="E2319" t="s">
        <v>478</v>
      </c>
      <c r="F2319" t="s">
        <v>667</v>
      </c>
      <c r="G2319" t="s">
        <v>667</v>
      </c>
      <c r="H2319" t="s">
        <v>668</v>
      </c>
      <c r="I2319" t="s">
        <v>67</v>
      </c>
      <c r="J2319" t="str">
        <f>IFERROR(VLOOKUP(I2319,[1]AUTOS!$C:$G,2,0),"")</f>
        <v>KIA RIO</v>
      </c>
      <c r="K2319">
        <f>IFERROR(VLOOKUP(I2319,[1]AUTOS!$C:$G,3,0),"")</f>
        <v>2020</v>
      </c>
      <c r="L2319" t="str">
        <f>IFERROR(VLOOKUP(I2319,[1]AUTOS!$C:$G,4,0),"")</f>
        <v>GRIS</v>
      </c>
      <c r="M2319" t="s">
        <v>43</v>
      </c>
      <c r="N2319" s="3">
        <v>1041.33</v>
      </c>
      <c r="O2319" s="3">
        <v>2143</v>
      </c>
      <c r="P2319" s="3">
        <v>3205.33</v>
      </c>
      <c r="Q2319" s="3">
        <v>0</v>
      </c>
    </row>
    <row r="2320" spans="1:17" hidden="1" x14ac:dyDescent="0.3">
      <c r="A2320">
        <v>41</v>
      </c>
      <c r="B2320" t="str">
        <f>VLOOKUP($A2320,[1]LISTA!$B:$C,2,0)</f>
        <v>OCTUBRE</v>
      </c>
      <c r="C2320" s="1">
        <v>2025</v>
      </c>
      <c r="D2320" s="1" t="str">
        <f>IF($A2320&lt;=[1]RESULTADOS!$D$6,"YTD","YTG")</f>
        <v>YTG</v>
      </c>
      <c r="E2320" t="s">
        <v>436</v>
      </c>
      <c r="F2320" t="s">
        <v>667</v>
      </c>
      <c r="G2320" t="s">
        <v>667</v>
      </c>
      <c r="H2320" t="s">
        <v>668</v>
      </c>
      <c r="I2320" t="s">
        <v>112</v>
      </c>
      <c r="J2320" t="str">
        <f>IFERROR(VLOOKUP(I2320,[1]AUTOS!$C:$G,2,0),"")</f>
        <v>KIA RIO</v>
      </c>
      <c r="K2320">
        <f>IFERROR(VLOOKUP(I2320,[1]AUTOS!$C:$G,3,0),"")</f>
        <v>2020</v>
      </c>
      <c r="L2320" t="str">
        <f>IFERROR(VLOOKUP(I2320,[1]AUTOS!$C:$G,4,0),"")</f>
        <v>ROJO</v>
      </c>
      <c r="M2320" t="s">
        <v>140</v>
      </c>
      <c r="N2320" s="3">
        <v>4108.47</v>
      </c>
      <c r="O2320" s="3">
        <v>2500</v>
      </c>
      <c r="P2320" s="3">
        <v>3117.12</v>
      </c>
      <c r="Q2320" s="3">
        <v>0</v>
      </c>
    </row>
    <row r="2321" spans="1:17" hidden="1" x14ac:dyDescent="0.3">
      <c r="A2321">
        <v>41</v>
      </c>
      <c r="B2321" t="str">
        <f>VLOOKUP($A2321,[1]LISTA!$B:$C,2,0)</f>
        <v>OCTUBRE</v>
      </c>
      <c r="C2321" s="1">
        <v>2025</v>
      </c>
      <c r="D2321" s="1" t="str">
        <f>IF($A2321&lt;=[1]RESULTADOS!$D$6,"YTD","YTG")</f>
        <v>YTG</v>
      </c>
      <c r="E2321" t="s">
        <v>642</v>
      </c>
      <c r="F2321" t="s">
        <v>667</v>
      </c>
      <c r="G2321" t="s">
        <v>667</v>
      </c>
      <c r="H2321" t="s">
        <v>668</v>
      </c>
      <c r="I2321" t="s">
        <v>370</v>
      </c>
      <c r="J2321" t="str">
        <f>IFERROR(VLOOKUP(I2321,[1]AUTOS!$C:$G,2,0),"")</f>
        <v>KIA RIO</v>
      </c>
      <c r="K2321">
        <f>IFERROR(VLOOKUP(I2321,[1]AUTOS!$C:$G,3,0),"")</f>
        <v>2020</v>
      </c>
      <c r="L2321" t="str">
        <f>IFERROR(VLOOKUP(I2321,[1]AUTOS!$C:$G,4,0),"")</f>
        <v>AZUL</v>
      </c>
      <c r="M2321" t="s">
        <v>215</v>
      </c>
      <c r="N2321" s="3">
        <v>2201.3999999999996</v>
      </c>
      <c r="O2321" s="3">
        <v>2600</v>
      </c>
      <c r="P2321" s="3">
        <v>3101.3999999999996</v>
      </c>
      <c r="Q2321" s="3">
        <v>500</v>
      </c>
    </row>
    <row r="2322" spans="1:17" hidden="1" x14ac:dyDescent="0.3">
      <c r="A2322">
        <v>41</v>
      </c>
      <c r="B2322" t="str">
        <f>VLOOKUP($A2322,[1]LISTA!$B:$C,2,0)</f>
        <v>OCTUBRE</v>
      </c>
      <c r="C2322" s="1">
        <v>2025</v>
      </c>
      <c r="D2322" s="1" t="str">
        <f>IF($A2322&lt;=[1]RESULTADOS!$D$6,"YTD","YTG")</f>
        <v>YTG</v>
      </c>
      <c r="E2322" t="s">
        <v>706</v>
      </c>
      <c r="F2322" t="s">
        <v>667</v>
      </c>
      <c r="G2322" t="s">
        <v>667</v>
      </c>
      <c r="H2322" t="s">
        <v>668</v>
      </c>
      <c r="I2322" t="s">
        <v>131</v>
      </c>
      <c r="J2322" t="str">
        <f>IFERROR(VLOOKUP(I2322,[1]AUTOS!$C:$G,2,0),"")</f>
        <v>AVEO</v>
      </c>
      <c r="K2322">
        <f>IFERROR(VLOOKUP(I2322,[1]AUTOS!$C:$G,3,0),"")</f>
        <v>2024</v>
      </c>
      <c r="L2322" t="str">
        <f>IFERROR(VLOOKUP(I2322,[1]AUTOS!$C:$G,4,0),"")</f>
        <v>GRIS</v>
      </c>
      <c r="M2322" t="s">
        <v>43</v>
      </c>
      <c r="N2322" s="3">
        <v>2107.5400000000004</v>
      </c>
      <c r="O2322" s="3">
        <v>2500</v>
      </c>
      <c r="P2322" s="3">
        <v>2999.5400000000004</v>
      </c>
      <c r="Q2322" s="3">
        <v>500</v>
      </c>
    </row>
    <row r="2323" spans="1:17" hidden="1" x14ac:dyDescent="0.3">
      <c r="A2323">
        <v>41</v>
      </c>
      <c r="B2323" t="str">
        <f>VLOOKUP($A2323,[1]LISTA!$B:$C,2,0)</f>
        <v>OCTUBRE</v>
      </c>
      <c r="C2323" s="1">
        <v>2025</v>
      </c>
      <c r="D2323" s="1" t="str">
        <f>IF($A2323&lt;=[1]RESULTADOS!$D$6,"YTD","YTG")</f>
        <v>YTG</v>
      </c>
      <c r="E2323" t="s">
        <v>474</v>
      </c>
      <c r="F2323" t="s">
        <v>667</v>
      </c>
      <c r="G2323" t="s">
        <v>667</v>
      </c>
      <c r="H2323" t="s">
        <v>668</v>
      </c>
      <c r="I2323" t="s">
        <v>333</v>
      </c>
      <c r="J2323" t="str">
        <f>IFERROR(VLOOKUP(I2323,[1]AUTOS!$C:$G,2,0),"")</f>
        <v>BEAT</v>
      </c>
      <c r="K2323">
        <f>IFERROR(VLOOKUP(I2323,[1]AUTOS!$C:$G,3,0),"")</f>
        <v>2019</v>
      </c>
      <c r="L2323" t="str">
        <f>IFERROR(VLOOKUP(I2323,[1]AUTOS!$C:$G,4,0),"")</f>
        <v>OCRE</v>
      </c>
      <c r="M2323" t="s">
        <v>140</v>
      </c>
      <c r="N2323" s="3">
        <v>639.02</v>
      </c>
      <c r="O2323" s="3">
        <v>639</v>
      </c>
      <c r="P2323" s="3">
        <v>639</v>
      </c>
      <c r="Q2323" s="3">
        <v>0</v>
      </c>
    </row>
    <row r="2324" spans="1:17" hidden="1" x14ac:dyDescent="0.3">
      <c r="A2324">
        <v>41</v>
      </c>
      <c r="B2324" t="str">
        <f>VLOOKUP($A2324,[1]LISTA!$B:$C,2,0)</f>
        <v>OCTUBRE</v>
      </c>
      <c r="C2324" s="1">
        <v>2025</v>
      </c>
      <c r="D2324" s="1" t="str">
        <f>IF($A2324&lt;=[1]RESULTADOS!$D$6,"YTD","YTG")</f>
        <v>YTG</v>
      </c>
      <c r="E2324" t="s">
        <v>518</v>
      </c>
      <c r="F2324" t="s">
        <v>667</v>
      </c>
      <c r="G2324" t="s">
        <v>667</v>
      </c>
      <c r="H2324" t="s">
        <v>668</v>
      </c>
      <c r="I2324" t="s">
        <v>384</v>
      </c>
      <c r="J2324" t="str">
        <f>IFERROR(VLOOKUP(I2324,[1]AUTOS!$C:$G,2,0),"")</f>
        <v>MARCH</v>
      </c>
      <c r="K2324">
        <f>IFERROR(VLOOKUP(I2324,[1]AUTOS!$C:$G,3,0),"")</f>
        <v>2022</v>
      </c>
      <c r="L2324" t="str">
        <f>IFERROR(VLOOKUP(I2324,[1]AUTOS!$C:$G,4,0),"")</f>
        <v>BLANCO</v>
      </c>
      <c r="M2324" t="s">
        <v>215</v>
      </c>
      <c r="N2324" s="3">
        <v>0</v>
      </c>
      <c r="O2324" s="3">
        <v>2500</v>
      </c>
      <c r="P2324" s="3">
        <v>500</v>
      </c>
      <c r="Q2324" s="3">
        <v>500</v>
      </c>
    </row>
    <row r="2325" spans="1:17" hidden="1" x14ac:dyDescent="0.3">
      <c r="A2325">
        <v>41</v>
      </c>
      <c r="B2325" t="str">
        <f>VLOOKUP($A2325,[1]LISTA!$B:$C,2,0)</f>
        <v>OCTUBRE</v>
      </c>
      <c r="C2325" s="1">
        <v>2025</v>
      </c>
      <c r="D2325" s="1" t="str">
        <f>IF($A2325&lt;=[1]RESULTADOS!$D$6,"YTD","YTG")</f>
        <v>YTG</v>
      </c>
      <c r="E2325" t="s">
        <v>607</v>
      </c>
      <c r="F2325" t="s">
        <v>667</v>
      </c>
      <c r="G2325" t="s">
        <v>667</v>
      </c>
      <c r="H2325" t="s">
        <v>668</v>
      </c>
      <c r="I2325" t="s">
        <v>560</v>
      </c>
      <c r="J2325" t="str">
        <f>IFERROR(VLOOKUP(I2325,[1]AUTOS!$C:$G,2,0),"")</f>
        <v>AVEO</v>
      </c>
      <c r="K2325">
        <f>IFERROR(VLOOKUP(I2325,[1]AUTOS!$C:$G,3,0),"")</f>
        <v>2023</v>
      </c>
      <c r="L2325" t="str">
        <f>IFERROR(VLOOKUP(I2325,[1]AUTOS!$C:$G,4,0),"")</f>
        <v>VINO</v>
      </c>
      <c r="M2325" t="s">
        <v>140</v>
      </c>
      <c r="N2325" s="3">
        <v>924.24</v>
      </c>
      <c r="O2325" s="3">
        <v>1428.57</v>
      </c>
      <c r="P2325" s="3">
        <v>924.24</v>
      </c>
      <c r="Q2325" s="3">
        <v>-2250</v>
      </c>
    </row>
    <row r="2326" spans="1:17" hidden="1" x14ac:dyDescent="0.3">
      <c r="A2326">
        <v>41</v>
      </c>
      <c r="B2326" t="str">
        <f>VLOOKUP($A2326,[1]LISTA!$B:$C,2,0)</f>
        <v>OCTUBRE</v>
      </c>
      <c r="C2326" s="1">
        <v>2025</v>
      </c>
      <c r="D2326" s="1" t="str">
        <f>IF($A2326&lt;=[1]RESULTADOS!$D$6,"YTD","YTG")</f>
        <v>YTG</v>
      </c>
      <c r="E2326" t="s">
        <v>456</v>
      </c>
      <c r="F2326" t="s">
        <v>667</v>
      </c>
      <c r="G2326" t="s">
        <v>667</v>
      </c>
      <c r="H2326" t="s">
        <v>668</v>
      </c>
      <c r="I2326" t="s">
        <v>146</v>
      </c>
      <c r="J2326" t="str">
        <f>IFERROR(VLOOKUP(I2326,[1]AUTOS!$C:$G,2,0),"")</f>
        <v>KIA RIO</v>
      </c>
      <c r="K2326">
        <f>IFERROR(VLOOKUP(I2326,[1]AUTOS!$C:$G,3,0),"")</f>
        <v>2023</v>
      </c>
      <c r="L2326" t="str">
        <f>IFERROR(VLOOKUP(I2326,[1]AUTOS!$C:$G,4,0),"")</f>
        <v>ROJO</v>
      </c>
      <c r="M2326" t="s">
        <v>140</v>
      </c>
      <c r="N2326" s="3">
        <v>2414.75</v>
      </c>
      <c r="O2326" s="3">
        <v>2500</v>
      </c>
      <c r="P2326" s="3">
        <v>2414.75</v>
      </c>
      <c r="Q2326" s="3">
        <v>0</v>
      </c>
    </row>
    <row r="2327" spans="1:17" hidden="1" x14ac:dyDescent="0.3">
      <c r="A2327">
        <v>41</v>
      </c>
      <c r="B2327" t="str">
        <f>VLOOKUP($A2327,[1]LISTA!$B:$C,2,0)</f>
        <v>OCTUBRE</v>
      </c>
      <c r="C2327" s="1">
        <v>2025</v>
      </c>
      <c r="D2327" s="1" t="str">
        <f>IF($A2327&lt;=[1]RESULTADOS!$D$6,"YTD","YTG")</f>
        <v>YTG</v>
      </c>
      <c r="E2327" t="s">
        <v>411</v>
      </c>
      <c r="F2327" t="s">
        <v>667</v>
      </c>
      <c r="G2327" t="s">
        <v>667</v>
      </c>
      <c r="H2327" t="s">
        <v>668</v>
      </c>
      <c r="I2327" t="s">
        <v>178</v>
      </c>
      <c r="J2327" t="str">
        <f>IFERROR(VLOOKUP(I2327,[1]AUTOS!$C:$G,2,0),"")</f>
        <v>VERSA</v>
      </c>
      <c r="K2327">
        <f>IFERROR(VLOOKUP(I2327,[1]AUTOS!$C:$G,3,0),"")</f>
        <v>2020</v>
      </c>
      <c r="L2327" t="str">
        <f>IFERROR(VLOOKUP(I2327,[1]AUTOS!$C:$G,4,0),"")</f>
        <v>BLANCO</v>
      </c>
      <c r="M2327" t="s">
        <v>43</v>
      </c>
      <c r="N2327" s="3">
        <v>4838.7400000000007</v>
      </c>
      <c r="O2327" s="3">
        <v>2500</v>
      </c>
      <c r="P2327" s="3">
        <v>2500</v>
      </c>
      <c r="Q2327" s="3">
        <v>0</v>
      </c>
    </row>
    <row r="2328" spans="1:17" hidden="1" x14ac:dyDescent="0.3">
      <c r="A2328">
        <v>41</v>
      </c>
      <c r="B2328" t="str">
        <f>VLOOKUP($A2328,[1]LISTA!$B:$C,2,0)</f>
        <v>OCTUBRE</v>
      </c>
      <c r="C2328" s="1">
        <v>2025</v>
      </c>
      <c r="D2328" s="1" t="str">
        <f>IF($A2328&lt;=[1]RESULTADOS!$D$6,"YTD","YTG")</f>
        <v>YTG</v>
      </c>
      <c r="E2328" t="s">
        <v>540</v>
      </c>
      <c r="F2328" t="s">
        <v>667</v>
      </c>
      <c r="G2328" t="s">
        <v>667</v>
      </c>
      <c r="H2328" t="s">
        <v>668</v>
      </c>
      <c r="I2328" t="s">
        <v>366</v>
      </c>
      <c r="J2328" t="str">
        <f>IFERROR(VLOOKUP(I2328,[1]AUTOS!$C:$G,2,0),"")</f>
        <v>VENTO</v>
      </c>
      <c r="K2328">
        <f>IFERROR(VLOOKUP(I2328,[1]AUTOS!$C:$G,3,0),"")</f>
        <v>2019</v>
      </c>
      <c r="L2328" t="str">
        <f>IFERROR(VLOOKUP(I2328,[1]AUTOS!$C:$G,4,0),"")</f>
        <v>BLANCO</v>
      </c>
      <c r="M2328" t="s">
        <v>215</v>
      </c>
      <c r="N2328" s="3">
        <v>0</v>
      </c>
      <c r="O2328" s="3">
        <v>0</v>
      </c>
      <c r="P2328" s="3">
        <v>-200</v>
      </c>
      <c r="Q2328" s="3">
        <v>0</v>
      </c>
    </row>
    <row r="2329" spans="1:17" hidden="1" x14ac:dyDescent="0.3">
      <c r="A2329">
        <v>41</v>
      </c>
      <c r="B2329" t="str">
        <f>VLOOKUP($A2329,[1]LISTA!$B:$C,2,0)</f>
        <v>OCTUBRE</v>
      </c>
      <c r="C2329" s="1">
        <v>2025</v>
      </c>
      <c r="D2329" s="1" t="str">
        <f>IF($A2329&lt;=[1]RESULTADOS!$D$6,"YTD","YTG")</f>
        <v>YTG</v>
      </c>
      <c r="E2329" t="s">
        <v>633</v>
      </c>
      <c r="F2329" t="s">
        <v>667</v>
      </c>
      <c r="G2329" t="s">
        <v>667</v>
      </c>
      <c r="H2329" t="s">
        <v>668</v>
      </c>
      <c r="I2329" t="s">
        <v>46</v>
      </c>
      <c r="J2329" t="str">
        <f>IFERROR(VLOOKUP(I2329,[1]AUTOS!$C:$G,2,0),"")</f>
        <v>MARCH</v>
      </c>
      <c r="K2329">
        <f>IFERROR(VLOOKUP(I2329,[1]AUTOS!$C:$G,3,0),"")</f>
        <v>2020</v>
      </c>
      <c r="L2329" t="str">
        <f>IFERROR(VLOOKUP(I2329,[1]AUTOS!$C:$G,4,0),"")</f>
        <v>TURQ</v>
      </c>
      <c r="M2329" t="s">
        <v>43</v>
      </c>
      <c r="N2329" s="3">
        <v>628.48</v>
      </c>
      <c r="O2329" s="3">
        <v>2500</v>
      </c>
      <c r="P2329" s="3">
        <v>2928.48</v>
      </c>
      <c r="Q2329" s="3">
        <v>500</v>
      </c>
    </row>
    <row r="2330" spans="1:17" hidden="1" x14ac:dyDescent="0.3">
      <c r="A2330">
        <v>41</v>
      </c>
      <c r="B2330" t="str">
        <f>VLOOKUP($A2330,[1]LISTA!$B:$C,2,0)</f>
        <v>OCTUBRE</v>
      </c>
      <c r="C2330" s="1">
        <v>2025</v>
      </c>
      <c r="D2330" s="1" t="str">
        <f>IF($A2330&lt;=[1]RESULTADOS!$D$6,"YTD","YTG")</f>
        <v>YTG</v>
      </c>
      <c r="E2330" t="s">
        <v>703</v>
      </c>
      <c r="F2330" t="s">
        <v>667</v>
      </c>
      <c r="G2330" t="s">
        <v>667</v>
      </c>
      <c r="H2330" t="s">
        <v>668</v>
      </c>
      <c r="I2330" t="s">
        <v>182</v>
      </c>
      <c r="J2330" t="str">
        <f>IFERROR(VLOOKUP(I2330,[1]AUTOS!$C:$G,2,0),"")</f>
        <v>AVEO</v>
      </c>
      <c r="K2330">
        <f>IFERROR(VLOOKUP(I2330,[1]AUTOS!$C:$G,3,0),"")</f>
        <v>2020</v>
      </c>
      <c r="L2330" t="str">
        <f>IFERROR(VLOOKUP(I2330,[1]AUTOS!$C:$G,4,0),"")</f>
        <v>AZUL</v>
      </c>
      <c r="M2330" t="s">
        <v>43</v>
      </c>
      <c r="N2330" s="3">
        <v>2315.6900000000005</v>
      </c>
      <c r="O2330" s="3">
        <v>2500</v>
      </c>
      <c r="P2330" s="3">
        <v>2499.6900000000005</v>
      </c>
      <c r="Q2330" s="3">
        <v>0</v>
      </c>
    </row>
    <row r="2331" spans="1:17" hidden="1" x14ac:dyDescent="0.3">
      <c r="A2331">
        <v>41</v>
      </c>
      <c r="B2331" t="str">
        <f>VLOOKUP($A2331,[1]LISTA!$B:$C,2,0)</f>
        <v>OCTUBRE</v>
      </c>
      <c r="C2331" s="1">
        <v>2025</v>
      </c>
      <c r="D2331" s="1" t="str">
        <f>IF($A2331&lt;=[1]RESULTADOS!$D$6,"YTD","YTG")</f>
        <v>YTG</v>
      </c>
      <c r="E2331" t="s">
        <v>681</v>
      </c>
      <c r="F2331" t="s">
        <v>667</v>
      </c>
      <c r="G2331" t="s">
        <v>667</v>
      </c>
      <c r="H2331" t="s">
        <v>668</v>
      </c>
      <c r="I2331" t="s">
        <v>510</v>
      </c>
      <c r="J2331" t="str">
        <f>IFERROR(VLOOKUP(I2331,[1]AUTOS!$C:$G,2,0),"")</f>
        <v>AVEO</v>
      </c>
      <c r="K2331">
        <f>IFERROR(VLOOKUP(I2331,[1]AUTOS!$C:$G,3,0),"")</f>
        <v>2023</v>
      </c>
      <c r="L2331" t="str">
        <f>IFERROR(VLOOKUP(I2331,[1]AUTOS!$C:$G,4,0),"")</f>
        <v>GRIS</v>
      </c>
      <c r="M2331" t="s">
        <v>43</v>
      </c>
      <c r="N2331" s="3">
        <v>2488.8499999999995</v>
      </c>
      <c r="O2331" s="3">
        <v>2500</v>
      </c>
      <c r="P2331" s="3">
        <v>2481</v>
      </c>
      <c r="Q2331" s="3">
        <v>0</v>
      </c>
    </row>
    <row r="2332" spans="1:17" hidden="1" x14ac:dyDescent="0.3">
      <c r="A2332">
        <v>41</v>
      </c>
      <c r="B2332" t="str">
        <f>VLOOKUP($A2332,[1]LISTA!$B:$C,2,0)</f>
        <v>OCTUBRE</v>
      </c>
      <c r="C2332" s="1">
        <v>2025</v>
      </c>
      <c r="D2332" s="1" t="str">
        <f>IF($A2332&lt;=[1]RESULTADOS!$D$6,"YTD","YTG")</f>
        <v>YTG</v>
      </c>
      <c r="E2332" t="s">
        <v>675</v>
      </c>
      <c r="F2332" t="s">
        <v>667</v>
      </c>
      <c r="G2332" t="s">
        <v>667</v>
      </c>
      <c r="H2332" t="s">
        <v>668</v>
      </c>
      <c r="I2332" t="s">
        <v>440</v>
      </c>
      <c r="J2332" t="str">
        <f>IFERROR(VLOOKUP(I2332,[1]AUTOS!$C:$G,2,0),"")</f>
        <v>AVEO</v>
      </c>
      <c r="K2332">
        <f>IFERROR(VLOOKUP(I2332,[1]AUTOS!$C:$G,3,0),"")</f>
        <v>2021</v>
      </c>
      <c r="L2332" t="str">
        <f>IFERROR(VLOOKUP(I2332,[1]AUTOS!$C:$G,4,0),"")</f>
        <v>GRIS</v>
      </c>
      <c r="M2332" t="s">
        <v>140</v>
      </c>
      <c r="N2332" s="3">
        <v>153.45999999999998</v>
      </c>
      <c r="O2332" s="3">
        <v>2500</v>
      </c>
      <c r="P2332" s="3">
        <v>153.45999999999998</v>
      </c>
      <c r="Q2332" s="3">
        <v>0</v>
      </c>
    </row>
    <row r="2333" spans="1:17" hidden="1" x14ac:dyDescent="0.3">
      <c r="A2333">
        <v>41</v>
      </c>
      <c r="B2333" t="str">
        <f>VLOOKUP($A2333,[1]LISTA!$B:$C,2,0)</f>
        <v>OCTUBRE</v>
      </c>
      <c r="C2333" s="1">
        <v>2025</v>
      </c>
      <c r="D2333" s="1" t="str">
        <f>IF($A2333&lt;=[1]RESULTADOS!$D$6,"YTD","YTG")</f>
        <v>YTG</v>
      </c>
      <c r="E2333" t="s">
        <v>622</v>
      </c>
      <c r="F2333" t="s">
        <v>667</v>
      </c>
      <c r="G2333" t="s">
        <v>667</v>
      </c>
      <c r="H2333" t="s">
        <v>668</v>
      </c>
      <c r="I2333" t="s">
        <v>76</v>
      </c>
      <c r="J2333" t="str">
        <f>IFERROR(VLOOKUP(I2333,[1]AUTOS!$C:$G,2,0),"")</f>
        <v>AVEO</v>
      </c>
      <c r="K2333">
        <f>IFERROR(VLOOKUP(I2333,[1]AUTOS!$C:$G,3,0),"")</f>
        <v>2018</v>
      </c>
      <c r="L2333" t="str">
        <f>IFERROR(VLOOKUP(I2333,[1]AUTOS!$C:$G,4,0),"")</f>
        <v>GRIS</v>
      </c>
      <c r="M2333" t="s">
        <v>43</v>
      </c>
      <c r="N2333" s="3">
        <v>3277.4120000000003</v>
      </c>
      <c r="O2333" s="3">
        <v>2500</v>
      </c>
      <c r="P2333" s="3">
        <v>3566.4120000000003</v>
      </c>
      <c r="Q2333" s="3">
        <v>500</v>
      </c>
    </row>
    <row r="2334" spans="1:17" hidden="1" x14ac:dyDescent="0.3">
      <c r="A2334">
        <v>41</v>
      </c>
      <c r="B2334" t="str">
        <f>VLOOKUP($A2334,[1]LISTA!$B:$C,2,0)</f>
        <v>OCTUBRE</v>
      </c>
      <c r="C2334" s="1">
        <v>2025</v>
      </c>
      <c r="D2334" s="1" t="str">
        <f>IF($A2334&lt;=[1]RESULTADOS!$D$6,"YTD","YTG")</f>
        <v>YTG</v>
      </c>
      <c r="E2334" t="s">
        <v>563</v>
      </c>
      <c r="F2334" t="s">
        <v>667</v>
      </c>
      <c r="G2334" t="s">
        <v>667</v>
      </c>
      <c r="H2334" t="s">
        <v>668</v>
      </c>
      <c r="I2334" t="s">
        <v>61</v>
      </c>
      <c r="J2334" t="str">
        <f>IFERROR(VLOOKUP(I2334,[1]AUTOS!$C:$G,2,0),"")</f>
        <v>KIA RIO</v>
      </c>
      <c r="K2334">
        <f>IFERROR(VLOOKUP(I2334,[1]AUTOS!$C:$G,3,0),"")</f>
        <v>2017</v>
      </c>
      <c r="L2334" t="str">
        <f>IFERROR(VLOOKUP(I2334,[1]AUTOS!$C:$G,4,0),"")</f>
        <v>ROJO</v>
      </c>
      <c r="M2334" t="s">
        <v>140</v>
      </c>
      <c r="N2334" s="3">
        <v>14.69</v>
      </c>
      <c r="O2334" s="3">
        <v>15</v>
      </c>
      <c r="P2334" s="3">
        <v>14.69</v>
      </c>
      <c r="Q2334" s="3">
        <v>0</v>
      </c>
    </row>
    <row r="2335" spans="1:17" hidden="1" x14ac:dyDescent="0.3">
      <c r="A2335">
        <v>41</v>
      </c>
      <c r="B2335" t="str">
        <f>VLOOKUP($A2335,[1]LISTA!$B:$C,2,0)</f>
        <v>OCTUBRE</v>
      </c>
      <c r="C2335" s="1">
        <v>2025</v>
      </c>
      <c r="D2335" s="1" t="str">
        <f>IF($A2335&lt;=[1]RESULTADOS!$D$6,"YTD","YTG")</f>
        <v>YTG</v>
      </c>
      <c r="E2335" t="s">
        <v>707</v>
      </c>
      <c r="F2335" t="s">
        <v>667</v>
      </c>
      <c r="G2335" t="s">
        <v>667</v>
      </c>
      <c r="H2335" t="s">
        <v>668</v>
      </c>
      <c r="I2335" t="s">
        <v>383</v>
      </c>
      <c r="J2335" t="str">
        <f>IFERROR(VLOOKUP(I2335,[1]AUTOS!$C:$G,2,0),"")</f>
        <v>VENTO</v>
      </c>
      <c r="K2335">
        <f>IFERROR(VLOOKUP(I2335,[1]AUTOS!$C:$G,3,0),"")</f>
        <v>2020</v>
      </c>
      <c r="L2335" t="str">
        <f>IFERROR(VLOOKUP(I2335,[1]AUTOS!$C:$G,4,0),"")</f>
        <v>GRIS</v>
      </c>
      <c r="M2335" t="s">
        <v>215</v>
      </c>
      <c r="N2335" s="3">
        <v>1749.09</v>
      </c>
      <c r="O2335" s="3">
        <v>2500</v>
      </c>
      <c r="P2335" s="3">
        <v>3000.09</v>
      </c>
      <c r="Q2335" s="3">
        <v>500</v>
      </c>
    </row>
    <row r="2336" spans="1:17" x14ac:dyDescent="0.3">
      <c r="A2336">
        <v>41</v>
      </c>
      <c r="B2336" t="str">
        <f>VLOOKUP($A2336,[1]LISTA!$B:$C,2,0)</f>
        <v>OCTUBRE</v>
      </c>
      <c r="C2336" s="1">
        <v>2025</v>
      </c>
      <c r="D2336" s="1" t="str">
        <f>IF($A2336&lt;=[1]RESULTADOS!$D$6,"YTD","YTG")</f>
        <v>YTG</v>
      </c>
      <c r="E2336" t="s">
        <v>403</v>
      </c>
      <c r="F2336" t="s">
        <v>667</v>
      </c>
      <c r="G2336" t="s">
        <v>667</v>
      </c>
      <c r="H2336" t="s">
        <v>668</v>
      </c>
      <c r="I2336" t="s">
        <v>72</v>
      </c>
      <c r="J2336" t="str">
        <f>IFERROR(VLOOKUP(I2336,[1]AUTOS!$C:$G,2,0),"")</f>
        <v>VENTO</v>
      </c>
      <c r="K2336">
        <f>IFERROR(VLOOKUP(I2336,[1]AUTOS!$C:$G,3,0),"")</f>
        <v>2020</v>
      </c>
      <c r="L2336" t="str">
        <f>IFERROR(VLOOKUP(I2336,[1]AUTOS!$C:$G,4,0),"")</f>
        <v>GRIS</v>
      </c>
      <c r="M2336" t="s">
        <v>43</v>
      </c>
      <c r="N2336" s="3">
        <v>2251.3000000000002</v>
      </c>
      <c r="O2336" s="3">
        <v>2500</v>
      </c>
      <c r="P2336" s="3">
        <v>3000.3</v>
      </c>
      <c r="Q2336" s="3">
        <v>0</v>
      </c>
    </row>
    <row r="2337" spans="1:17" hidden="1" x14ac:dyDescent="0.3">
      <c r="A2337">
        <v>41</v>
      </c>
      <c r="B2337" t="str">
        <f>VLOOKUP($A2337,[1]LISTA!$B:$C,2,0)</f>
        <v>OCTUBRE</v>
      </c>
      <c r="C2337" s="1">
        <v>2025</v>
      </c>
      <c r="D2337" s="1" t="str">
        <f>IF($A2337&lt;=[1]RESULTADOS!$D$6,"YTD","YTG")</f>
        <v>YTG</v>
      </c>
      <c r="E2337" t="s">
        <v>470</v>
      </c>
      <c r="F2337" t="s">
        <v>667</v>
      </c>
      <c r="G2337" t="s">
        <v>667</v>
      </c>
      <c r="H2337" t="s">
        <v>668</v>
      </c>
      <c r="I2337" t="s">
        <v>73</v>
      </c>
      <c r="J2337" t="str">
        <f>IFERROR(VLOOKUP(I2337,[1]AUTOS!$C:$G,2,0),"")</f>
        <v>VERSA</v>
      </c>
      <c r="K2337">
        <f>IFERROR(VLOOKUP(I2337,[1]AUTOS!$C:$G,3,0),"")</f>
        <v>2023</v>
      </c>
      <c r="L2337" t="str">
        <f>IFERROR(VLOOKUP(I2337,[1]AUTOS!$C:$G,4,0),"")</f>
        <v>PLATA</v>
      </c>
      <c r="M2337" t="s">
        <v>43</v>
      </c>
      <c r="N2337" s="3">
        <v>1391.95</v>
      </c>
      <c r="O2337" s="3">
        <v>2500</v>
      </c>
      <c r="P2337" s="3">
        <v>1891.95</v>
      </c>
      <c r="Q2337" s="3">
        <v>0</v>
      </c>
    </row>
    <row r="2338" spans="1:17" hidden="1" x14ac:dyDescent="0.3">
      <c r="A2338">
        <v>41</v>
      </c>
      <c r="B2338" t="str">
        <f>VLOOKUP($A2338,[1]LISTA!$B:$C,2,0)</f>
        <v>OCTUBRE</v>
      </c>
      <c r="C2338" s="1">
        <v>2025</v>
      </c>
      <c r="D2338" s="1" t="str">
        <f>IF($A2338&lt;=[1]RESULTADOS!$D$6,"YTD","YTG")</f>
        <v>YTG</v>
      </c>
      <c r="E2338" t="s">
        <v>537</v>
      </c>
      <c r="F2338" t="s">
        <v>667</v>
      </c>
      <c r="G2338" t="s">
        <v>667</v>
      </c>
      <c r="H2338" t="s">
        <v>668</v>
      </c>
      <c r="I2338" t="s">
        <v>214</v>
      </c>
      <c r="J2338" t="str">
        <f>IFERROR(VLOOKUP(I2338,[1]AUTOS!$C:$G,2,0),"")</f>
        <v>VENTO</v>
      </c>
      <c r="K2338">
        <f>IFERROR(VLOOKUP(I2338,[1]AUTOS!$C:$G,3,0),"")</f>
        <v>2019</v>
      </c>
      <c r="L2338" t="str">
        <f>IFERROR(VLOOKUP(I2338,[1]AUTOS!$C:$G,4,0),"")</f>
        <v>BLANCO</v>
      </c>
      <c r="M2338" t="s">
        <v>215</v>
      </c>
      <c r="N2338" s="3">
        <v>4089.7400000000007</v>
      </c>
      <c r="O2338" s="3">
        <v>1785.71</v>
      </c>
      <c r="P2338" s="3">
        <v>2285.71</v>
      </c>
      <c r="Q2338" s="3">
        <v>500</v>
      </c>
    </row>
    <row r="2339" spans="1:17" hidden="1" x14ac:dyDescent="0.3">
      <c r="A2339">
        <v>41</v>
      </c>
      <c r="B2339" t="str">
        <f>VLOOKUP($A2339,[1]LISTA!$B:$C,2,0)</f>
        <v>OCTUBRE</v>
      </c>
      <c r="C2339" s="1">
        <v>2025</v>
      </c>
      <c r="D2339" s="1" t="str">
        <f>IF($A2339&lt;=[1]RESULTADOS!$D$6,"YTD","YTG")</f>
        <v>YTG</v>
      </c>
      <c r="E2339" t="s">
        <v>402</v>
      </c>
      <c r="F2339" t="s">
        <v>667</v>
      </c>
      <c r="G2339" t="s">
        <v>667</v>
      </c>
      <c r="H2339" t="s">
        <v>668</v>
      </c>
      <c r="I2339" t="s">
        <v>59</v>
      </c>
      <c r="J2339" t="str">
        <f>IFERROR(VLOOKUP(I2339,[1]AUTOS!$C:$G,2,0),"")</f>
        <v>AVEO</v>
      </c>
      <c r="K2339">
        <f>IFERROR(VLOOKUP(I2339,[1]AUTOS!$C:$G,3,0),"")</f>
        <v>2019</v>
      </c>
      <c r="L2339" t="str">
        <f>IFERROR(VLOOKUP(I2339,[1]AUTOS!$C:$G,4,0),"")</f>
        <v>BLANCO</v>
      </c>
      <c r="M2339" t="s">
        <v>43</v>
      </c>
      <c r="N2339" s="3">
        <v>0</v>
      </c>
      <c r="O2339" s="3">
        <v>2500</v>
      </c>
      <c r="P2339" s="3">
        <v>900</v>
      </c>
      <c r="Q2339" s="3">
        <v>0</v>
      </c>
    </row>
    <row r="2340" spans="1:17" hidden="1" x14ac:dyDescent="0.3">
      <c r="A2340">
        <v>41</v>
      </c>
      <c r="B2340" t="str">
        <f>VLOOKUP($A2340,[1]LISTA!$B:$C,2,0)</f>
        <v>OCTUBRE</v>
      </c>
      <c r="C2340" s="1">
        <v>2025</v>
      </c>
      <c r="D2340" s="1" t="str">
        <f>IF($A2340&lt;=[1]RESULTADOS!$D$6,"YTD","YTG")</f>
        <v>YTG</v>
      </c>
      <c r="E2340" t="s">
        <v>496</v>
      </c>
      <c r="F2340" t="s">
        <v>667</v>
      </c>
      <c r="G2340" t="s">
        <v>667</v>
      </c>
      <c r="H2340" t="s">
        <v>668</v>
      </c>
      <c r="I2340" t="s">
        <v>547</v>
      </c>
      <c r="J2340" t="str">
        <f>IFERROR(VLOOKUP(I2340,[1]AUTOS!$C:$G,2,0),"")</f>
        <v>AVEO</v>
      </c>
      <c r="K2340">
        <f>IFERROR(VLOOKUP(I2340,[1]AUTOS!$C:$G,3,0),"")</f>
        <v>2022</v>
      </c>
      <c r="L2340" t="str">
        <f>IFERROR(VLOOKUP(I2340,[1]AUTOS!$C:$G,4,0),"")</f>
        <v>VINO</v>
      </c>
      <c r="M2340" t="s">
        <v>140</v>
      </c>
      <c r="N2340" s="3">
        <v>8535.1400000000012</v>
      </c>
      <c r="O2340" s="3">
        <v>2500</v>
      </c>
      <c r="P2340" s="3">
        <v>2500</v>
      </c>
      <c r="Q2340" s="3">
        <v>0</v>
      </c>
    </row>
    <row r="2341" spans="1:17" hidden="1" x14ac:dyDescent="0.3">
      <c r="A2341">
        <v>41</v>
      </c>
      <c r="B2341" t="str">
        <f>VLOOKUP($A2341,[1]LISTA!$B:$C,2,0)</f>
        <v>OCTUBRE</v>
      </c>
      <c r="C2341" s="1">
        <v>2025</v>
      </c>
      <c r="D2341" s="1" t="str">
        <f>IF($A2341&lt;=[1]RESULTADOS!$D$6,"YTD","YTG")</f>
        <v>YTG</v>
      </c>
      <c r="E2341" t="s">
        <v>416</v>
      </c>
      <c r="F2341" t="s">
        <v>667</v>
      </c>
      <c r="G2341" t="s">
        <v>667</v>
      </c>
      <c r="H2341" t="s">
        <v>668</v>
      </c>
      <c r="I2341" t="s">
        <v>495</v>
      </c>
      <c r="J2341" t="str">
        <f>IFERROR(VLOOKUP(I2341,[1]AUTOS!$C:$G,2,0),"")</f>
        <v>VERSA</v>
      </c>
      <c r="K2341">
        <f>IFERROR(VLOOKUP(I2341,[1]AUTOS!$C:$G,3,0),"")</f>
        <v>2021</v>
      </c>
      <c r="L2341" t="str">
        <f>IFERROR(VLOOKUP(I2341,[1]AUTOS!$C:$G,4,0),"")</f>
        <v>BLANCO</v>
      </c>
      <c r="M2341" t="s">
        <v>140</v>
      </c>
      <c r="N2341" s="3">
        <v>2251.5100000000002</v>
      </c>
      <c r="O2341" s="3">
        <v>2500</v>
      </c>
      <c r="P2341" s="3">
        <v>2499.5100000000002</v>
      </c>
      <c r="Q2341" s="3">
        <v>0</v>
      </c>
    </row>
    <row r="2342" spans="1:17" hidden="1" x14ac:dyDescent="0.3">
      <c r="A2342">
        <v>41</v>
      </c>
      <c r="B2342" t="str">
        <f>VLOOKUP($A2342,[1]LISTA!$B:$C,2,0)</f>
        <v>OCTUBRE</v>
      </c>
      <c r="C2342" s="1">
        <v>2025</v>
      </c>
      <c r="D2342" s="1" t="str">
        <f>IF($A2342&lt;=[1]RESULTADOS!$D$6,"YTD","YTG")</f>
        <v>YTG</v>
      </c>
      <c r="E2342" t="s">
        <v>709</v>
      </c>
      <c r="F2342" t="s">
        <v>667</v>
      </c>
      <c r="G2342" t="s">
        <v>667</v>
      </c>
      <c r="H2342" t="s">
        <v>668</v>
      </c>
      <c r="I2342" t="s">
        <v>185</v>
      </c>
      <c r="J2342" t="str">
        <f>IFERROR(VLOOKUP(I2342,[1]AUTOS!$C:$G,2,0),"")</f>
        <v>MARCH</v>
      </c>
      <c r="K2342">
        <f>IFERROR(VLOOKUP(I2342,[1]AUTOS!$C:$G,3,0),"")</f>
        <v>2021</v>
      </c>
      <c r="L2342" t="str">
        <f>IFERROR(VLOOKUP(I2342,[1]AUTOS!$C:$G,4,0),"")</f>
        <v>ROJO</v>
      </c>
      <c r="M2342" t="s">
        <v>43</v>
      </c>
      <c r="N2342" s="3">
        <v>4586.3100000000004</v>
      </c>
      <c r="O2342" s="3">
        <v>2500</v>
      </c>
      <c r="P2342" s="3">
        <v>3000</v>
      </c>
      <c r="Q2342" s="3">
        <v>500</v>
      </c>
    </row>
    <row r="2343" spans="1:17" hidden="1" x14ac:dyDescent="0.3">
      <c r="A2343">
        <v>41</v>
      </c>
      <c r="B2343" t="str">
        <f>VLOOKUP($A2343,[1]LISTA!$B:$C,2,0)</f>
        <v>OCTUBRE</v>
      </c>
      <c r="C2343" s="1">
        <v>2025</v>
      </c>
      <c r="D2343" s="1" t="str">
        <f>IF($A2343&lt;=[1]RESULTADOS!$D$6,"YTD","YTG")</f>
        <v>YTG</v>
      </c>
      <c r="E2343" t="s">
        <v>377</v>
      </c>
      <c r="F2343" t="s">
        <v>667</v>
      </c>
      <c r="G2343" t="s">
        <v>667</v>
      </c>
      <c r="H2343" t="s">
        <v>668</v>
      </c>
      <c r="I2343" t="s">
        <v>42</v>
      </c>
      <c r="J2343" t="str">
        <f>IFERROR(VLOOKUP(I2343,[1]AUTOS!$C:$G,2,0),"")</f>
        <v>VENTO</v>
      </c>
      <c r="K2343">
        <f>IFERROR(VLOOKUP(I2343,[1]AUTOS!$C:$G,3,0),"")</f>
        <v>2018</v>
      </c>
      <c r="L2343" t="str">
        <f>IFERROR(VLOOKUP(I2343,[1]AUTOS!$C:$G,4,0),"")</f>
        <v>AMARILLO</v>
      </c>
      <c r="M2343" t="s">
        <v>43</v>
      </c>
      <c r="N2343" s="3">
        <v>2084.2199999999998</v>
      </c>
      <c r="O2343" s="3">
        <v>2500</v>
      </c>
      <c r="P2343" s="3">
        <v>2500.2199999999998</v>
      </c>
      <c r="Q2343" s="3">
        <v>0</v>
      </c>
    </row>
    <row r="2344" spans="1:17" hidden="1" x14ac:dyDescent="0.3">
      <c r="A2344">
        <v>41</v>
      </c>
      <c r="B2344" t="str">
        <f>VLOOKUP($A2344,[1]LISTA!$B:$C,2,0)</f>
        <v>OCTUBRE</v>
      </c>
      <c r="C2344" s="1">
        <v>2025</v>
      </c>
      <c r="D2344" s="1" t="str">
        <f>IF($A2344&lt;=[1]RESULTADOS!$D$6,"YTD","YTG")</f>
        <v>YTG</v>
      </c>
      <c r="E2344" t="s">
        <v>594</v>
      </c>
      <c r="F2344" t="s">
        <v>667</v>
      </c>
      <c r="G2344" t="s">
        <v>667</v>
      </c>
      <c r="H2344" t="s">
        <v>668</v>
      </c>
      <c r="I2344" t="s">
        <v>313</v>
      </c>
      <c r="J2344" t="str">
        <f>IFERROR(VLOOKUP(I2344,[1]AUTOS!$C:$G,2,0),"")</f>
        <v>MARCH</v>
      </c>
      <c r="K2344">
        <f>IFERROR(VLOOKUP(I2344,[1]AUTOS!$C:$G,3,0),"")</f>
        <v>2019</v>
      </c>
      <c r="L2344" t="str">
        <f>IFERROR(VLOOKUP(I2344,[1]AUTOS!$C:$G,4,0),"")</f>
        <v>TURQ</v>
      </c>
      <c r="M2344" t="s">
        <v>140</v>
      </c>
      <c r="N2344" s="3">
        <v>1788.91</v>
      </c>
      <c r="O2344" s="3">
        <v>1428.57</v>
      </c>
      <c r="P2344" s="3">
        <v>1788.91</v>
      </c>
      <c r="Q2344" s="3">
        <v>285.70999999999998</v>
      </c>
    </row>
    <row r="2345" spans="1:17" hidden="1" x14ac:dyDescent="0.3">
      <c r="A2345">
        <v>41</v>
      </c>
      <c r="B2345" t="str">
        <f>VLOOKUP($A2345,[1]LISTA!$B:$C,2,0)</f>
        <v>OCTUBRE</v>
      </c>
      <c r="C2345" s="1">
        <v>2025</v>
      </c>
      <c r="D2345" s="1" t="str">
        <f>IF($A2345&lt;=[1]RESULTADOS!$D$6,"YTD","YTG")</f>
        <v>YTG</v>
      </c>
      <c r="E2345" t="s">
        <v>710</v>
      </c>
      <c r="F2345" t="s">
        <v>667</v>
      </c>
      <c r="G2345" t="s">
        <v>667</v>
      </c>
      <c r="H2345" t="s">
        <v>668</v>
      </c>
      <c r="I2345" t="s">
        <v>366</v>
      </c>
      <c r="J2345" t="str">
        <f>IFERROR(VLOOKUP(I2345,[1]AUTOS!$C:$G,2,0),"")</f>
        <v>VENTO</v>
      </c>
      <c r="K2345">
        <f>IFERROR(VLOOKUP(I2345,[1]AUTOS!$C:$G,3,0),"")</f>
        <v>2019</v>
      </c>
      <c r="L2345" t="str">
        <f>IFERROR(VLOOKUP(I2345,[1]AUTOS!$C:$G,4,0),"")</f>
        <v>BLANCO</v>
      </c>
      <c r="M2345" t="s">
        <v>215</v>
      </c>
      <c r="N2345" s="3">
        <v>2327.11</v>
      </c>
      <c r="O2345" s="3">
        <v>1607.14</v>
      </c>
      <c r="P2345" s="3">
        <v>1929.14</v>
      </c>
      <c r="Q2345" s="3">
        <v>322</v>
      </c>
    </row>
    <row r="2346" spans="1:17" hidden="1" x14ac:dyDescent="0.3">
      <c r="A2346">
        <v>42</v>
      </c>
      <c r="B2346" t="str">
        <f>VLOOKUP($A2346,[1]LISTA!$B:$C,2,0)</f>
        <v>OCTUBRE</v>
      </c>
      <c r="C2346" s="1">
        <v>2025</v>
      </c>
      <c r="D2346" s="1" t="str">
        <f>IF($A2346&lt;=[1]RESULTADOS!$D$6,"YTD","YTG")</f>
        <v>YTG</v>
      </c>
      <c r="E2346" t="s">
        <v>497</v>
      </c>
      <c r="F2346" t="s">
        <v>667</v>
      </c>
      <c r="G2346" t="s">
        <v>667</v>
      </c>
      <c r="H2346" t="s">
        <v>668</v>
      </c>
      <c r="I2346" t="s">
        <v>61</v>
      </c>
      <c r="J2346" t="str">
        <f>IFERROR(VLOOKUP(I2346,[1]AUTOS!$C:$G,2,0),"")</f>
        <v>KIA RIO</v>
      </c>
      <c r="K2346">
        <f>IFERROR(VLOOKUP(I2346,[1]AUTOS!$C:$G,3,0),"")</f>
        <v>2017</v>
      </c>
      <c r="L2346" t="str">
        <f>IFERROR(VLOOKUP(I2346,[1]AUTOS!$C:$G,4,0),"")</f>
        <v>ROJO</v>
      </c>
      <c r="M2346" t="s">
        <v>140</v>
      </c>
      <c r="N2346" s="3">
        <v>3597.0000000000005</v>
      </c>
      <c r="O2346" s="3">
        <v>2143</v>
      </c>
      <c r="P2346" s="3">
        <v>2715</v>
      </c>
      <c r="Q2346" s="3">
        <v>572</v>
      </c>
    </row>
    <row r="2347" spans="1:17" hidden="1" x14ac:dyDescent="0.3">
      <c r="A2347">
        <v>42</v>
      </c>
      <c r="B2347" t="str">
        <f>VLOOKUP($A2347,[1]LISTA!$B:$C,2,0)</f>
        <v>OCTUBRE</v>
      </c>
      <c r="C2347" s="1">
        <v>2025</v>
      </c>
      <c r="D2347" s="1" t="str">
        <f>IF($A2347&lt;=[1]RESULTADOS!$D$6,"YTD","YTG")</f>
        <v>YTG</v>
      </c>
      <c r="E2347" t="s">
        <v>492</v>
      </c>
      <c r="F2347" t="s">
        <v>667</v>
      </c>
      <c r="G2347" t="s">
        <v>667</v>
      </c>
      <c r="H2347" t="s">
        <v>668</v>
      </c>
      <c r="I2347" t="s">
        <v>144</v>
      </c>
      <c r="J2347" t="str">
        <f>IFERROR(VLOOKUP(I2347,[1]AUTOS!$C:$G,2,0),"")</f>
        <v>VERSA</v>
      </c>
      <c r="K2347">
        <f>IFERROR(VLOOKUP(I2347,[1]AUTOS!$C:$G,3,0),"")</f>
        <v>2020</v>
      </c>
      <c r="L2347" t="str">
        <f>IFERROR(VLOOKUP(I2347,[1]AUTOS!$C:$G,4,0),"")</f>
        <v>ROJO</v>
      </c>
      <c r="M2347" t="s">
        <v>43</v>
      </c>
      <c r="N2347" s="3">
        <v>0</v>
      </c>
      <c r="O2347" s="3">
        <v>0</v>
      </c>
      <c r="P2347" s="3">
        <v>0</v>
      </c>
      <c r="Q2347" s="3">
        <v>0</v>
      </c>
    </row>
    <row r="2348" spans="1:17" hidden="1" x14ac:dyDescent="0.3">
      <c r="A2348">
        <v>42</v>
      </c>
      <c r="B2348" t="str">
        <f>VLOOKUP($A2348,[1]LISTA!$B:$C,2,0)</f>
        <v>OCTUBRE</v>
      </c>
      <c r="C2348" s="1">
        <v>2025</v>
      </c>
      <c r="D2348" s="1" t="str">
        <f>IF($A2348&lt;=[1]RESULTADOS!$D$6,"YTD","YTG")</f>
        <v>YTG</v>
      </c>
      <c r="E2348" t="s">
        <v>705</v>
      </c>
      <c r="F2348" t="s">
        <v>667</v>
      </c>
      <c r="G2348" t="s">
        <v>667</v>
      </c>
      <c r="H2348" t="s">
        <v>668</v>
      </c>
      <c r="I2348" t="s">
        <v>82</v>
      </c>
      <c r="J2348" t="str">
        <f>IFERROR(VLOOKUP(I2348,[1]AUTOS!$C:$G,2,0),"")</f>
        <v>AVEO</v>
      </c>
      <c r="K2348">
        <f>IFERROR(VLOOKUP(I2348,[1]AUTOS!$C:$G,3,0),"")</f>
        <v>2019</v>
      </c>
      <c r="L2348" t="str">
        <f>IFERROR(VLOOKUP(I2348,[1]AUTOS!$C:$G,4,0),"")</f>
        <v>PLATA</v>
      </c>
      <c r="M2348" t="s">
        <v>43</v>
      </c>
      <c r="N2348" s="3">
        <v>820.4799999999999</v>
      </c>
      <c r="O2348" s="3">
        <v>820</v>
      </c>
      <c r="P2348" s="3">
        <v>820</v>
      </c>
      <c r="Q2348" s="3">
        <v>0</v>
      </c>
    </row>
    <row r="2349" spans="1:17" hidden="1" x14ac:dyDescent="0.3">
      <c r="A2349">
        <v>42</v>
      </c>
      <c r="B2349" t="str">
        <f>VLOOKUP($A2349,[1]LISTA!$B:$C,2,0)</f>
        <v>OCTUBRE</v>
      </c>
      <c r="C2349" s="1">
        <v>2025</v>
      </c>
      <c r="D2349" s="1" t="str">
        <f>IF($A2349&lt;=[1]RESULTADOS!$D$6,"YTD","YTG")</f>
        <v>YTG</v>
      </c>
      <c r="E2349" t="s">
        <v>691</v>
      </c>
      <c r="F2349" t="s">
        <v>667</v>
      </c>
      <c r="G2349" t="s">
        <v>667</v>
      </c>
      <c r="H2349" t="s">
        <v>668</v>
      </c>
      <c r="I2349" t="s">
        <v>139</v>
      </c>
      <c r="J2349" t="str">
        <f>IFERROR(VLOOKUP(I2349,[1]AUTOS!$C:$G,2,0),"")</f>
        <v>SWIFT</v>
      </c>
      <c r="K2349">
        <f>IFERROR(VLOOKUP(I2349,[1]AUTOS!$C:$G,3,0),"")</f>
        <v>2017</v>
      </c>
      <c r="L2349" t="str">
        <f>IFERROR(VLOOKUP(I2349,[1]AUTOS!$C:$G,4,0),"")</f>
        <v>ROJO</v>
      </c>
      <c r="M2349" t="s">
        <v>140</v>
      </c>
      <c r="N2349" s="3">
        <v>4101.3999999999996</v>
      </c>
      <c r="O2349" s="3">
        <v>2500</v>
      </c>
      <c r="P2349" s="3">
        <v>2500</v>
      </c>
      <c r="Q2349" s="3">
        <v>0</v>
      </c>
    </row>
    <row r="2350" spans="1:17" hidden="1" x14ac:dyDescent="0.3">
      <c r="A2350">
        <v>42</v>
      </c>
      <c r="B2350" t="str">
        <f>VLOOKUP($A2350,[1]LISTA!$B:$C,2,0)</f>
        <v>OCTUBRE</v>
      </c>
      <c r="C2350" s="1">
        <v>2025</v>
      </c>
      <c r="D2350" s="1" t="str">
        <f>IF($A2350&lt;=[1]RESULTADOS!$D$6,"YTD","YTG")</f>
        <v>YTG</v>
      </c>
      <c r="E2350" t="s">
        <v>486</v>
      </c>
      <c r="F2350" t="s">
        <v>667</v>
      </c>
      <c r="G2350" t="s">
        <v>667</v>
      </c>
      <c r="H2350" t="s">
        <v>668</v>
      </c>
      <c r="I2350" t="s">
        <v>34</v>
      </c>
      <c r="J2350" t="str">
        <f>IFERROR(VLOOKUP(I2350,[1]AUTOS!$C:$G,2,0),"")</f>
        <v>AVEO</v>
      </c>
      <c r="K2350">
        <f>IFERROR(VLOOKUP(I2350,[1]AUTOS!$C:$G,3,0),"")</f>
        <v>2018</v>
      </c>
      <c r="L2350" t="str">
        <f>IFERROR(VLOOKUP(I2350,[1]AUTOS!$C:$G,4,0),"")</f>
        <v>ROJO</v>
      </c>
      <c r="M2350" t="s">
        <v>140</v>
      </c>
      <c r="N2350" s="3">
        <v>7722.9000000000005</v>
      </c>
      <c r="O2350" s="3">
        <v>2500</v>
      </c>
      <c r="P2350" s="3">
        <v>2500</v>
      </c>
      <c r="Q2350" s="3">
        <v>0</v>
      </c>
    </row>
    <row r="2351" spans="1:17" hidden="1" x14ac:dyDescent="0.3">
      <c r="A2351">
        <v>42</v>
      </c>
      <c r="B2351" t="str">
        <f>VLOOKUP($A2351,[1]LISTA!$B:$C,2,0)</f>
        <v>OCTUBRE</v>
      </c>
      <c r="C2351" s="1">
        <v>2025</v>
      </c>
      <c r="D2351" s="1" t="str">
        <f>IF($A2351&lt;=[1]RESULTADOS!$D$6,"YTD","YTG")</f>
        <v>YTG</v>
      </c>
      <c r="E2351" t="s">
        <v>399</v>
      </c>
      <c r="F2351" t="s">
        <v>667</v>
      </c>
      <c r="G2351" t="s">
        <v>667</v>
      </c>
      <c r="H2351" t="s">
        <v>668</v>
      </c>
      <c r="I2351" t="s">
        <v>162</v>
      </c>
      <c r="J2351" t="str">
        <f>IFERROR(VLOOKUP(I2351,[1]AUTOS!$C:$G,2,0),"")</f>
        <v>HYUNDAI</v>
      </c>
      <c r="K2351">
        <f>IFERROR(VLOOKUP(I2351,[1]AUTOS!$C:$G,3,0),"")</f>
        <v>2022</v>
      </c>
      <c r="L2351" t="str">
        <f>IFERROR(VLOOKUP(I2351,[1]AUTOS!$C:$G,4,0),"")</f>
        <v>PLATA</v>
      </c>
      <c r="M2351" t="s">
        <v>43</v>
      </c>
      <c r="N2351" s="3">
        <v>7607.31</v>
      </c>
      <c r="O2351" s="3">
        <v>2500</v>
      </c>
      <c r="P2351" s="3">
        <v>3500</v>
      </c>
      <c r="Q2351" s="3">
        <v>0</v>
      </c>
    </row>
    <row r="2352" spans="1:17" hidden="1" x14ac:dyDescent="0.3">
      <c r="A2352">
        <v>42</v>
      </c>
      <c r="B2352" t="str">
        <f>VLOOKUP($A2352,[1]LISTA!$B:$C,2,0)</f>
        <v>OCTUBRE</v>
      </c>
      <c r="C2352" s="1">
        <v>2025</v>
      </c>
      <c r="D2352" s="1" t="str">
        <f>IF($A2352&lt;=[1]RESULTADOS!$D$6,"YTD","YTG")</f>
        <v>YTG</v>
      </c>
      <c r="E2352" t="s">
        <v>574</v>
      </c>
      <c r="F2352" t="s">
        <v>667</v>
      </c>
      <c r="G2352" t="s">
        <v>667</v>
      </c>
      <c r="H2352" t="s">
        <v>668</v>
      </c>
      <c r="I2352" t="s">
        <v>333</v>
      </c>
      <c r="J2352" t="str">
        <f>IFERROR(VLOOKUP(I2352,[1]AUTOS!$C:$G,2,0),"")</f>
        <v>BEAT</v>
      </c>
      <c r="K2352">
        <f>IFERROR(VLOOKUP(I2352,[1]AUTOS!$C:$G,3,0),"")</f>
        <v>2019</v>
      </c>
      <c r="L2352" t="str">
        <f>IFERROR(VLOOKUP(I2352,[1]AUTOS!$C:$G,4,0),"")</f>
        <v>OCRE</v>
      </c>
      <c r="M2352" t="s">
        <v>140</v>
      </c>
      <c r="N2352" s="3">
        <v>0</v>
      </c>
      <c r="O2352" s="3">
        <v>2143</v>
      </c>
      <c r="P2352" s="3">
        <v>1943</v>
      </c>
      <c r="Q2352" s="3">
        <v>500</v>
      </c>
    </row>
    <row r="2353" spans="1:17" hidden="1" x14ac:dyDescent="0.3">
      <c r="A2353">
        <v>42</v>
      </c>
      <c r="B2353" t="str">
        <f>VLOOKUP($A2353,[1]LISTA!$B:$C,2,0)</f>
        <v>OCTUBRE</v>
      </c>
      <c r="C2353" s="1">
        <v>2025</v>
      </c>
      <c r="D2353" s="1" t="str">
        <f>IF($A2353&lt;=[1]RESULTADOS!$D$6,"YTD","YTG")</f>
        <v>YTG</v>
      </c>
      <c r="E2353" t="s">
        <v>478</v>
      </c>
      <c r="F2353" t="s">
        <v>667</v>
      </c>
      <c r="G2353" t="s">
        <v>667</v>
      </c>
      <c r="H2353" t="s">
        <v>668</v>
      </c>
      <c r="I2353" t="s">
        <v>102</v>
      </c>
      <c r="J2353" t="str">
        <f>IFERROR(VLOOKUP(I2353,[1]AUTOS!$C:$G,2,0),"")</f>
        <v>AVEO</v>
      </c>
      <c r="K2353">
        <f>IFERROR(VLOOKUP(I2353,[1]AUTOS!$C:$G,3,0),"")</f>
        <v>2022</v>
      </c>
      <c r="L2353" t="str">
        <f>IFERROR(VLOOKUP(I2353,[1]AUTOS!$C:$G,4,0),"")</f>
        <v>AZUL</v>
      </c>
      <c r="M2353" t="s">
        <v>43</v>
      </c>
      <c r="N2353" s="3">
        <v>708.02000000000044</v>
      </c>
      <c r="O2353" s="3">
        <v>2500</v>
      </c>
      <c r="P2353" s="3">
        <v>3001.0200000000004</v>
      </c>
      <c r="Q2353" s="3">
        <v>0</v>
      </c>
    </row>
    <row r="2354" spans="1:17" hidden="1" x14ac:dyDescent="0.3">
      <c r="A2354">
        <v>42</v>
      </c>
      <c r="B2354" t="str">
        <f>VLOOKUP($A2354,[1]LISTA!$B:$C,2,0)</f>
        <v>OCTUBRE</v>
      </c>
      <c r="C2354" s="1">
        <v>2025</v>
      </c>
      <c r="D2354" s="1" t="str">
        <f>IF($A2354&lt;=[1]RESULTADOS!$D$6,"YTD","YTG")</f>
        <v>YTG</v>
      </c>
      <c r="E2354" t="s">
        <v>436</v>
      </c>
      <c r="F2354" t="s">
        <v>667</v>
      </c>
      <c r="G2354" t="s">
        <v>667</v>
      </c>
      <c r="H2354" t="s">
        <v>668</v>
      </c>
      <c r="I2354" t="s">
        <v>112</v>
      </c>
      <c r="J2354" t="str">
        <f>IFERROR(VLOOKUP(I2354,[1]AUTOS!$C:$G,2,0),"")</f>
        <v>KIA RIO</v>
      </c>
      <c r="K2354">
        <f>IFERROR(VLOOKUP(I2354,[1]AUTOS!$C:$G,3,0),"")</f>
        <v>2020</v>
      </c>
      <c r="L2354" t="str">
        <f>IFERROR(VLOOKUP(I2354,[1]AUTOS!$C:$G,4,0),"")</f>
        <v>ROJO</v>
      </c>
      <c r="M2354" t="s">
        <v>140</v>
      </c>
      <c r="N2354" s="3">
        <v>3224.8500000000008</v>
      </c>
      <c r="O2354" s="3">
        <v>2500</v>
      </c>
      <c r="P2354" s="3">
        <v>2500</v>
      </c>
      <c r="Q2354" s="3">
        <v>0</v>
      </c>
    </row>
    <row r="2355" spans="1:17" hidden="1" x14ac:dyDescent="0.3">
      <c r="A2355">
        <v>42</v>
      </c>
      <c r="B2355" t="str">
        <f>VLOOKUP($A2355,[1]LISTA!$B:$C,2,0)</f>
        <v>OCTUBRE</v>
      </c>
      <c r="C2355" s="1">
        <v>2025</v>
      </c>
      <c r="D2355" s="1" t="str">
        <f>IF($A2355&lt;=[1]RESULTADOS!$D$6,"YTD","YTG")</f>
        <v>YTG</v>
      </c>
      <c r="E2355" t="s">
        <v>642</v>
      </c>
      <c r="F2355" t="s">
        <v>667</v>
      </c>
      <c r="G2355" t="s">
        <v>667</v>
      </c>
      <c r="H2355" t="s">
        <v>668</v>
      </c>
      <c r="I2355" t="s">
        <v>370</v>
      </c>
      <c r="J2355" t="str">
        <f>IFERROR(VLOOKUP(I2355,[1]AUTOS!$C:$G,2,0),"")</f>
        <v>KIA RIO</v>
      </c>
      <c r="K2355">
        <f>IFERROR(VLOOKUP(I2355,[1]AUTOS!$C:$G,3,0),"")</f>
        <v>2020</v>
      </c>
      <c r="L2355" t="str">
        <f>IFERROR(VLOOKUP(I2355,[1]AUTOS!$C:$G,4,0),"")</f>
        <v>AZUL</v>
      </c>
      <c r="M2355" t="s">
        <v>215</v>
      </c>
      <c r="N2355" s="3">
        <v>3077.59</v>
      </c>
      <c r="O2355" s="3">
        <v>2600</v>
      </c>
      <c r="P2355" s="3">
        <v>3099.59</v>
      </c>
      <c r="Q2355" s="3">
        <v>500</v>
      </c>
    </row>
    <row r="2356" spans="1:17" hidden="1" x14ac:dyDescent="0.3">
      <c r="A2356">
        <v>42</v>
      </c>
      <c r="B2356" t="str">
        <f>VLOOKUP($A2356,[1]LISTA!$B:$C,2,0)</f>
        <v>OCTUBRE</v>
      </c>
      <c r="C2356" s="1">
        <v>2025</v>
      </c>
      <c r="D2356" s="1" t="str">
        <f>IF($A2356&lt;=[1]RESULTADOS!$D$6,"YTD","YTG")</f>
        <v>YTG</v>
      </c>
      <c r="E2356" t="s">
        <v>706</v>
      </c>
      <c r="F2356" t="s">
        <v>667</v>
      </c>
      <c r="G2356" t="s">
        <v>667</v>
      </c>
      <c r="H2356" t="s">
        <v>668</v>
      </c>
      <c r="I2356" t="s">
        <v>131</v>
      </c>
      <c r="J2356" t="str">
        <f>IFERROR(VLOOKUP(I2356,[1]AUTOS!$C:$G,2,0),"")</f>
        <v>AVEO</v>
      </c>
      <c r="K2356">
        <f>IFERROR(VLOOKUP(I2356,[1]AUTOS!$C:$G,3,0),"")</f>
        <v>2024</v>
      </c>
      <c r="L2356" t="str">
        <f>IFERROR(VLOOKUP(I2356,[1]AUTOS!$C:$G,4,0),"")</f>
        <v>GRIS</v>
      </c>
      <c r="M2356" t="s">
        <v>43</v>
      </c>
      <c r="N2356" s="3">
        <v>1455.6100000000001</v>
      </c>
      <c r="O2356" s="3">
        <v>2500</v>
      </c>
      <c r="P2356" s="3">
        <v>2999.61</v>
      </c>
      <c r="Q2356" s="3">
        <v>500</v>
      </c>
    </row>
    <row r="2357" spans="1:17" hidden="1" x14ac:dyDescent="0.3">
      <c r="A2357">
        <v>42</v>
      </c>
      <c r="B2357" t="str">
        <f>VLOOKUP($A2357,[1]LISTA!$B:$C,2,0)</f>
        <v>OCTUBRE</v>
      </c>
      <c r="C2357" s="1">
        <v>2025</v>
      </c>
      <c r="D2357" s="1" t="str">
        <f>IF($A2357&lt;=[1]RESULTADOS!$D$6,"YTD","YTG")</f>
        <v>YTG</v>
      </c>
      <c r="E2357" t="s">
        <v>474</v>
      </c>
      <c r="F2357" t="s">
        <v>667</v>
      </c>
      <c r="G2357" t="s">
        <v>667</v>
      </c>
      <c r="H2357" t="s">
        <v>668</v>
      </c>
      <c r="I2357" t="s">
        <v>333</v>
      </c>
      <c r="J2357" t="str">
        <f>IFERROR(VLOOKUP(I2357,[1]AUTOS!$C:$G,2,0),"")</f>
        <v>BEAT</v>
      </c>
      <c r="K2357">
        <f>IFERROR(VLOOKUP(I2357,[1]AUTOS!$C:$G,3,0),"")</f>
        <v>2019</v>
      </c>
      <c r="L2357" t="str">
        <f>IFERROR(VLOOKUP(I2357,[1]AUTOS!$C:$G,4,0),"")</f>
        <v>OCRE</v>
      </c>
      <c r="M2357" t="s">
        <v>140</v>
      </c>
      <c r="N2357" s="3">
        <v>465.63</v>
      </c>
      <c r="O2357" s="3">
        <v>466</v>
      </c>
      <c r="P2357" s="3">
        <v>465.63</v>
      </c>
      <c r="Q2357" s="3">
        <v>0</v>
      </c>
    </row>
    <row r="2358" spans="1:17" hidden="1" x14ac:dyDescent="0.3">
      <c r="A2358">
        <v>42</v>
      </c>
      <c r="B2358" t="str">
        <f>VLOOKUP($A2358,[1]LISTA!$B:$C,2,0)</f>
        <v>OCTUBRE</v>
      </c>
      <c r="C2358" s="1">
        <v>2025</v>
      </c>
      <c r="D2358" s="1" t="str">
        <f>IF($A2358&lt;=[1]RESULTADOS!$D$6,"YTD","YTG")</f>
        <v>YTG</v>
      </c>
      <c r="E2358" t="s">
        <v>518</v>
      </c>
      <c r="F2358" t="s">
        <v>667</v>
      </c>
      <c r="G2358" t="s">
        <v>667</v>
      </c>
      <c r="H2358" t="s">
        <v>668</v>
      </c>
      <c r="I2358" t="s">
        <v>384</v>
      </c>
      <c r="J2358" t="str">
        <f>IFERROR(VLOOKUP(I2358,[1]AUTOS!$C:$G,2,0),"")</f>
        <v>MARCH</v>
      </c>
      <c r="K2358">
        <f>IFERROR(VLOOKUP(I2358,[1]AUTOS!$C:$G,3,0),"")</f>
        <v>2022</v>
      </c>
      <c r="L2358" t="str">
        <f>IFERROR(VLOOKUP(I2358,[1]AUTOS!$C:$G,4,0),"")</f>
        <v>BLANCO</v>
      </c>
      <c r="M2358" t="s">
        <v>215</v>
      </c>
      <c r="N2358" s="3">
        <v>0</v>
      </c>
      <c r="O2358" s="3">
        <v>2500</v>
      </c>
      <c r="P2358" s="3">
        <v>3000</v>
      </c>
      <c r="Q2358" s="3">
        <v>500</v>
      </c>
    </row>
    <row r="2359" spans="1:17" hidden="1" x14ac:dyDescent="0.3">
      <c r="A2359">
        <v>42</v>
      </c>
      <c r="B2359" t="str">
        <f>VLOOKUP($A2359,[1]LISTA!$B:$C,2,0)</f>
        <v>OCTUBRE</v>
      </c>
      <c r="C2359" s="1">
        <v>2025</v>
      </c>
      <c r="D2359" s="1" t="str">
        <f>IF($A2359&lt;=[1]RESULTADOS!$D$6,"YTD","YTG")</f>
        <v>YTG</v>
      </c>
      <c r="E2359" t="s">
        <v>607</v>
      </c>
      <c r="F2359" t="s">
        <v>667</v>
      </c>
      <c r="G2359" t="s">
        <v>667</v>
      </c>
      <c r="H2359" t="s">
        <v>668</v>
      </c>
      <c r="I2359" t="s">
        <v>560</v>
      </c>
      <c r="J2359" t="str">
        <f>IFERROR(VLOOKUP(I2359,[1]AUTOS!$C:$G,2,0),"")</f>
        <v>AVEO</v>
      </c>
      <c r="K2359">
        <f>IFERROR(VLOOKUP(I2359,[1]AUTOS!$C:$G,3,0),"")</f>
        <v>2023</v>
      </c>
      <c r="L2359" t="str">
        <f>IFERROR(VLOOKUP(I2359,[1]AUTOS!$C:$G,4,0),"")</f>
        <v>VINO</v>
      </c>
      <c r="M2359" t="s">
        <v>140</v>
      </c>
      <c r="N2359" s="3">
        <v>0</v>
      </c>
      <c r="O2359" s="3">
        <v>0</v>
      </c>
      <c r="P2359" s="3">
        <v>0</v>
      </c>
      <c r="Q2359" s="3">
        <v>0</v>
      </c>
    </row>
    <row r="2360" spans="1:17" hidden="1" x14ac:dyDescent="0.3">
      <c r="A2360">
        <v>42</v>
      </c>
      <c r="B2360" t="str">
        <f>VLOOKUP($A2360,[1]LISTA!$B:$C,2,0)</f>
        <v>OCTUBRE</v>
      </c>
      <c r="C2360" s="1">
        <v>2025</v>
      </c>
      <c r="D2360" s="1" t="str">
        <f>IF($A2360&lt;=[1]RESULTADOS!$D$6,"YTD","YTG")</f>
        <v>YTG</v>
      </c>
      <c r="E2360" t="s">
        <v>456</v>
      </c>
      <c r="F2360" t="s">
        <v>667</v>
      </c>
      <c r="G2360" t="s">
        <v>667</v>
      </c>
      <c r="H2360" t="s">
        <v>668</v>
      </c>
      <c r="I2360" t="s">
        <v>146</v>
      </c>
      <c r="J2360" t="str">
        <f>IFERROR(VLOOKUP(I2360,[1]AUTOS!$C:$G,2,0),"")</f>
        <v>KIA RIO</v>
      </c>
      <c r="K2360">
        <f>IFERROR(VLOOKUP(I2360,[1]AUTOS!$C:$G,3,0),"")</f>
        <v>2023</v>
      </c>
      <c r="L2360" t="str">
        <f>IFERROR(VLOOKUP(I2360,[1]AUTOS!$C:$G,4,0),"")</f>
        <v>ROJO</v>
      </c>
      <c r="M2360" t="s">
        <v>140</v>
      </c>
      <c r="N2360" s="3">
        <v>3965.3999999999996</v>
      </c>
      <c r="O2360" s="3">
        <v>2500</v>
      </c>
      <c r="P2360" s="3">
        <v>2595</v>
      </c>
      <c r="Q2360" s="3">
        <v>0</v>
      </c>
    </row>
    <row r="2361" spans="1:17" hidden="1" x14ac:dyDescent="0.3">
      <c r="A2361">
        <v>42</v>
      </c>
      <c r="B2361" t="str">
        <f>VLOOKUP($A2361,[1]LISTA!$B:$C,2,0)</f>
        <v>OCTUBRE</v>
      </c>
      <c r="C2361" s="1">
        <v>2025</v>
      </c>
      <c r="D2361" s="1" t="str">
        <f>IF($A2361&lt;=[1]RESULTADOS!$D$6,"YTD","YTG")</f>
        <v>YTG</v>
      </c>
      <c r="E2361" t="s">
        <v>411</v>
      </c>
      <c r="F2361" t="s">
        <v>667</v>
      </c>
      <c r="G2361" t="s">
        <v>667</v>
      </c>
      <c r="H2361" t="s">
        <v>668</v>
      </c>
      <c r="I2361" t="s">
        <v>178</v>
      </c>
      <c r="J2361" t="str">
        <f>IFERROR(VLOOKUP(I2361,[1]AUTOS!$C:$G,2,0),"")</f>
        <v>VERSA</v>
      </c>
      <c r="K2361">
        <f>IFERROR(VLOOKUP(I2361,[1]AUTOS!$C:$G,3,0),"")</f>
        <v>2020</v>
      </c>
      <c r="L2361" t="str">
        <f>IFERROR(VLOOKUP(I2361,[1]AUTOS!$C:$G,4,0),"")</f>
        <v>BLANCO</v>
      </c>
      <c r="M2361" t="s">
        <v>43</v>
      </c>
      <c r="N2361" s="3">
        <v>2797.8899999999994</v>
      </c>
      <c r="O2361" s="3">
        <v>2500</v>
      </c>
      <c r="P2361" s="3">
        <v>2500</v>
      </c>
      <c r="Q2361" s="3">
        <v>0</v>
      </c>
    </row>
    <row r="2362" spans="1:17" hidden="1" x14ac:dyDescent="0.3">
      <c r="A2362">
        <v>42</v>
      </c>
      <c r="B2362" t="str">
        <f>VLOOKUP($A2362,[1]LISTA!$B:$C,2,0)</f>
        <v>OCTUBRE</v>
      </c>
      <c r="C2362" s="1">
        <v>2025</v>
      </c>
      <c r="D2362" s="1" t="str">
        <f>IF($A2362&lt;=[1]RESULTADOS!$D$6,"YTD","YTG")</f>
        <v>YTG</v>
      </c>
      <c r="E2362" t="s">
        <v>540</v>
      </c>
      <c r="F2362" t="s">
        <v>667</v>
      </c>
      <c r="G2362" t="s">
        <v>667</v>
      </c>
      <c r="H2362" t="s">
        <v>668</v>
      </c>
      <c r="I2362" t="s">
        <v>366</v>
      </c>
      <c r="J2362" t="str">
        <f>IFERROR(VLOOKUP(I2362,[1]AUTOS!$C:$G,2,0),"")</f>
        <v>VENTO</v>
      </c>
      <c r="K2362">
        <f>IFERROR(VLOOKUP(I2362,[1]AUTOS!$C:$G,3,0),"")</f>
        <v>2019</v>
      </c>
      <c r="L2362" t="str">
        <f>IFERROR(VLOOKUP(I2362,[1]AUTOS!$C:$G,4,0),"")</f>
        <v>BLANCO</v>
      </c>
      <c r="M2362" t="s">
        <v>215</v>
      </c>
      <c r="N2362" s="3">
        <v>0</v>
      </c>
      <c r="O2362" s="3">
        <v>0</v>
      </c>
      <c r="P2362" s="3">
        <v>-200</v>
      </c>
      <c r="Q2362" s="3">
        <v>0</v>
      </c>
    </row>
    <row r="2363" spans="1:17" hidden="1" x14ac:dyDescent="0.3">
      <c r="A2363">
        <v>42</v>
      </c>
      <c r="B2363" t="str">
        <f>VLOOKUP($A2363,[1]LISTA!$B:$C,2,0)</f>
        <v>OCTUBRE</v>
      </c>
      <c r="C2363" s="1">
        <v>2025</v>
      </c>
      <c r="D2363" s="1" t="str">
        <f>IF($A2363&lt;=[1]RESULTADOS!$D$6,"YTD","YTG")</f>
        <v>YTG</v>
      </c>
      <c r="E2363" t="s">
        <v>633</v>
      </c>
      <c r="F2363" t="s">
        <v>667</v>
      </c>
      <c r="G2363" t="s">
        <v>667</v>
      </c>
      <c r="H2363" t="s">
        <v>668</v>
      </c>
      <c r="I2363" t="s">
        <v>46</v>
      </c>
      <c r="J2363" t="str">
        <f>IFERROR(VLOOKUP(I2363,[1]AUTOS!$C:$G,2,0),"")</f>
        <v>MARCH</v>
      </c>
      <c r="K2363">
        <f>IFERROR(VLOOKUP(I2363,[1]AUTOS!$C:$G,3,0),"")</f>
        <v>2020</v>
      </c>
      <c r="L2363" t="str">
        <f>IFERROR(VLOOKUP(I2363,[1]AUTOS!$C:$G,4,0),"")</f>
        <v>TURQ</v>
      </c>
      <c r="M2363" t="s">
        <v>43</v>
      </c>
      <c r="N2363" s="3">
        <v>-28.620000000000005</v>
      </c>
      <c r="O2363" s="3">
        <v>1429</v>
      </c>
      <c r="P2363" s="3">
        <v>-28.620000000000005</v>
      </c>
      <c r="Q2363" s="3">
        <v>-786</v>
      </c>
    </row>
    <row r="2364" spans="1:17" hidden="1" x14ac:dyDescent="0.3">
      <c r="A2364">
        <v>42</v>
      </c>
      <c r="B2364" t="str">
        <f>VLOOKUP($A2364,[1]LISTA!$B:$C,2,0)</f>
        <v>OCTUBRE</v>
      </c>
      <c r="C2364" s="1">
        <v>2025</v>
      </c>
      <c r="D2364" s="1" t="str">
        <f>IF($A2364&lt;=[1]RESULTADOS!$D$6,"YTD","YTG")</f>
        <v>YTG</v>
      </c>
      <c r="E2364" t="s">
        <v>703</v>
      </c>
      <c r="F2364" t="s">
        <v>667</v>
      </c>
      <c r="G2364" t="s">
        <v>667</v>
      </c>
      <c r="H2364" t="s">
        <v>668</v>
      </c>
      <c r="I2364" t="s">
        <v>182</v>
      </c>
      <c r="J2364" t="str">
        <f>IFERROR(VLOOKUP(I2364,[1]AUTOS!$C:$G,2,0),"")</f>
        <v>AVEO</v>
      </c>
      <c r="K2364">
        <f>IFERROR(VLOOKUP(I2364,[1]AUTOS!$C:$G,3,0),"")</f>
        <v>2020</v>
      </c>
      <c r="L2364" t="str">
        <f>IFERROR(VLOOKUP(I2364,[1]AUTOS!$C:$G,4,0),"")</f>
        <v>AZUL</v>
      </c>
      <c r="M2364" t="s">
        <v>43</v>
      </c>
      <c r="N2364" s="3">
        <v>2704.0899999999997</v>
      </c>
      <c r="O2364" s="3">
        <v>2500</v>
      </c>
      <c r="P2364" s="3">
        <v>2500</v>
      </c>
      <c r="Q2364" s="3">
        <v>0</v>
      </c>
    </row>
    <row r="2365" spans="1:17" hidden="1" x14ac:dyDescent="0.3">
      <c r="A2365">
        <v>42</v>
      </c>
      <c r="B2365" t="str">
        <f>VLOOKUP($A2365,[1]LISTA!$B:$C,2,0)</f>
        <v>OCTUBRE</v>
      </c>
      <c r="C2365" s="1">
        <v>2025</v>
      </c>
      <c r="D2365" s="1" t="str">
        <f>IF($A2365&lt;=[1]RESULTADOS!$D$6,"YTD","YTG")</f>
        <v>YTG</v>
      </c>
      <c r="E2365" t="s">
        <v>681</v>
      </c>
      <c r="F2365" t="s">
        <v>667</v>
      </c>
      <c r="G2365" t="s">
        <v>667</v>
      </c>
      <c r="H2365" t="s">
        <v>668</v>
      </c>
      <c r="I2365" t="s">
        <v>510</v>
      </c>
      <c r="J2365" t="str">
        <f>IFERROR(VLOOKUP(I2365,[1]AUTOS!$C:$G,2,0),"")</f>
        <v>AVEO</v>
      </c>
      <c r="K2365">
        <f>IFERROR(VLOOKUP(I2365,[1]AUTOS!$C:$G,3,0),"")</f>
        <v>2023</v>
      </c>
      <c r="L2365" t="str">
        <f>IFERROR(VLOOKUP(I2365,[1]AUTOS!$C:$G,4,0),"")</f>
        <v>GRIS</v>
      </c>
      <c r="M2365" t="s">
        <v>43</v>
      </c>
      <c r="N2365" s="3">
        <v>2188.7599999999993</v>
      </c>
      <c r="O2365" s="3">
        <v>2500</v>
      </c>
      <c r="P2365" s="3">
        <v>2188.7599999999993</v>
      </c>
      <c r="Q2365" s="3">
        <v>0</v>
      </c>
    </row>
    <row r="2366" spans="1:17" hidden="1" x14ac:dyDescent="0.3">
      <c r="A2366">
        <v>42</v>
      </c>
      <c r="B2366" t="str">
        <f>VLOOKUP($A2366,[1]LISTA!$B:$C,2,0)</f>
        <v>OCTUBRE</v>
      </c>
      <c r="C2366" s="1">
        <v>2025</v>
      </c>
      <c r="D2366" s="1" t="str">
        <f>IF($A2366&lt;=[1]RESULTADOS!$D$6,"YTD","YTG")</f>
        <v>YTG</v>
      </c>
      <c r="E2366" t="s">
        <v>622</v>
      </c>
      <c r="F2366" t="s">
        <v>667</v>
      </c>
      <c r="G2366" t="s">
        <v>667</v>
      </c>
      <c r="H2366" t="s">
        <v>668</v>
      </c>
      <c r="I2366" t="s">
        <v>76</v>
      </c>
      <c r="J2366" t="str">
        <f>IFERROR(VLOOKUP(I2366,[1]AUTOS!$C:$G,2,0),"")</f>
        <v>AVEO</v>
      </c>
      <c r="K2366">
        <f>IFERROR(VLOOKUP(I2366,[1]AUTOS!$C:$G,3,0),"")</f>
        <v>2018</v>
      </c>
      <c r="L2366" t="str">
        <f>IFERROR(VLOOKUP(I2366,[1]AUTOS!$C:$G,4,0),"")</f>
        <v>GRIS</v>
      </c>
      <c r="M2366" t="s">
        <v>43</v>
      </c>
      <c r="N2366" s="3">
        <v>2952.0099999999998</v>
      </c>
      <c r="O2366" s="3">
        <v>2500</v>
      </c>
      <c r="P2366" s="3">
        <v>3759.0099999999998</v>
      </c>
      <c r="Q2366" s="3">
        <v>500</v>
      </c>
    </row>
    <row r="2367" spans="1:17" hidden="1" x14ac:dyDescent="0.3">
      <c r="A2367">
        <v>42</v>
      </c>
      <c r="B2367" t="str">
        <f>VLOOKUP($A2367,[1]LISTA!$B:$C,2,0)</f>
        <v>OCTUBRE</v>
      </c>
      <c r="C2367" s="1">
        <v>2025</v>
      </c>
      <c r="D2367" s="1" t="str">
        <f>IF($A2367&lt;=[1]RESULTADOS!$D$6,"YTD","YTG")</f>
        <v>YTG</v>
      </c>
      <c r="E2367" t="s">
        <v>707</v>
      </c>
      <c r="F2367" t="s">
        <v>667</v>
      </c>
      <c r="G2367" t="s">
        <v>667</v>
      </c>
      <c r="H2367" t="s">
        <v>668</v>
      </c>
      <c r="I2367" t="s">
        <v>383</v>
      </c>
      <c r="J2367" t="str">
        <f>IFERROR(VLOOKUP(I2367,[1]AUTOS!$C:$G,2,0),"")</f>
        <v>VENTO</v>
      </c>
      <c r="K2367">
        <f>IFERROR(VLOOKUP(I2367,[1]AUTOS!$C:$G,3,0),"")</f>
        <v>2020</v>
      </c>
      <c r="L2367" t="str">
        <f>IFERROR(VLOOKUP(I2367,[1]AUTOS!$C:$G,4,0),"")</f>
        <v>GRIS</v>
      </c>
      <c r="M2367" t="s">
        <v>215</v>
      </c>
      <c r="N2367" s="3">
        <v>3687.4700000000003</v>
      </c>
      <c r="O2367" s="3">
        <v>2500</v>
      </c>
      <c r="P2367" s="3">
        <v>3000</v>
      </c>
      <c r="Q2367" s="3">
        <v>500</v>
      </c>
    </row>
    <row r="2368" spans="1:17" x14ac:dyDescent="0.3">
      <c r="A2368">
        <v>42</v>
      </c>
      <c r="B2368" t="str">
        <f>VLOOKUP($A2368,[1]LISTA!$B:$C,2,0)</f>
        <v>OCTUBRE</v>
      </c>
      <c r="C2368" s="1">
        <v>2025</v>
      </c>
      <c r="D2368" s="1" t="str">
        <f>IF($A2368&lt;=[1]RESULTADOS!$D$6,"YTD","YTG")</f>
        <v>YTG</v>
      </c>
      <c r="E2368" t="s">
        <v>403</v>
      </c>
      <c r="F2368" t="s">
        <v>667</v>
      </c>
      <c r="G2368" t="s">
        <v>667</v>
      </c>
      <c r="H2368" t="s">
        <v>668</v>
      </c>
      <c r="I2368" t="s">
        <v>72</v>
      </c>
      <c r="J2368" t="str">
        <f>IFERROR(VLOOKUP(I2368,[1]AUTOS!$C:$G,2,0),"")</f>
        <v>VENTO</v>
      </c>
      <c r="K2368">
        <f>IFERROR(VLOOKUP(I2368,[1]AUTOS!$C:$G,3,0),"")</f>
        <v>2020</v>
      </c>
      <c r="L2368" t="str">
        <f>IFERROR(VLOOKUP(I2368,[1]AUTOS!$C:$G,4,0),"")</f>
        <v>GRIS</v>
      </c>
      <c r="M2368" t="s">
        <v>43</v>
      </c>
      <c r="N2368" s="3">
        <v>2129.7599999999998</v>
      </c>
      <c r="O2368" s="3">
        <v>2500</v>
      </c>
      <c r="P2368" s="3">
        <v>2999.7599999999998</v>
      </c>
      <c r="Q2368" s="3">
        <v>0</v>
      </c>
    </row>
    <row r="2369" spans="1:17" hidden="1" x14ac:dyDescent="0.3">
      <c r="A2369">
        <v>42</v>
      </c>
      <c r="B2369" t="str">
        <f>VLOOKUP($A2369,[1]LISTA!$B:$C,2,0)</f>
        <v>OCTUBRE</v>
      </c>
      <c r="C2369" s="1">
        <v>2025</v>
      </c>
      <c r="D2369" s="1" t="str">
        <f>IF($A2369&lt;=[1]RESULTADOS!$D$6,"YTD","YTG")</f>
        <v>YTG</v>
      </c>
      <c r="E2369" t="s">
        <v>470</v>
      </c>
      <c r="F2369" t="s">
        <v>667</v>
      </c>
      <c r="G2369" t="s">
        <v>667</v>
      </c>
      <c r="H2369" t="s">
        <v>668</v>
      </c>
      <c r="I2369" t="s">
        <v>73</v>
      </c>
      <c r="J2369" t="str">
        <f>IFERROR(VLOOKUP(I2369,[1]AUTOS!$C:$G,2,0),"")</f>
        <v>VERSA</v>
      </c>
      <c r="K2369">
        <f>IFERROR(VLOOKUP(I2369,[1]AUTOS!$C:$G,3,0),"")</f>
        <v>2023</v>
      </c>
      <c r="L2369" t="str">
        <f>IFERROR(VLOOKUP(I2369,[1]AUTOS!$C:$G,4,0),"")</f>
        <v>PLATA</v>
      </c>
      <c r="M2369" t="s">
        <v>43</v>
      </c>
      <c r="N2369" s="3">
        <v>3046.5299999999997</v>
      </c>
      <c r="O2369" s="3">
        <v>2500</v>
      </c>
      <c r="P2369" s="3">
        <v>3046.5299999999997</v>
      </c>
      <c r="Q2369" s="3">
        <v>0</v>
      </c>
    </row>
    <row r="2370" spans="1:17" hidden="1" x14ac:dyDescent="0.3">
      <c r="A2370">
        <v>42</v>
      </c>
      <c r="B2370" t="str">
        <f>VLOOKUP($A2370,[1]LISTA!$B:$C,2,0)</f>
        <v>OCTUBRE</v>
      </c>
      <c r="C2370" s="1">
        <v>2025</v>
      </c>
      <c r="D2370" s="1" t="str">
        <f>IF($A2370&lt;=[1]RESULTADOS!$D$6,"YTD","YTG")</f>
        <v>YTG</v>
      </c>
      <c r="E2370" t="s">
        <v>537</v>
      </c>
      <c r="F2370" t="s">
        <v>667</v>
      </c>
      <c r="G2370" t="s">
        <v>667</v>
      </c>
      <c r="H2370" t="s">
        <v>668</v>
      </c>
      <c r="I2370" t="s">
        <v>214</v>
      </c>
      <c r="J2370" t="str">
        <f>IFERROR(VLOOKUP(I2370,[1]AUTOS!$C:$G,2,0),"")</f>
        <v>VENTO</v>
      </c>
      <c r="K2370">
        <f>IFERROR(VLOOKUP(I2370,[1]AUTOS!$C:$G,3,0),"")</f>
        <v>2019</v>
      </c>
      <c r="L2370" t="str">
        <f>IFERROR(VLOOKUP(I2370,[1]AUTOS!$C:$G,4,0),"")</f>
        <v>BLANCO</v>
      </c>
      <c r="M2370" t="s">
        <v>215</v>
      </c>
      <c r="N2370" s="3">
        <v>9.7899999999999991</v>
      </c>
      <c r="O2370" s="3">
        <v>0</v>
      </c>
      <c r="P2370" s="3">
        <v>0</v>
      </c>
      <c r="Q2370" s="3">
        <v>0</v>
      </c>
    </row>
    <row r="2371" spans="1:17" hidden="1" x14ac:dyDescent="0.3">
      <c r="A2371">
        <v>42</v>
      </c>
      <c r="B2371" t="str">
        <f>VLOOKUP($A2371,[1]LISTA!$B:$C,2,0)</f>
        <v>OCTUBRE</v>
      </c>
      <c r="C2371" s="1">
        <v>2025</v>
      </c>
      <c r="D2371" s="1" t="str">
        <f>IF($A2371&lt;=[1]RESULTADOS!$D$6,"YTD","YTG")</f>
        <v>YTG</v>
      </c>
      <c r="E2371" t="s">
        <v>402</v>
      </c>
      <c r="F2371" t="s">
        <v>667</v>
      </c>
      <c r="G2371" t="s">
        <v>667</v>
      </c>
      <c r="H2371" t="s">
        <v>668</v>
      </c>
      <c r="I2371" t="s">
        <v>59</v>
      </c>
      <c r="J2371" t="str">
        <f>IFERROR(VLOOKUP(I2371,[1]AUTOS!$C:$G,2,0),"")</f>
        <v>AVEO</v>
      </c>
      <c r="K2371">
        <f>IFERROR(VLOOKUP(I2371,[1]AUTOS!$C:$G,3,0),"")</f>
        <v>2019</v>
      </c>
      <c r="L2371" t="str">
        <f>IFERROR(VLOOKUP(I2371,[1]AUTOS!$C:$G,4,0),"")</f>
        <v>BLANCO</v>
      </c>
      <c r="M2371" t="s">
        <v>43</v>
      </c>
      <c r="N2371" s="3">
        <v>2729.21</v>
      </c>
      <c r="O2371" s="3">
        <v>2500</v>
      </c>
      <c r="P2371" s="3">
        <v>5229.21</v>
      </c>
      <c r="Q2371" s="3">
        <v>0</v>
      </c>
    </row>
    <row r="2372" spans="1:17" hidden="1" x14ac:dyDescent="0.3">
      <c r="A2372">
        <v>42</v>
      </c>
      <c r="B2372" t="str">
        <f>VLOOKUP($A2372,[1]LISTA!$B:$C,2,0)</f>
        <v>OCTUBRE</v>
      </c>
      <c r="C2372" s="1">
        <v>2025</v>
      </c>
      <c r="D2372" s="1" t="str">
        <f>IF($A2372&lt;=[1]RESULTADOS!$D$6,"YTD","YTG")</f>
        <v>YTG</v>
      </c>
      <c r="E2372" t="s">
        <v>496</v>
      </c>
      <c r="F2372" t="s">
        <v>667</v>
      </c>
      <c r="G2372" t="s">
        <v>667</v>
      </c>
      <c r="H2372" t="s">
        <v>668</v>
      </c>
      <c r="I2372" t="s">
        <v>547</v>
      </c>
      <c r="J2372" t="str">
        <f>IFERROR(VLOOKUP(I2372,[1]AUTOS!$C:$G,2,0),"")</f>
        <v>AVEO</v>
      </c>
      <c r="K2372">
        <f>IFERROR(VLOOKUP(I2372,[1]AUTOS!$C:$G,3,0),"")</f>
        <v>2022</v>
      </c>
      <c r="L2372" t="str">
        <f>IFERROR(VLOOKUP(I2372,[1]AUTOS!$C:$G,4,0),"")</f>
        <v>VINO</v>
      </c>
      <c r="M2372" t="s">
        <v>140</v>
      </c>
      <c r="N2372" s="3">
        <v>8853.74</v>
      </c>
      <c r="O2372" s="3">
        <v>2500</v>
      </c>
      <c r="P2372" s="3">
        <v>2500</v>
      </c>
      <c r="Q2372" s="3">
        <v>0</v>
      </c>
    </row>
    <row r="2373" spans="1:17" hidden="1" x14ac:dyDescent="0.3">
      <c r="A2373">
        <v>42</v>
      </c>
      <c r="B2373" t="str">
        <f>VLOOKUP($A2373,[1]LISTA!$B:$C,2,0)</f>
        <v>OCTUBRE</v>
      </c>
      <c r="C2373" s="1">
        <v>2025</v>
      </c>
      <c r="D2373" s="1" t="str">
        <f>IF($A2373&lt;=[1]RESULTADOS!$D$6,"YTD","YTG")</f>
        <v>YTG</v>
      </c>
      <c r="E2373" t="s">
        <v>416</v>
      </c>
      <c r="F2373" t="s">
        <v>667</v>
      </c>
      <c r="G2373" t="s">
        <v>667</v>
      </c>
      <c r="H2373" t="s">
        <v>668</v>
      </c>
      <c r="I2373" t="s">
        <v>495</v>
      </c>
      <c r="J2373" t="str">
        <f>IFERROR(VLOOKUP(I2373,[1]AUTOS!$C:$G,2,0),"")</f>
        <v>VERSA</v>
      </c>
      <c r="K2373">
        <f>IFERROR(VLOOKUP(I2373,[1]AUTOS!$C:$G,3,0),"")</f>
        <v>2021</v>
      </c>
      <c r="L2373" t="str">
        <f>IFERROR(VLOOKUP(I2373,[1]AUTOS!$C:$G,4,0),"")</f>
        <v>BLANCO</v>
      </c>
      <c r="M2373" t="s">
        <v>140</v>
      </c>
      <c r="N2373" s="3">
        <v>2936.6899999999996</v>
      </c>
      <c r="O2373" s="3">
        <v>2500</v>
      </c>
      <c r="P2373" s="3">
        <v>2500</v>
      </c>
      <c r="Q2373" s="3">
        <v>0</v>
      </c>
    </row>
    <row r="2374" spans="1:17" hidden="1" x14ac:dyDescent="0.3">
      <c r="A2374">
        <v>42</v>
      </c>
      <c r="B2374" t="str">
        <f>VLOOKUP($A2374,[1]LISTA!$B:$C,2,0)</f>
        <v>OCTUBRE</v>
      </c>
      <c r="C2374" s="1">
        <v>2025</v>
      </c>
      <c r="D2374" s="1" t="str">
        <f>IF($A2374&lt;=[1]RESULTADOS!$D$6,"YTD","YTG")</f>
        <v>YTG</v>
      </c>
      <c r="E2374" t="s">
        <v>709</v>
      </c>
      <c r="F2374" t="s">
        <v>667</v>
      </c>
      <c r="G2374" t="s">
        <v>667</v>
      </c>
      <c r="H2374" t="s">
        <v>668</v>
      </c>
      <c r="I2374" t="s">
        <v>185</v>
      </c>
      <c r="J2374" t="str">
        <f>IFERROR(VLOOKUP(I2374,[1]AUTOS!$C:$G,2,0),"")</f>
        <v>MARCH</v>
      </c>
      <c r="K2374">
        <f>IFERROR(VLOOKUP(I2374,[1]AUTOS!$C:$G,3,0),"")</f>
        <v>2021</v>
      </c>
      <c r="L2374" t="str">
        <f>IFERROR(VLOOKUP(I2374,[1]AUTOS!$C:$G,4,0),"")</f>
        <v>ROJO</v>
      </c>
      <c r="M2374" t="s">
        <v>43</v>
      </c>
      <c r="N2374" s="3">
        <v>4799.6099999999997</v>
      </c>
      <c r="O2374" s="3">
        <v>2500</v>
      </c>
      <c r="P2374" s="3">
        <v>3000</v>
      </c>
      <c r="Q2374" s="3">
        <v>0</v>
      </c>
    </row>
    <row r="2375" spans="1:17" hidden="1" x14ac:dyDescent="0.3">
      <c r="A2375">
        <v>42</v>
      </c>
      <c r="B2375" t="str">
        <f>VLOOKUP($A2375,[1]LISTA!$B:$C,2,0)</f>
        <v>OCTUBRE</v>
      </c>
      <c r="C2375" s="1">
        <v>2025</v>
      </c>
      <c r="D2375" s="1" t="str">
        <f>IF($A2375&lt;=[1]RESULTADOS!$D$6,"YTD","YTG")</f>
        <v>YTG</v>
      </c>
      <c r="E2375" t="s">
        <v>377</v>
      </c>
      <c r="F2375" t="s">
        <v>667</v>
      </c>
      <c r="G2375" t="s">
        <v>667</v>
      </c>
      <c r="H2375" t="s">
        <v>668</v>
      </c>
      <c r="I2375" t="s">
        <v>42</v>
      </c>
      <c r="J2375" t="str">
        <f>IFERROR(VLOOKUP(I2375,[1]AUTOS!$C:$G,2,0),"")</f>
        <v>VENTO</v>
      </c>
      <c r="K2375">
        <f>IFERROR(VLOOKUP(I2375,[1]AUTOS!$C:$G,3,0),"")</f>
        <v>2018</v>
      </c>
      <c r="L2375" t="str">
        <f>IFERROR(VLOOKUP(I2375,[1]AUTOS!$C:$G,4,0),"")</f>
        <v>AMARILLO</v>
      </c>
      <c r="M2375" t="s">
        <v>43</v>
      </c>
      <c r="N2375" s="3">
        <v>1089.1999999999998</v>
      </c>
      <c r="O2375" s="3">
        <v>2500</v>
      </c>
      <c r="P2375" s="3">
        <v>1089.1999999999998</v>
      </c>
      <c r="Q2375" s="3">
        <v>0</v>
      </c>
    </row>
    <row r="2376" spans="1:17" hidden="1" x14ac:dyDescent="0.3">
      <c r="A2376">
        <v>42</v>
      </c>
      <c r="B2376" t="str">
        <f>VLOOKUP($A2376,[1]LISTA!$B:$C,2,0)</f>
        <v>OCTUBRE</v>
      </c>
      <c r="C2376" s="1">
        <v>2025</v>
      </c>
      <c r="D2376" s="1" t="str">
        <f>IF($A2376&lt;=[1]RESULTADOS!$D$6,"YTD","YTG")</f>
        <v>YTG</v>
      </c>
      <c r="E2376" t="s">
        <v>594</v>
      </c>
      <c r="F2376" t="s">
        <v>667</v>
      </c>
      <c r="G2376" t="s">
        <v>667</v>
      </c>
      <c r="H2376" t="s">
        <v>668</v>
      </c>
      <c r="I2376" t="s">
        <v>313</v>
      </c>
      <c r="J2376" t="str">
        <f>IFERROR(VLOOKUP(I2376,[1]AUTOS!$C:$G,2,0),"")</f>
        <v>MARCH</v>
      </c>
      <c r="K2376">
        <f>IFERROR(VLOOKUP(I2376,[1]AUTOS!$C:$G,3,0),"")</f>
        <v>2019</v>
      </c>
      <c r="L2376" t="str">
        <f>IFERROR(VLOOKUP(I2376,[1]AUTOS!$C:$G,4,0),"")</f>
        <v>TURQ</v>
      </c>
      <c r="M2376" t="s">
        <v>140</v>
      </c>
      <c r="N2376" s="3">
        <v>3473.2999999999997</v>
      </c>
      <c r="O2376" s="3">
        <v>2500</v>
      </c>
      <c r="P2376" s="3">
        <v>3700.2999999999997</v>
      </c>
      <c r="Q2376" s="3">
        <v>500</v>
      </c>
    </row>
    <row r="2377" spans="1:17" hidden="1" x14ac:dyDescent="0.3">
      <c r="A2377">
        <v>42</v>
      </c>
      <c r="B2377" t="str">
        <f>VLOOKUP($A2377,[1]LISTA!$B:$C,2,0)</f>
        <v>OCTUBRE</v>
      </c>
      <c r="C2377" s="1">
        <v>2025</v>
      </c>
      <c r="D2377" s="1" t="str">
        <f>IF($A2377&lt;=[1]RESULTADOS!$D$6,"YTD","YTG")</f>
        <v>YTG</v>
      </c>
      <c r="E2377" t="s">
        <v>710</v>
      </c>
      <c r="F2377" t="s">
        <v>667</v>
      </c>
      <c r="G2377" t="s">
        <v>667</v>
      </c>
      <c r="H2377" t="s">
        <v>668</v>
      </c>
      <c r="I2377" t="s">
        <v>366</v>
      </c>
      <c r="J2377" t="str">
        <f>IFERROR(VLOOKUP(I2377,[1]AUTOS!$C:$G,2,0),"")</f>
        <v>VENTO</v>
      </c>
      <c r="K2377">
        <f>IFERROR(VLOOKUP(I2377,[1]AUTOS!$C:$G,3,0),"")</f>
        <v>2019</v>
      </c>
      <c r="L2377" t="str">
        <f>IFERROR(VLOOKUP(I2377,[1]AUTOS!$C:$G,4,0),"")</f>
        <v>BLANCO</v>
      </c>
      <c r="M2377" t="s">
        <v>215</v>
      </c>
      <c r="N2377" s="3">
        <v>1914.6899999999998</v>
      </c>
      <c r="O2377" s="3">
        <v>2500</v>
      </c>
      <c r="P2377" s="3">
        <v>1914.6899999999998</v>
      </c>
      <c r="Q2377" s="3">
        <v>500</v>
      </c>
    </row>
    <row r="2378" spans="1:17" hidden="1" x14ac:dyDescent="0.3">
      <c r="A2378">
        <v>42</v>
      </c>
      <c r="B2378" t="str">
        <f>VLOOKUP($A2378,[1]LISTA!$B:$C,2,0)</f>
        <v>OCTUBRE</v>
      </c>
      <c r="C2378" s="1">
        <v>2025</v>
      </c>
      <c r="D2378" s="1" t="str">
        <f>IF($A2378&lt;=[1]RESULTADOS!$D$6,"YTD","YTG")</f>
        <v>YTG</v>
      </c>
      <c r="E2378" t="s">
        <v>675</v>
      </c>
      <c r="F2378" t="s">
        <v>667</v>
      </c>
      <c r="G2378" t="s">
        <v>667</v>
      </c>
      <c r="H2378" t="s">
        <v>668</v>
      </c>
      <c r="I2378" t="s">
        <v>82</v>
      </c>
      <c r="J2378" t="str">
        <f>IFERROR(VLOOKUP(I2378,[1]AUTOS!$C:$G,2,0),"")</f>
        <v>AVEO</v>
      </c>
      <c r="K2378">
        <f>IFERROR(VLOOKUP(I2378,[1]AUTOS!$C:$G,3,0),"")</f>
        <v>2019</v>
      </c>
      <c r="L2378" t="str">
        <f>IFERROR(VLOOKUP(I2378,[1]AUTOS!$C:$G,4,0),"")</f>
        <v>PLATA</v>
      </c>
      <c r="M2378" t="s">
        <v>43</v>
      </c>
      <c r="N2378" s="3">
        <v>3781.09</v>
      </c>
      <c r="O2378" s="3">
        <v>2500</v>
      </c>
      <c r="P2378" s="3">
        <v>3781.09</v>
      </c>
      <c r="Q2378" s="3">
        <v>0</v>
      </c>
    </row>
    <row r="2379" spans="1:17" hidden="1" x14ac:dyDescent="0.3">
      <c r="A2379">
        <v>42</v>
      </c>
      <c r="B2379" t="str">
        <f>VLOOKUP($A2379,[1]LISTA!$B:$C,2,0)</f>
        <v>OCTUBRE</v>
      </c>
      <c r="C2379" s="1">
        <v>2025</v>
      </c>
      <c r="D2379" s="1" t="str">
        <f>IF($A2379&lt;=[1]RESULTADOS!$D$6,"YTD","YTG")</f>
        <v>YTG</v>
      </c>
      <c r="E2379" t="s">
        <v>630</v>
      </c>
      <c r="F2379" t="s">
        <v>667</v>
      </c>
      <c r="G2379" t="s">
        <v>667</v>
      </c>
      <c r="H2379" t="s">
        <v>668</v>
      </c>
      <c r="I2379" t="s">
        <v>51</v>
      </c>
      <c r="J2379" t="str">
        <f>IFERROR(VLOOKUP(I2379,[1]AUTOS!$C:$G,2,0),"")</f>
        <v>VENTO</v>
      </c>
      <c r="K2379">
        <f>IFERROR(VLOOKUP(I2379,[1]AUTOS!$C:$G,3,0),"")</f>
        <v>2017</v>
      </c>
      <c r="L2379" t="str">
        <f>IFERROR(VLOOKUP(I2379,[1]AUTOS!$C:$G,4,0),"")</f>
        <v>GRIS</v>
      </c>
      <c r="M2379" t="s">
        <v>43</v>
      </c>
      <c r="N2379" s="3">
        <v>992.36999999999989</v>
      </c>
      <c r="O2379" s="3">
        <v>536</v>
      </c>
      <c r="P2379" s="3">
        <v>643</v>
      </c>
      <c r="Q2379" s="3">
        <v>107</v>
      </c>
    </row>
    <row r="2380" spans="1:17" hidden="1" x14ac:dyDescent="0.3">
      <c r="A2380">
        <v>42</v>
      </c>
      <c r="B2380" t="str">
        <f>VLOOKUP($A2380,[1]LISTA!$B:$C,2,0)</f>
        <v>OCTUBRE</v>
      </c>
      <c r="C2380" s="1">
        <v>2025</v>
      </c>
      <c r="D2380" s="1" t="str">
        <f>IF($A2380&lt;=[1]RESULTADOS!$D$6,"YTD","YTG")</f>
        <v>YTG</v>
      </c>
      <c r="E2380" t="s">
        <v>705</v>
      </c>
      <c r="F2380" t="s">
        <v>667</v>
      </c>
      <c r="G2380" t="s">
        <v>667</v>
      </c>
      <c r="H2380" t="s">
        <v>668</v>
      </c>
      <c r="I2380" t="s">
        <v>440</v>
      </c>
      <c r="J2380" t="str">
        <f>IFERROR(VLOOKUP(I2380,[1]AUTOS!$C:$G,2,0),"")</f>
        <v>AVEO</v>
      </c>
      <c r="K2380">
        <f>IFERROR(VLOOKUP(I2380,[1]AUTOS!$C:$G,3,0),"")</f>
        <v>2021</v>
      </c>
      <c r="L2380" t="str">
        <f>IFERROR(VLOOKUP(I2380,[1]AUTOS!$C:$G,4,0),"")</f>
        <v>GRIS</v>
      </c>
      <c r="M2380" t="s">
        <v>140</v>
      </c>
      <c r="N2380" s="3">
        <v>6657.3</v>
      </c>
      <c r="O2380" s="3">
        <v>1680</v>
      </c>
      <c r="P2380" s="3">
        <v>2180</v>
      </c>
      <c r="Q2380" s="3">
        <v>500</v>
      </c>
    </row>
    <row r="2381" spans="1:17" hidden="1" x14ac:dyDescent="0.3">
      <c r="A2381">
        <v>42</v>
      </c>
      <c r="B2381" t="str">
        <f>VLOOKUP($A2381,[1]LISTA!$B:$C,2,0)</f>
        <v>OCTUBRE</v>
      </c>
      <c r="C2381" s="1">
        <v>2025</v>
      </c>
      <c r="D2381" s="1" t="str">
        <f>IF($A2381&lt;=[1]RESULTADOS!$D$6,"YTD","YTG")</f>
        <v>YTG</v>
      </c>
      <c r="E2381" t="s">
        <v>537</v>
      </c>
      <c r="F2381" t="s">
        <v>667</v>
      </c>
      <c r="G2381" t="s">
        <v>667</v>
      </c>
      <c r="H2381" t="s">
        <v>668</v>
      </c>
      <c r="I2381" t="s">
        <v>37</v>
      </c>
      <c r="J2381" t="str">
        <f>IFERROR(VLOOKUP(I2381,[1]AUTOS!$C:$G,2,0),"")</f>
        <v>BEAT</v>
      </c>
      <c r="K2381">
        <f>IFERROR(VLOOKUP(I2381,[1]AUTOS!$C:$G,3,0),"")</f>
        <v>2020</v>
      </c>
      <c r="L2381" t="str">
        <f>IFERROR(VLOOKUP(I2381,[1]AUTOS!$C:$G,4,0),"")</f>
        <v>GRIS</v>
      </c>
      <c r="M2381" t="s">
        <v>140</v>
      </c>
      <c r="N2381" s="3">
        <v>4557</v>
      </c>
      <c r="O2381" s="3">
        <v>1250</v>
      </c>
      <c r="P2381" s="3">
        <v>2200</v>
      </c>
      <c r="Q2381" s="3">
        <v>250</v>
      </c>
    </row>
    <row r="2382" spans="1:17" hidden="1" x14ac:dyDescent="0.3">
      <c r="A2382">
        <v>42</v>
      </c>
      <c r="B2382" t="str">
        <f>VLOOKUP($A2382,[1]LISTA!$B:$C,2,0)</f>
        <v>OCTUBRE</v>
      </c>
      <c r="C2382" s="1">
        <v>2025</v>
      </c>
      <c r="D2382" s="1" t="str">
        <f>IF($A2382&lt;=[1]RESULTADOS!$D$6,"YTD","YTG")</f>
        <v>YTG</v>
      </c>
      <c r="E2382" t="s">
        <v>704</v>
      </c>
      <c r="F2382" t="s">
        <v>667</v>
      </c>
      <c r="G2382" t="s">
        <v>667</v>
      </c>
      <c r="H2382" t="s">
        <v>668</v>
      </c>
      <c r="I2382" t="s">
        <v>37</v>
      </c>
      <c r="J2382" t="str">
        <f>IFERROR(VLOOKUP(I2382,[1]AUTOS!$C:$G,2,0),"")</f>
        <v>BEAT</v>
      </c>
      <c r="K2382">
        <f>IFERROR(VLOOKUP(I2382,[1]AUTOS!$C:$G,3,0),"")</f>
        <v>2020</v>
      </c>
      <c r="L2382" t="str">
        <f>IFERROR(VLOOKUP(I2382,[1]AUTOS!$C:$G,4,0),"")</f>
        <v>GRIS</v>
      </c>
      <c r="M2382" t="s">
        <v>140</v>
      </c>
      <c r="N2382" s="3">
        <v>0</v>
      </c>
      <c r="O2382" s="3">
        <v>0</v>
      </c>
      <c r="P2382" s="3">
        <v>-1016</v>
      </c>
      <c r="Q2382" s="3">
        <v>-1016</v>
      </c>
    </row>
    <row r="2383" spans="1:17" hidden="1" x14ac:dyDescent="0.3">
      <c r="A2383">
        <v>1</v>
      </c>
      <c r="B2383" t="str">
        <f>VLOOKUP($A2383,[1]LISTA!$B:$C,2,0)</f>
        <v>ENERO</v>
      </c>
      <c r="C2383" s="1">
        <v>2025</v>
      </c>
      <c r="D2383" s="1" t="str">
        <f>IF($A2383&lt;=[1]RESULTADOS!$D$6,"YTD","YTG")</f>
        <v>YTD</v>
      </c>
      <c r="E2383" t="s">
        <v>711</v>
      </c>
      <c r="F2383" t="s">
        <v>712</v>
      </c>
      <c r="G2383" t="s">
        <v>712</v>
      </c>
      <c r="H2383" t="s">
        <v>713</v>
      </c>
      <c r="J2383" t="str">
        <f>IFERROR(VLOOKUP(I2383,[1]AUTOS!$C:$G,2,0),"")</f>
        <v/>
      </c>
      <c r="K2383" t="str">
        <f>IFERROR(VLOOKUP(I2383,[1]AUTOS!$C:$G,3,0),"")</f>
        <v/>
      </c>
      <c r="L2383" t="str">
        <f>IFERROR(VLOOKUP(I2383,[1]AUTOS!$C:$G,4,0),"")</f>
        <v/>
      </c>
      <c r="M2383" t="s">
        <v>43</v>
      </c>
      <c r="P2383" s="3">
        <v>-7560</v>
      </c>
    </row>
    <row r="2384" spans="1:17" hidden="1" x14ac:dyDescent="0.3">
      <c r="A2384">
        <f>+A2383+1</f>
        <v>2</v>
      </c>
      <c r="B2384" t="str">
        <f>VLOOKUP($A2384,[1]LISTA!$B:$C,2,0)</f>
        <v>ENERO</v>
      </c>
      <c r="C2384" s="1">
        <v>2025</v>
      </c>
      <c r="D2384" s="1" t="str">
        <f>IF($A2384&lt;=[1]RESULTADOS!$D$6,"YTD","YTG")</f>
        <v>YTD</v>
      </c>
      <c r="E2384" t="s">
        <v>711</v>
      </c>
      <c r="F2384" t="s">
        <v>712</v>
      </c>
      <c r="G2384" t="s">
        <v>712</v>
      </c>
      <c r="H2384" t="s">
        <v>713</v>
      </c>
      <c r="J2384" t="str">
        <f>IFERROR(VLOOKUP(I2384,[1]AUTOS!$C:$G,2,0),"")</f>
        <v/>
      </c>
      <c r="K2384" t="str">
        <f>IFERROR(VLOOKUP(I2384,[1]AUTOS!$C:$G,3,0),"")</f>
        <v/>
      </c>
      <c r="L2384" t="str">
        <f>IFERROR(VLOOKUP(I2384,[1]AUTOS!$C:$G,4,0),"")</f>
        <v/>
      </c>
      <c r="M2384" t="s">
        <v>43</v>
      </c>
      <c r="P2384" s="3">
        <v>-7560</v>
      </c>
    </row>
    <row r="2385" spans="1:16" hidden="1" x14ac:dyDescent="0.3">
      <c r="A2385">
        <f t="shared" ref="A2385:A2426" si="0">+A2384+1</f>
        <v>3</v>
      </c>
      <c r="B2385" t="str">
        <f>VLOOKUP($A2385,[1]LISTA!$B:$C,2,0)</f>
        <v>ENERO</v>
      </c>
      <c r="C2385" s="1">
        <v>2025</v>
      </c>
      <c r="D2385" s="1" t="str">
        <f>IF($A2385&lt;=[1]RESULTADOS!$D$6,"YTD","YTG")</f>
        <v>YTD</v>
      </c>
      <c r="E2385" t="s">
        <v>711</v>
      </c>
      <c r="F2385" t="s">
        <v>712</v>
      </c>
      <c r="G2385" t="s">
        <v>712</v>
      </c>
      <c r="H2385" t="s">
        <v>713</v>
      </c>
      <c r="J2385" t="str">
        <f>IFERROR(VLOOKUP(I2385,[1]AUTOS!$C:$G,2,0),"")</f>
        <v/>
      </c>
      <c r="K2385" t="str">
        <f>IFERROR(VLOOKUP(I2385,[1]AUTOS!$C:$G,3,0),"")</f>
        <v/>
      </c>
      <c r="L2385" t="str">
        <f>IFERROR(VLOOKUP(I2385,[1]AUTOS!$C:$G,4,0),"")</f>
        <v/>
      </c>
      <c r="M2385" t="s">
        <v>43</v>
      </c>
      <c r="P2385" s="3">
        <v>-7560</v>
      </c>
    </row>
    <row r="2386" spans="1:16" hidden="1" x14ac:dyDescent="0.3">
      <c r="A2386">
        <f t="shared" si="0"/>
        <v>4</v>
      </c>
      <c r="B2386" t="str">
        <f>VLOOKUP($A2386,[1]LISTA!$B:$C,2,0)</f>
        <v>ENERO</v>
      </c>
      <c r="C2386" s="1">
        <v>2025</v>
      </c>
      <c r="D2386" s="1" t="str">
        <f>IF($A2386&lt;=[1]RESULTADOS!$D$6,"YTD","YTG")</f>
        <v>YTD</v>
      </c>
      <c r="E2386" t="s">
        <v>711</v>
      </c>
      <c r="F2386" t="s">
        <v>712</v>
      </c>
      <c r="G2386" t="s">
        <v>712</v>
      </c>
      <c r="H2386" t="s">
        <v>713</v>
      </c>
      <c r="J2386" t="str">
        <f>IFERROR(VLOOKUP(I2386,[1]AUTOS!$C:$G,2,0),"")</f>
        <v/>
      </c>
      <c r="K2386" t="str">
        <f>IFERROR(VLOOKUP(I2386,[1]AUTOS!$C:$G,3,0),"")</f>
        <v/>
      </c>
      <c r="L2386" t="str">
        <f>IFERROR(VLOOKUP(I2386,[1]AUTOS!$C:$G,4,0),"")</f>
        <v/>
      </c>
      <c r="M2386" t="s">
        <v>43</v>
      </c>
      <c r="P2386" s="3">
        <v>-7560</v>
      </c>
    </row>
    <row r="2387" spans="1:16" hidden="1" x14ac:dyDescent="0.3">
      <c r="A2387">
        <f t="shared" si="0"/>
        <v>5</v>
      </c>
      <c r="B2387" t="str">
        <f>VLOOKUP($A2387,[1]LISTA!$B:$C,2,0)</f>
        <v>ENERO</v>
      </c>
      <c r="C2387" s="1">
        <v>2025</v>
      </c>
      <c r="D2387" s="1" t="str">
        <f>IF($A2387&lt;=[1]RESULTADOS!$D$6,"YTD","YTG")</f>
        <v>YTD</v>
      </c>
      <c r="E2387" t="s">
        <v>711</v>
      </c>
      <c r="F2387" t="s">
        <v>712</v>
      </c>
      <c r="G2387" t="s">
        <v>712</v>
      </c>
      <c r="H2387" t="s">
        <v>713</v>
      </c>
      <c r="J2387" t="str">
        <f>IFERROR(VLOOKUP(I2387,[1]AUTOS!$C:$G,2,0),"")</f>
        <v/>
      </c>
      <c r="K2387" t="str">
        <f>IFERROR(VLOOKUP(I2387,[1]AUTOS!$C:$G,3,0),"")</f>
        <v/>
      </c>
      <c r="L2387" t="str">
        <f>IFERROR(VLOOKUP(I2387,[1]AUTOS!$C:$G,4,0),"")</f>
        <v/>
      </c>
      <c r="M2387" t="s">
        <v>43</v>
      </c>
      <c r="P2387" s="3">
        <v>-7560</v>
      </c>
    </row>
    <row r="2388" spans="1:16" hidden="1" x14ac:dyDescent="0.3">
      <c r="A2388">
        <f t="shared" si="0"/>
        <v>6</v>
      </c>
      <c r="B2388" t="str">
        <f>VLOOKUP($A2388,[1]LISTA!$B:$C,2,0)</f>
        <v>FEBRERO</v>
      </c>
      <c r="C2388" s="1">
        <v>2025</v>
      </c>
      <c r="D2388" s="1" t="str">
        <f>IF($A2388&lt;=[1]RESULTADOS!$D$6,"YTD","YTG")</f>
        <v>YTD</v>
      </c>
      <c r="E2388" t="s">
        <v>711</v>
      </c>
      <c r="F2388" t="s">
        <v>712</v>
      </c>
      <c r="G2388" t="s">
        <v>712</v>
      </c>
      <c r="H2388" t="s">
        <v>713</v>
      </c>
      <c r="J2388" t="str">
        <f>IFERROR(VLOOKUP(I2388,[1]AUTOS!$C:$G,2,0),"")</f>
        <v/>
      </c>
      <c r="K2388" t="str">
        <f>IFERROR(VLOOKUP(I2388,[1]AUTOS!$C:$G,3,0),"")</f>
        <v/>
      </c>
      <c r="L2388" t="str">
        <f>IFERROR(VLOOKUP(I2388,[1]AUTOS!$C:$G,4,0),"")</f>
        <v/>
      </c>
      <c r="M2388" t="s">
        <v>43</v>
      </c>
      <c r="P2388" s="3">
        <v>-12250</v>
      </c>
    </row>
    <row r="2389" spans="1:16" hidden="1" x14ac:dyDescent="0.3">
      <c r="A2389">
        <f t="shared" si="0"/>
        <v>7</v>
      </c>
      <c r="B2389" t="str">
        <f>VLOOKUP($A2389,[1]LISTA!$B:$C,2,0)</f>
        <v>FEBRERO</v>
      </c>
      <c r="C2389" s="1">
        <v>2025</v>
      </c>
      <c r="D2389" s="1" t="str">
        <f>IF($A2389&lt;=[1]RESULTADOS!$D$6,"YTD","YTG")</f>
        <v>YTD</v>
      </c>
      <c r="E2389" t="s">
        <v>711</v>
      </c>
      <c r="F2389" t="s">
        <v>712</v>
      </c>
      <c r="G2389" t="s">
        <v>712</v>
      </c>
      <c r="H2389" t="s">
        <v>713</v>
      </c>
      <c r="J2389" t="str">
        <f>IFERROR(VLOOKUP(I2389,[1]AUTOS!$C:$G,2,0),"")</f>
        <v/>
      </c>
      <c r="K2389" t="str">
        <f>IFERROR(VLOOKUP(I2389,[1]AUTOS!$C:$G,3,0),"")</f>
        <v/>
      </c>
      <c r="L2389" t="str">
        <f>IFERROR(VLOOKUP(I2389,[1]AUTOS!$C:$G,4,0),"")</f>
        <v/>
      </c>
      <c r="M2389" t="s">
        <v>43</v>
      </c>
      <c r="P2389" s="3">
        <v>-12250</v>
      </c>
    </row>
    <row r="2390" spans="1:16" hidden="1" x14ac:dyDescent="0.3">
      <c r="A2390">
        <f t="shared" si="0"/>
        <v>8</v>
      </c>
      <c r="B2390" t="str">
        <f>VLOOKUP($A2390,[1]LISTA!$B:$C,2,0)</f>
        <v>FEBRERO</v>
      </c>
      <c r="C2390" s="1">
        <v>2025</v>
      </c>
      <c r="D2390" s="1" t="str">
        <f>IF($A2390&lt;=[1]RESULTADOS!$D$6,"YTD","YTG")</f>
        <v>YTD</v>
      </c>
      <c r="E2390" t="s">
        <v>711</v>
      </c>
      <c r="F2390" t="s">
        <v>712</v>
      </c>
      <c r="G2390" t="s">
        <v>712</v>
      </c>
      <c r="H2390" t="s">
        <v>713</v>
      </c>
      <c r="J2390" t="str">
        <f>IFERROR(VLOOKUP(I2390,[1]AUTOS!$C:$G,2,0),"")</f>
        <v/>
      </c>
      <c r="K2390" t="str">
        <f>IFERROR(VLOOKUP(I2390,[1]AUTOS!$C:$G,3,0),"")</f>
        <v/>
      </c>
      <c r="L2390" t="str">
        <f>IFERROR(VLOOKUP(I2390,[1]AUTOS!$C:$G,4,0),"")</f>
        <v/>
      </c>
      <c r="M2390" t="s">
        <v>43</v>
      </c>
      <c r="P2390" s="3">
        <v>-12250</v>
      </c>
    </row>
    <row r="2391" spans="1:16" hidden="1" x14ac:dyDescent="0.3">
      <c r="A2391">
        <f t="shared" si="0"/>
        <v>9</v>
      </c>
      <c r="B2391" t="str">
        <f>VLOOKUP($A2391,[1]LISTA!$B:$C,2,0)</f>
        <v>FEBRERO</v>
      </c>
      <c r="C2391" s="1">
        <v>2025</v>
      </c>
      <c r="D2391" s="1" t="str">
        <f>IF($A2391&lt;=[1]RESULTADOS!$D$6,"YTD","YTG")</f>
        <v>YTD</v>
      </c>
      <c r="E2391" t="s">
        <v>711</v>
      </c>
      <c r="F2391" t="s">
        <v>712</v>
      </c>
      <c r="G2391" t="s">
        <v>712</v>
      </c>
      <c r="H2391" t="s">
        <v>713</v>
      </c>
      <c r="J2391" t="str">
        <f>IFERROR(VLOOKUP(I2391,[1]AUTOS!$C:$G,2,0),"")</f>
        <v/>
      </c>
      <c r="K2391" t="str">
        <f>IFERROR(VLOOKUP(I2391,[1]AUTOS!$C:$G,3,0),"")</f>
        <v/>
      </c>
      <c r="L2391" t="str">
        <f>IFERROR(VLOOKUP(I2391,[1]AUTOS!$C:$G,4,0),"")</f>
        <v/>
      </c>
      <c r="M2391" t="s">
        <v>43</v>
      </c>
      <c r="P2391" s="3">
        <v>-12250</v>
      </c>
    </row>
    <row r="2392" spans="1:16" hidden="1" x14ac:dyDescent="0.3">
      <c r="A2392">
        <f t="shared" si="0"/>
        <v>10</v>
      </c>
      <c r="B2392" t="str">
        <f>VLOOKUP($A2392,[1]LISTA!$B:$C,2,0)</f>
        <v>MARZO</v>
      </c>
      <c r="C2392" s="1">
        <v>2025</v>
      </c>
      <c r="D2392" s="1" t="str">
        <f>IF($A2392&lt;=[1]RESULTADOS!$D$6,"YTD","YTG")</f>
        <v>YTD</v>
      </c>
      <c r="E2392" t="s">
        <v>711</v>
      </c>
      <c r="F2392" t="s">
        <v>712</v>
      </c>
      <c r="G2392" t="s">
        <v>712</v>
      </c>
      <c r="H2392" t="s">
        <v>713</v>
      </c>
      <c r="J2392" t="str">
        <f>IFERROR(VLOOKUP(I2392,[1]AUTOS!$C:$G,2,0),"")</f>
        <v/>
      </c>
      <c r="K2392" t="str">
        <f>IFERROR(VLOOKUP(I2392,[1]AUTOS!$C:$G,3,0),"")</f>
        <v/>
      </c>
      <c r="L2392" t="str">
        <f>IFERROR(VLOOKUP(I2392,[1]AUTOS!$C:$G,4,0),"")</f>
        <v/>
      </c>
      <c r="M2392" t="s">
        <v>43</v>
      </c>
      <c r="P2392" s="3">
        <v>-16383.333333333334</v>
      </c>
    </row>
    <row r="2393" spans="1:16" hidden="1" x14ac:dyDescent="0.3">
      <c r="A2393">
        <f t="shared" si="0"/>
        <v>11</v>
      </c>
      <c r="B2393" t="str">
        <f>VLOOKUP($A2393,[1]LISTA!$B:$C,2,0)</f>
        <v>MARZO</v>
      </c>
      <c r="C2393" s="1">
        <v>2025</v>
      </c>
      <c r="D2393" s="1" t="str">
        <f>IF($A2393&lt;=[1]RESULTADOS!$D$6,"YTD","YTG")</f>
        <v>YTD</v>
      </c>
      <c r="E2393" t="s">
        <v>711</v>
      </c>
      <c r="F2393" t="s">
        <v>712</v>
      </c>
      <c r="G2393" t="s">
        <v>712</v>
      </c>
      <c r="H2393" t="s">
        <v>713</v>
      </c>
      <c r="J2393" t="str">
        <f>IFERROR(VLOOKUP(I2393,[1]AUTOS!$C:$G,2,0),"")</f>
        <v/>
      </c>
      <c r="K2393" t="str">
        <f>IFERROR(VLOOKUP(I2393,[1]AUTOS!$C:$G,3,0),"")</f>
        <v/>
      </c>
      <c r="L2393" t="str">
        <f>IFERROR(VLOOKUP(I2393,[1]AUTOS!$C:$G,4,0),"")</f>
        <v/>
      </c>
      <c r="M2393" t="s">
        <v>43</v>
      </c>
      <c r="P2393" s="3">
        <v>-16383.333333333334</v>
      </c>
    </row>
    <row r="2394" spans="1:16" hidden="1" x14ac:dyDescent="0.3">
      <c r="A2394">
        <f t="shared" si="0"/>
        <v>12</v>
      </c>
      <c r="B2394" t="str">
        <f>VLOOKUP($A2394,[1]LISTA!$B:$C,2,0)</f>
        <v>MARZO</v>
      </c>
      <c r="C2394" s="1">
        <v>2025</v>
      </c>
      <c r="D2394" s="1" t="str">
        <f>IF($A2394&lt;=[1]RESULTADOS!$D$6,"YTD","YTG")</f>
        <v>YTD</v>
      </c>
      <c r="E2394" t="s">
        <v>711</v>
      </c>
      <c r="F2394" t="s">
        <v>712</v>
      </c>
      <c r="G2394" t="s">
        <v>712</v>
      </c>
      <c r="H2394" t="s">
        <v>713</v>
      </c>
      <c r="J2394" t="str">
        <f>IFERROR(VLOOKUP(I2394,[1]AUTOS!$C:$G,2,0),"")</f>
        <v/>
      </c>
      <c r="K2394" t="str">
        <f>IFERROR(VLOOKUP(I2394,[1]AUTOS!$C:$G,3,0),"")</f>
        <v/>
      </c>
      <c r="L2394" t="str">
        <f>IFERROR(VLOOKUP(I2394,[1]AUTOS!$C:$G,4,0),"")</f>
        <v/>
      </c>
      <c r="M2394" t="s">
        <v>43</v>
      </c>
      <c r="P2394" s="3">
        <v>-16383.333333333334</v>
      </c>
    </row>
    <row r="2395" spans="1:16" hidden="1" x14ac:dyDescent="0.3">
      <c r="A2395">
        <f t="shared" si="0"/>
        <v>13</v>
      </c>
      <c r="B2395" t="str">
        <f>VLOOKUP($A2395,[1]LISTA!$B:$C,2,0)</f>
        <v>MARZO</v>
      </c>
      <c r="C2395" s="1">
        <v>2025</v>
      </c>
      <c r="D2395" s="1" t="str">
        <f>IF($A2395&lt;=[1]RESULTADOS!$D$6,"YTD","YTG")</f>
        <v>YTD</v>
      </c>
      <c r="E2395" t="s">
        <v>711</v>
      </c>
      <c r="F2395" t="s">
        <v>712</v>
      </c>
      <c r="G2395" t="s">
        <v>712</v>
      </c>
      <c r="H2395" t="s">
        <v>713</v>
      </c>
      <c r="J2395" t="str">
        <f>IFERROR(VLOOKUP(I2395,[1]AUTOS!$C:$G,2,0),"")</f>
        <v/>
      </c>
      <c r="K2395" t="str">
        <f>IFERROR(VLOOKUP(I2395,[1]AUTOS!$C:$G,3,0),"")</f>
        <v/>
      </c>
      <c r="L2395" t="str">
        <f>IFERROR(VLOOKUP(I2395,[1]AUTOS!$C:$G,4,0),"")</f>
        <v/>
      </c>
      <c r="M2395" t="s">
        <v>43</v>
      </c>
      <c r="P2395" s="3">
        <v>-16383.333333333334</v>
      </c>
    </row>
    <row r="2396" spans="1:16" hidden="1" x14ac:dyDescent="0.3">
      <c r="A2396">
        <f t="shared" si="0"/>
        <v>14</v>
      </c>
      <c r="B2396" t="str">
        <f>VLOOKUP($A2396,[1]LISTA!$B:$C,2,0)</f>
        <v>ABRIL</v>
      </c>
      <c r="C2396" s="1">
        <v>2025</v>
      </c>
      <c r="D2396" s="1" t="str">
        <f>IF($A2396&lt;=[1]RESULTADOS!$D$6,"YTD","YTG")</f>
        <v>YTD</v>
      </c>
      <c r="E2396" t="s">
        <v>711</v>
      </c>
      <c r="F2396" t="s">
        <v>712</v>
      </c>
      <c r="G2396" t="s">
        <v>712</v>
      </c>
      <c r="H2396" t="s">
        <v>713</v>
      </c>
      <c r="J2396" t="str">
        <f>IFERROR(VLOOKUP(I2396,[1]AUTOS!$C:$G,2,0),"")</f>
        <v/>
      </c>
      <c r="K2396" t="str">
        <f>IFERROR(VLOOKUP(I2396,[1]AUTOS!$C:$G,3,0),"")</f>
        <v/>
      </c>
      <c r="L2396" t="str">
        <f>IFERROR(VLOOKUP(I2396,[1]AUTOS!$C:$G,4,0),"")</f>
        <v/>
      </c>
      <c r="M2396" t="s">
        <v>43</v>
      </c>
      <c r="P2396" s="3">
        <v>-19500</v>
      </c>
    </row>
    <row r="2397" spans="1:16" hidden="1" x14ac:dyDescent="0.3">
      <c r="A2397">
        <f t="shared" si="0"/>
        <v>15</v>
      </c>
      <c r="B2397" t="str">
        <f>VLOOKUP($A2397,[1]LISTA!$B:$C,2,0)</f>
        <v>ABRIL</v>
      </c>
      <c r="C2397" s="1">
        <v>2025</v>
      </c>
      <c r="D2397" s="1" t="str">
        <f>IF($A2397&lt;=[1]RESULTADOS!$D$6,"YTD","YTG")</f>
        <v>YTD</v>
      </c>
      <c r="E2397" t="s">
        <v>711</v>
      </c>
      <c r="F2397" t="s">
        <v>712</v>
      </c>
      <c r="G2397" t="s">
        <v>712</v>
      </c>
      <c r="H2397" t="s">
        <v>713</v>
      </c>
      <c r="J2397" t="str">
        <f>IFERROR(VLOOKUP(I2397,[1]AUTOS!$C:$G,2,0),"")</f>
        <v/>
      </c>
      <c r="K2397" t="str">
        <f>IFERROR(VLOOKUP(I2397,[1]AUTOS!$C:$G,3,0),"")</f>
        <v/>
      </c>
      <c r="L2397" t="str">
        <f>IFERROR(VLOOKUP(I2397,[1]AUTOS!$C:$G,4,0),"")</f>
        <v/>
      </c>
      <c r="M2397" t="s">
        <v>43</v>
      </c>
      <c r="P2397" s="3">
        <v>-19500</v>
      </c>
    </row>
    <row r="2398" spans="1:16" hidden="1" x14ac:dyDescent="0.3">
      <c r="A2398">
        <f t="shared" si="0"/>
        <v>16</v>
      </c>
      <c r="B2398" t="str">
        <f>VLOOKUP($A2398,[1]LISTA!$B:$C,2,0)</f>
        <v>ABRIL</v>
      </c>
      <c r="C2398" s="1">
        <v>2025</v>
      </c>
      <c r="D2398" s="1" t="str">
        <f>IF($A2398&lt;=[1]RESULTADOS!$D$6,"YTD","YTG")</f>
        <v>YTD</v>
      </c>
      <c r="E2398" t="s">
        <v>711</v>
      </c>
      <c r="F2398" t="s">
        <v>712</v>
      </c>
      <c r="G2398" t="s">
        <v>712</v>
      </c>
      <c r="H2398" t="s">
        <v>713</v>
      </c>
      <c r="J2398" t="str">
        <f>IFERROR(VLOOKUP(I2398,[1]AUTOS!$C:$G,2,0),"")</f>
        <v/>
      </c>
      <c r="K2398" t="str">
        <f>IFERROR(VLOOKUP(I2398,[1]AUTOS!$C:$G,3,0),"")</f>
        <v/>
      </c>
      <c r="L2398" t="str">
        <f>IFERROR(VLOOKUP(I2398,[1]AUTOS!$C:$G,4,0),"")</f>
        <v/>
      </c>
      <c r="M2398" t="s">
        <v>43</v>
      </c>
      <c r="P2398" s="3">
        <v>-19500</v>
      </c>
    </row>
    <row r="2399" spans="1:16" hidden="1" x14ac:dyDescent="0.3">
      <c r="A2399">
        <f t="shared" si="0"/>
        <v>17</v>
      </c>
      <c r="B2399" t="str">
        <f>VLOOKUP($A2399,[1]LISTA!$B:$C,2,0)</f>
        <v>ABRIL</v>
      </c>
      <c r="C2399" s="1">
        <v>2025</v>
      </c>
      <c r="D2399" s="1" t="str">
        <f>IF($A2399&lt;=[1]RESULTADOS!$D$6,"YTD","YTG")</f>
        <v>YTD</v>
      </c>
      <c r="E2399" t="s">
        <v>711</v>
      </c>
      <c r="F2399" t="s">
        <v>712</v>
      </c>
      <c r="G2399" t="s">
        <v>712</v>
      </c>
      <c r="H2399" t="s">
        <v>713</v>
      </c>
      <c r="J2399" t="str">
        <f>IFERROR(VLOOKUP(I2399,[1]AUTOS!$C:$G,2,0),"")</f>
        <v/>
      </c>
      <c r="K2399" t="str">
        <f>IFERROR(VLOOKUP(I2399,[1]AUTOS!$C:$G,3,0),"")</f>
        <v/>
      </c>
      <c r="L2399" t="str">
        <f>IFERROR(VLOOKUP(I2399,[1]AUTOS!$C:$G,4,0),"")</f>
        <v/>
      </c>
      <c r="M2399" t="s">
        <v>43</v>
      </c>
      <c r="P2399" s="3">
        <v>-19500</v>
      </c>
    </row>
    <row r="2400" spans="1:16" hidden="1" x14ac:dyDescent="0.3">
      <c r="A2400">
        <f t="shared" si="0"/>
        <v>18</v>
      </c>
      <c r="B2400" t="str">
        <f>VLOOKUP($A2400,[1]LISTA!$B:$C,2,0)</f>
        <v>MAYO</v>
      </c>
      <c r="C2400" s="1">
        <v>2025</v>
      </c>
      <c r="D2400" s="1" t="str">
        <f>IF($A2400&lt;=[1]RESULTADOS!$D$6,"YTD","YTG")</f>
        <v>YTD</v>
      </c>
      <c r="E2400" t="s">
        <v>711</v>
      </c>
      <c r="F2400" t="s">
        <v>712</v>
      </c>
      <c r="G2400" t="s">
        <v>712</v>
      </c>
      <c r="H2400" t="s">
        <v>713</v>
      </c>
      <c r="J2400" t="str">
        <f>IFERROR(VLOOKUP(I2400,[1]AUTOS!$C:$G,2,0),"")</f>
        <v/>
      </c>
      <c r="K2400" t="str">
        <f>IFERROR(VLOOKUP(I2400,[1]AUTOS!$C:$G,3,0),"")</f>
        <v/>
      </c>
      <c r="L2400" t="str">
        <f>IFERROR(VLOOKUP(I2400,[1]AUTOS!$C:$G,4,0),"")</f>
        <v/>
      </c>
      <c r="M2400" t="s">
        <v>43</v>
      </c>
      <c r="P2400" s="3">
        <v>-15200</v>
      </c>
    </row>
    <row r="2401" spans="1:16" hidden="1" x14ac:dyDescent="0.3">
      <c r="A2401">
        <f t="shared" si="0"/>
        <v>19</v>
      </c>
      <c r="B2401" t="str">
        <f>VLOOKUP($A2401,[1]LISTA!$B:$C,2,0)</f>
        <v>MAYO</v>
      </c>
      <c r="C2401" s="1">
        <v>2025</v>
      </c>
      <c r="D2401" s="1" t="str">
        <f>IF($A2401&lt;=[1]RESULTADOS!$D$6,"YTD","YTG")</f>
        <v>YTD</v>
      </c>
      <c r="E2401" t="s">
        <v>711</v>
      </c>
      <c r="F2401" t="s">
        <v>712</v>
      </c>
      <c r="G2401" t="s">
        <v>712</v>
      </c>
      <c r="H2401" t="s">
        <v>713</v>
      </c>
      <c r="J2401" t="str">
        <f>IFERROR(VLOOKUP(I2401,[1]AUTOS!$C:$G,2,0),"")</f>
        <v/>
      </c>
      <c r="K2401" t="str">
        <f>IFERROR(VLOOKUP(I2401,[1]AUTOS!$C:$G,3,0),"")</f>
        <v/>
      </c>
      <c r="L2401" t="str">
        <f>IFERROR(VLOOKUP(I2401,[1]AUTOS!$C:$G,4,0),"")</f>
        <v/>
      </c>
      <c r="M2401" t="s">
        <v>43</v>
      </c>
      <c r="P2401" s="3">
        <v>-15200</v>
      </c>
    </row>
    <row r="2402" spans="1:16" hidden="1" x14ac:dyDescent="0.3">
      <c r="A2402">
        <f t="shared" si="0"/>
        <v>20</v>
      </c>
      <c r="B2402" t="str">
        <f>VLOOKUP($A2402,[1]LISTA!$B:$C,2,0)</f>
        <v>MAYO</v>
      </c>
      <c r="C2402" s="1">
        <v>2025</v>
      </c>
      <c r="D2402" s="1" t="str">
        <f>IF($A2402&lt;=[1]RESULTADOS!$D$6,"YTD","YTG")</f>
        <v>YTD</v>
      </c>
      <c r="E2402" t="s">
        <v>711</v>
      </c>
      <c r="F2402" t="s">
        <v>712</v>
      </c>
      <c r="G2402" t="s">
        <v>712</v>
      </c>
      <c r="H2402" t="s">
        <v>713</v>
      </c>
      <c r="J2402" t="str">
        <f>IFERROR(VLOOKUP(I2402,[1]AUTOS!$C:$G,2,0),"")</f>
        <v/>
      </c>
      <c r="K2402" t="str">
        <f>IFERROR(VLOOKUP(I2402,[1]AUTOS!$C:$G,3,0),"")</f>
        <v/>
      </c>
      <c r="L2402" t="str">
        <f>IFERROR(VLOOKUP(I2402,[1]AUTOS!$C:$G,4,0),"")</f>
        <v/>
      </c>
      <c r="M2402" t="s">
        <v>43</v>
      </c>
      <c r="P2402" s="3">
        <v>-15200</v>
      </c>
    </row>
    <row r="2403" spans="1:16" hidden="1" x14ac:dyDescent="0.3">
      <c r="A2403">
        <f t="shared" si="0"/>
        <v>21</v>
      </c>
      <c r="B2403" t="str">
        <f>VLOOKUP($A2403,[1]LISTA!$B:$C,2,0)</f>
        <v>MAYO</v>
      </c>
      <c r="C2403" s="1">
        <v>2025</v>
      </c>
      <c r="D2403" s="1" t="str">
        <f>IF($A2403&lt;=[1]RESULTADOS!$D$6,"YTD","YTG")</f>
        <v>YTD</v>
      </c>
      <c r="E2403" t="s">
        <v>711</v>
      </c>
      <c r="F2403" t="s">
        <v>712</v>
      </c>
      <c r="G2403" t="s">
        <v>712</v>
      </c>
      <c r="H2403" t="s">
        <v>713</v>
      </c>
      <c r="J2403" t="str">
        <f>IFERROR(VLOOKUP(I2403,[1]AUTOS!$C:$G,2,0),"")</f>
        <v/>
      </c>
      <c r="K2403" t="str">
        <f>IFERROR(VLOOKUP(I2403,[1]AUTOS!$C:$G,3,0),"")</f>
        <v/>
      </c>
      <c r="L2403" t="str">
        <f>IFERROR(VLOOKUP(I2403,[1]AUTOS!$C:$G,4,0),"")</f>
        <v/>
      </c>
      <c r="M2403" t="s">
        <v>43</v>
      </c>
      <c r="P2403" s="3">
        <v>-15200</v>
      </c>
    </row>
    <row r="2404" spans="1:16" hidden="1" x14ac:dyDescent="0.3">
      <c r="A2404">
        <f t="shared" si="0"/>
        <v>22</v>
      </c>
      <c r="B2404" t="str">
        <f>VLOOKUP($A2404,[1]LISTA!$B:$C,2,0)</f>
        <v>MAYO</v>
      </c>
      <c r="C2404" s="1">
        <v>2025</v>
      </c>
      <c r="D2404" s="1" t="str">
        <f>IF($A2404&lt;=[1]RESULTADOS!$D$6,"YTD","YTG")</f>
        <v>YTD</v>
      </c>
      <c r="E2404" t="s">
        <v>711</v>
      </c>
      <c r="F2404" t="s">
        <v>712</v>
      </c>
      <c r="G2404" t="s">
        <v>712</v>
      </c>
      <c r="H2404" t="s">
        <v>713</v>
      </c>
      <c r="J2404" t="str">
        <f>IFERROR(VLOOKUP(I2404,[1]AUTOS!$C:$G,2,0),"")</f>
        <v/>
      </c>
      <c r="K2404" t="str">
        <f>IFERROR(VLOOKUP(I2404,[1]AUTOS!$C:$G,3,0),"")</f>
        <v/>
      </c>
      <c r="L2404" t="str">
        <f>IFERROR(VLOOKUP(I2404,[1]AUTOS!$C:$G,4,0),"")</f>
        <v/>
      </c>
      <c r="M2404" t="s">
        <v>43</v>
      </c>
      <c r="P2404" s="3">
        <v>-15200</v>
      </c>
    </row>
    <row r="2405" spans="1:16" hidden="1" x14ac:dyDescent="0.3">
      <c r="A2405">
        <f t="shared" si="0"/>
        <v>23</v>
      </c>
      <c r="B2405" t="str">
        <f>VLOOKUP($A2405,[1]LISTA!$B:$C,2,0)</f>
        <v>JUNIO</v>
      </c>
      <c r="C2405" s="1">
        <v>2025</v>
      </c>
      <c r="D2405" s="1" t="str">
        <f>IF($A2405&lt;=[1]RESULTADOS!$D$6,"YTD","YTG")</f>
        <v>YTD</v>
      </c>
      <c r="E2405" t="s">
        <v>711</v>
      </c>
      <c r="F2405" t="s">
        <v>712</v>
      </c>
      <c r="G2405" t="s">
        <v>712</v>
      </c>
      <c r="H2405" t="s">
        <v>713</v>
      </c>
      <c r="J2405" t="str">
        <f>IFERROR(VLOOKUP(I2405,[1]AUTOS!$C:$G,2,0),"")</f>
        <v/>
      </c>
      <c r="K2405" t="str">
        <f>IFERROR(VLOOKUP(I2405,[1]AUTOS!$C:$G,3,0),"")</f>
        <v/>
      </c>
      <c r="L2405" t="str">
        <f>IFERROR(VLOOKUP(I2405,[1]AUTOS!$C:$G,4,0),"")</f>
        <v/>
      </c>
      <c r="M2405" t="s">
        <v>43</v>
      </c>
      <c r="P2405" s="3">
        <v>-19500</v>
      </c>
    </row>
    <row r="2406" spans="1:16" hidden="1" x14ac:dyDescent="0.3">
      <c r="A2406">
        <f t="shared" si="0"/>
        <v>24</v>
      </c>
      <c r="B2406" t="str">
        <f>VLOOKUP($A2406,[1]LISTA!$B:$C,2,0)</f>
        <v>JUNIO</v>
      </c>
      <c r="C2406" s="1">
        <v>2025</v>
      </c>
      <c r="D2406" s="1" t="str">
        <f>IF($A2406&lt;=[1]RESULTADOS!$D$6,"YTD","YTG")</f>
        <v>YTD</v>
      </c>
      <c r="E2406" t="s">
        <v>711</v>
      </c>
      <c r="F2406" t="s">
        <v>712</v>
      </c>
      <c r="G2406" t="s">
        <v>712</v>
      </c>
      <c r="H2406" t="s">
        <v>713</v>
      </c>
      <c r="J2406" t="str">
        <f>IFERROR(VLOOKUP(I2406,[1]AUTOS!$C:$G,2,0),"")</f>
        <v/>
      </c>
      <c r="K2406" t="str">
        <f>IFERROR(VLOOKUP(I2406,[1]AUTOS!$C:$G,3,0),"")</f>
        <v/>
      </c>
      <c r="L2406" t="str">
        <f>IFERROR(VLOOKUP(I2406,[1]AUTOS!$C:$G,4,0),"")</f>
        <v/>
      </c>
      <c r="M2406" t="s">
        <v>43</v>
      </c>
      <c r="P2406" s="3">
        <v>-19500</v>
      </c>
    </row>
    <row r="2407" spans="1:16" hidden="1" x14ac:dyDescent="0.3">
      <c r="A2407">
        <f t="shared" si="0"/>
        <v>25</v>
      </c>
      <c r="B2407" t="str">
        <f>VLOOKUP($A2407,[1]LISTA!$B:$C,2,0)</f>
        <v>JUNIO</v>
      </c>
      <c r="C2407" s="1">
        <v>2025</v>
      </c>
      <c r="D2407" s="1" t="str">
        <f>IF($A2407&lt;=[1]RESULTADOS!$D$6,"YTD","YTG")</f>
        <v>YTD</v>
      </c>
      <c r="E2407" t="s">
        <v>711</v>
      </c>
      <c r="F2407" t="s">
        <v>712</v>
      </c>
      <c r="G2407" t="s">
        <v>712</v>
      </c>
      <c r="H2407" t="s">
        <v>713</v>
      </c>
      <c r="J2407" t="str">
        <f>IFERROR(VLOOKUP(I2407,[1]AUTOS!$C:$G,2,0),"")</f>
        <v/>
      </c>
      <c r="K2407" t="str">
        <f>IFERROR(VLOOKUP(I2407,[1]AUTOS!$C:$G,3,0),"")</f>
        <v/>
      </c>
      <c r="L2407" t="str">
        <f>IFERROR(VLOOKUP(I2407,[1]AUTOS!$C:$G,4,0),"")</f>
        <v/>
      </c>
      <c r="M2407" t="s">
        <v>43</v>
      </c>
      <c r="P2407" s="3">
        <v>-19500</v>
      </c>
    </row>
    <row r="2408" spans="1:16" hidden="1" x14ac:dyDescent="0.3">
      <c r="A2408">
        <f t="shared" si="0"/>
        <v>26</v>
      </c>
      <c r="B2408" t="str">
        <f>VLOOKUP($A2408,[1]LISTA!$B:$C,2,0)</f>
        <v>JUNIO</v>
      </c>
      <c r="C2408" s="1">
        <v>2025</v>
      </c>
      <c r="D2408" s="1" t="str">
        <f>IF($A2408&lt;=[1]RESULTADOS!$D$6,"YTD","YTG")</f>
        <v>YTD</v>
      </c>
      <c r="E2408" t="s">
        <v>711</v>
      </c>
      <c r="F2408" t="s">
        <v>712</v>
      </c>
      <c r="G2408" t="s">
        <v>712</v>
      </c>
      <c r="H2408" t="s">
        <v>713</v>
      </c>
      <c r="J2408" t="str">
        <f>IFERROR(VLOOKUP(I2408,[1]AUTOS!$C:$G,2,0),"")</f>
        <v/>
      </c>
      <c r="K2408" t="str">
        <f>IFERROR(VLOOKUP(I2408,[1]AUTOS!$C:$G,3,0),"")</f>
        <v/>
      </c>
      <c r="L2408" t="str">
        <f>IFERROR(VLOOKUP(I2408,[1]AUTOS!$C:$G,4,0),"")</f>
        <v/>
      </c>
      <c r="M2408" t="s">
        <v>43</v>
      </c>
      <c r="P2408" s="3">
        <v>-19500</v>
      </c>
    </row>
    <row r="2409" spans="1:16" hidden="1" x14ac:dyDescent="0.3">
      <c r="A2409">
        <f t="shared" si="0"/>
        <v>27</v>
      </c>
      <c r="B2409" t="str">
        <f>VLOOKUP($A2409,[1]LISTA!$B:$C,2,0)</f>
        <v>JULIO</v>
      </c>
      <c r="C2409" s="1">
        <v>2025</v>
      </c>
      <c r="D2409" s="1" t="str">
        <f>IF($A2409&lt;=[1]RESULTADOS!$D$6,"YTD","YTG")</f>
        <v>YTD</v>
      </c>
      <c r="E2409" t="s">
        <v>711</v>
      </c>
      <c r="F2409" t="s">
        <v>712</v>
      </c>
      <c r="G2409" t="s">
        <v>712</v>
      </c>
      <c r="H2409" t="s">
        <v>713</v>
      </c>
      <c r="J2409" t="str">
        <f>IFERROR(VLOOKUP(I2409,[1]AUTOS!$C:$G,2,0),"")</f>
        <v/>
      </c>
      <c r="K2409" t="str">
        <f>IFERROR(VLOOKUP(I2409,[1]AUTOS!$C:$G,3,0),"")</f>
        <v/>
      </c>
      <c r="L2409" t="str">
        <f>IFERROR(VLOOKUP(I2409,[1]AUTOS!$C:$G,4,0),"")</f>
        <v/>
      </c>
      <c r="M2409" t="s">
        <v>43</v>
      </c>
      <c r="P2409" s="3">
        <v>-15600</v>
      </c>
    </row>
    <row r="2410" spans="1:16" hidden="1" x14ac:dyDescent="0.3">
      <c r="A2410">
        <f t="shared" si="0"/>
        <v>28</v>
      </c>
      <c r="B2410" t="str">
        <f>VLOOKUP($A2410,[1]LISTA!$B:$C,2,0)</f>
        <v>JULIO</v>
      </c>
      <c r="C2410" s="1">
        <v>2025</v>
      </c>
      <c r="D2410" s="1" t="str">
        <f>IF($A2410&lt;=[1]RESULTADOS!$D$6,"YTD","YTG")</f>
        <v>YTD</v>
      </c>
      <c r="E2410" t="s">
        <v>711</v>
      </c>
      <c r="F2410" t="s">
        <v>712</v>
      </c>
      <c r="G2410" t="s">
        <v>712</v>
      </c>
      <c r="H2410" t="s">
        <v>713</v>
      </c>
      <c r="J2410" t="str">
        <f>IFERROR(VLOOKUP(I2410,[1]AUTOS!$C:$G,2,0),"")</f>
        <v/>
      </c>
      <c r="K2410" t="str">
        <f>IFERROR(VLOOKUP(I2410,[1]AUTOS!$C:$G,3,0),"")</f>
        <v/>
      </c>
      <c r="L2410" t="str">
        <f>IFERROR(VLOOKUP(I2410,[1]AUTOS!$C:$G,4,0),"")</f>
        <v/>
      </c>
      <c r="M2410" t="s">
        <v>43</v>
      </c>
      <c r="P2410" s="3">
        <v>-15600</v>
      </c>
    </row>
    <row r="2411" spans="1:16" hidden="1" x14ac:dyDescent="0.3">
      <c r="A2411">
        <f t="shared" si="0"/>
        <v>29</v>
      </c>
      <c r="B2411" t="str">
        <f>VLOOKUP($A2411,[1]LISTA!$B:$C,2,0)</f>
        <v>JULIO</v>
      </c>
      <c r="C2411" s="1">
        <v>2025</v>
      </c>
      <c r="D2411" s="1" t="str">
        <f>IF($A2411&lt;=[1]RESULTADOS!$D$6,"YTD","YTG")</f>
        <v>YTD</v>
      </c>
      <c r="E2411" t="s">
        <v>711</v>
      </c>
      <c r="F2411" t="s">
        <v>712</v>
      </c>
      <c r="G2411" t="s">
        <v>712</v>
      </c>
      <c r="H2411" t="s">
        <v>713</v>
      </c>
      <c r="J2411" t="str">
        <f>IFERROR(VLOOKUP(I2411,[1]AUTOS!$C:$G,2,0),"")</f>
        <v/>
      </c>
      <c r="K2411" t="str">
        <f>IFERROR(VLOOKUP(I2411,[1]AUTOS!$C:$G,3,0),"")</f>
        <v/>
      </c>
      <c r="L2411" t="str">
        <f>IFERROR(VLOOKUP(I2411,[1]AUTOS!$C:$G,4,0),"")</f>
        <v/>
      </c>
      <c r="M2411" t="s">
        <v>43</v>
      </c>
      <c r="P2411" s="3">
        <v>-15600</v>
      </c>
    </row>
    <row r="2412" spans="1:16" hidden="1" x14ac:dyDescent="0.3">
      <c r="A2412">
        <f t="shared" si="0"/>
        <v>30</v>
      </c>
      <c r="B2412" t="str">
        <f>VLOOKUP($A2412,[1]LISTA!$B:$C,2,0)</f>
        <v>JULIO</v>
      </c>
      <c r="C2412" s="1">
        <v>2025</v>
      </c>
      <c r="D2412" s="1" t="str">
        <f>IF($A2412&lt;=[1]RESULTADOS!$D$6,"YTD","YTG")</f>
        <v>YTD</v>
      </c>
      <c r="E2412" t="s">
        <v>711</v>
      </c>
      <c r="F2412" t="s">
        <v>712</v>
      </c>
      <c r="G2412" t="s">
        <v>712</v>
      </c>
      <c r="H2412" t="s">
        <v>713</v>
      </c>
      <c r="J2412" t="str">
        <f>IFERROR(VLOOKUP(I2412,[1]AUTOS!$C:$G,2,0),"")</f>
        <v/>
      </c>
      <c r="K2412" t="str">
        <f>IFERROR(VLOOKUP(I2412,[1]AUTOS!$C:$G,3,0),"")</f>
        <v/>
      </c>
      <c r="L2412" t="str">
        <f>IFERROR(VLOOKUP(I2412,[1]AUTOS!$C:$G,4,0),"")</f>
        <v/>
      </c>
      <c r="M2412" t="s">
        <v>43</v>
      </c>
      <c r="P2412" s="3">
        <v>-15600</v>
      </c>
    </row>
    <row r="2413" spans="1:16" hidden="1" x14ac:dyDescent="0.3">
      <c r="A2413">
        <f t="shared" si="0"/>
        <v>31</v>
      </c>
      <c r="B2413" t="str">
        <f>VLOOKUP($A2413,[1]LISTA!$B:$C,2,0)</f>
        <v>JULIO</v>
      </c>
      <c r="C2413" s="1">
        <v>2025</v>
      </c>
      <c r="D2413" s="1" t="str">
        <f>IF($A2413&lt;=[1]RESULTADOS!$D$6,"YTD","YTG")</f>
        <v>YTD</v>
      </c>
      <c r="E2413" t="s">
        <v>711</v>
      </c>
      <c r="F2413" t="s">
        <v>712</v>
      </c>
      <c r="G2413" t="s">
        <v>712</v>
      </c>
      <c r="H2413" t="s">
        <v>713</v>
      </c>
      <c r="J2413" t="str">
        <f>IFERROR(VLOOKUP(I2413,[1]AUTOS!$C:$G,2,0),"")</f>
        <v/>
      </c>
      <c r="K2413" t="str">
        <f>IFERROR(VLOOKUP(I2413,[1]AUTOS!$C:$G,3,0),"")</f>
        <v/>
      </c>
      <c r="L2413" t="str">
        <f>IFERROR(VLOOKUP(I2413,[1]AUTOS!$C:$G,4,0),"")</f>
        <v/>
      </c>
      <c r="M2413" t="s">
        <v>43</v>
      </c>
      <c r="P2413" s="3">
        <v>-15600</v>
      </c>
    </row>
    <row r="2414" spans="1:16" hidden="1" x14ac:dyDescent="0.3">
      <c r="A2414">
        <f t="shared" si="0"/>
        <v>32</v>
      </c>
      <c r="B2414" t="str">
        <f>VLOOKUP($A2414,[1]LISTA!$B:$C,2,0)</f>
        <v>AGOSTO</v>
      </c>
      <c r="C2414" s="1">
        <v>2025</v>
      </c>
      <c r="D2414" s="1" t="str">
        <f>IF($A2414&lt;=[1]RESULTADOS!$D$6,"YTD","YTG")</f>
        <v>YTD</v>
      </c>
      <c r="E2414" t="s">
        <v>711</v>
      </c>
      <c r="F2414" t="s">
        <v>712</v>
      </c>
      <c r="G2414" t="s">
        <v>712</v>
      </c>
      <c r="H2414" t="s">
        <v>713</v>
      </c>
      <c r="J2414" t="str">
        <f>IFERROR(VLOOKUP(I2414,[1]AUTOS!$C:$G,2,0),"")</f>
        <v/>
      </c>
      <c r="K2414" t="str">
        <f>IFERROR(VLOOKUP(I2414,[1]AUTOS!$C:$G,3,0),"")</f>
        <v/>
      </c>
      <c r="L2414" t="str">
        <f>IFERROR(VLOOKUP(I2414,[1]AUTOS!$C:$G,4,0),"")</f>
        <v/>
      </c>
      <c r="M2414" t="s">
        <v>43</v>
      </c>
      <c r="P2414" s="3">
        <v>-14000</v>
      </c>
    </row>
    <row r="2415" spans="1:16" hidden="1" x14ac:dyDescent="0.3">
      <c r="A2415">
        <f t="shared" si="0"/>
        <v>33</v>
      </c>
      <c r="B2415" t="str">
        <f>VLOOKUP($A2415,[1]LISTA!$B:$C,2,0)</f>
        <v>AGOSTO</v>
      </c>
      <c r="C2415" s="1">
        <v>2025</v>
      </c>
      <c r="D2415" s="1" t="str">
        <f>IF($A2415&lt;=[1]RESULTADOS!$D$6,"YTD","YTG")</f>
        <v>YTD</v>
      </c>
      <c r="E2415" t="s">
        <v>711</v>
      </c>
      <c r="F2415" t="s">
        <v>712</v>
      </c>
      <c r="G2415" t="s">
        <v>712</v>
      </c>
      <c r="H2415" t="s">
        <v>713</v>
      </c>
      <c r="J2415" t="str">
        <f>IFERROR(VLOOKUP(I2415,[1]AUTOS!$C:$G,2,0),"")</f>
        <v/>
      </c>
      <c r="K2415" t="str">
        <f>IFERROR(VLOOKUP(I2415,[1]AUTOS!$C:$G,3,0),"")</f>
        <v/>
      </c>
      <c r="L2415" t="str">
        <f>IFERROR(VLOOKUP(I2415,[1]AUTOS!$C:$G,4,0),"")</f>
        <v/>
      </c>
      <c r="M2415" t="s">
        <v>43</v>
      </c>
      <c r="P2415" s="3">
        <v>-14000</v>
      </c>
    </row>
    <row r="2416" spans="1:16" hidden="1" x14ac:dyDescent="0.3">
      <c r="A2416">
        <f t="shared" si="0"/>
        <v>34</v>
      </c>
      <c r="B2416" t="str">
        <f>VLOOKUP($A2416,[1]LISTA!$B:$C,2,0)</f>
        <v>AGOSTO</v>
      </c>
      <c r="C2416" s="1">
        <v>2025</v>
      </c>
      <c r="D2416" s="1" t="str">
        <f>IF($A2416&lt;=[1]RESULTADOS!$D$6,"YTD","YTG")</f>
        <v>YTD</v>
      </c>
      <c r="E2416" t="s">
        <v>711</v>
      </c>
      <c r="F2416" t="s">
        <v>712</v>
      </c>
      <c r="G2416" t="s">
        <v>712</v>
      </c>
      <c r="H2416" t="s">
        <v>713</v>
      </c>
      <c r="J2416" t="str">
        <f>IFERROR(VLOOKUP(I2416,[1]AUTOS!$C:$G,2,0),"")</f>
        <v/>
      </c>
      <c r="K2416" t="str">
        <f>IFERROR(VLOOKUP(I2416,[1]AUTOS!$C:$G,3,0),"")</f>
        <v/>
      </c>
      <c r="L2416" t="str">
        <f>IFERROR(VLOOKUP(I2416,[1]AUTOS!$C:$G,4,0),"")</f>
        <v/>
      </c>
      <c r="M2416" t="s">
        <v>43</v>
      </c>
      <c r="P2416" s="3">
        <v>-14000</v>
      </c>
    </row>
    <row r="2417" spans="1:17" hidden="1" x14ac:dyDescent="0.3">
      <c r="A2417">
        <f t="shared" si="0"/>
        <v>35</v>
      </c>
      <c r="B2417" t="str">
        <f>VLOOKUP($A2417,[1]LISTA!$B:$C,2,0)</f>
        <v>AGOSTO</v>
      </c>
      <c r="C2417" s="1">
        <v>2025</v>
      </c>
      <c r="D2417" s="1" t="str">
        <f>IF($A2417&lt;=[1]RESULTADOS!$D$6,"YTD","YTG")</f>
        <v>YTD</v>
      </c>
      <c r="E2417" t="s">
        <v>711</v>
      </c>
      <c r="F2417" t="s">
        <v>712</v>
      </c>
      <c r="G2417" t="s">
        <v>712</v>
      </c>
      <c r="H2417" t="s">
        <v>713</v>
      </c>
      <c r="J2417" t="str">
        <f>IFERROR(VLOOKUP(I2417,[1]AUTOS!$C:$G,2,0),"")</f>
        <v/>
      </c>
      <c r="K2417" t="str">
        <f>IFERROR(VLOOKUP(I2417,[1]AUTOS!$C:$G,3,0),"")</f>
        <v/>
      </c>
      <c r="L2417" t="str">
        <f>IFERROR(VLOOKUP(I2417,[1]AUTOS!$C:$G,4,0),"")</f>
        <v/>
      </c>
      <c r="M2417" t="s">
        <v>43</v>
      </c>
      <c r="P2417" s="3">
        <v>-14000</v>
      </c>
    </row>
    <row r="2418" spans="1:17" hidden="1" x14ac:dyDescent="0.3">
      <c r="A2418">
        <f t="shared" si="0"/>
        <v>36</v>
      </c>
      <c r="B2418" t="str">
        <f>VLOOKUP($A2418,[1]LISTA!$B:$C,2,0)</f>
        <v>SEPTIEMBRE</v>
      </c>
      <c r="C2418" s="1">
        <v>2025</v>
      </c>
      <c r="D2418" s="1" t="str">
        <f>IF($A2418&lt;=[1]RESULTADOS!$D$6,"YTD","YTG")</f>
        <v>YTD</v>
      </c>
      <c r="E2418" t="s">
        <v>711</v>
      </c>
      <c r="F2418" t="s">
        <v>712</v>
      </c>
      <c r="G2418" t="s">
        <v>712</v>
      </c>
      <c r="H2418" t="s">
        <v>713</v>
      </c>
      <c r="J2418" t="str">
        <f>IFERROR(VLOOKUP(I2418,[1]AUTOS!$C:$G,2,0),"")</f>
        <v/>
      </c>
      <c r="K2418" t="str">
        <f>IFERROR(VLOOKUP(I2418,[1]AUTOS!$C:$G,3,0),"")</f>
        <v/>
      </c>
      <c r="L2418" t="str">
        <f>IFERROR(VLOOKUP(I2418,[1]AUTOS!$C:$G,4,0),"")</f>
        <v/>
      </c>
      <c r="M2418" t="s">
        <v>43</v>
      </c>
      <c r="P2418" s="3">
        <v>-15500</v>
      </c>
    </row>
    <row r="2419" spans="1:17" hidden="1" x14ac:dyDescent="0.3">
      <c r="A2419">
        <f t="shared" si="0"/>
        <v>37</v>
      </c>
      <c r="B2419" t="str">
        <f>VLOOKUP($A2419,[1]LISTA!$B:$C,2,0)</f>
        <v>SEPTIEMBRE</v>
      </c>
      <c r="C2419" s="1">
        <v>2025</v>
      </c>
      <c r="D2419" s="1" t="str">
        <f>IF($A2419&lt;=[1]RESULTADOS!$D$6,"YTD","YTG")</f>
        <v>YTD</v>
      </c>
      <c r="E2419" t="s">
        <v>711</v>
      </c>
      <c r="F2419" t="s">
        <v>712</v>
      </c>
      <c r="G2419" t="s">
        <v>712</v>
      </c>
      <c r="H2419" t="s">
        <v>713</v>
      </c>
      <c r="J2419" t="str">
        <f>IFERROR(VLOOKUP(I2419,[1]AUTOS!$C:$G,2,0),"")</f>
        <v/>
      </c>
      <c r="K2419" t="str">
        <f>IFERROR(VLOOKUP(I2419,[1]AUTOS!$C:$G,3,0),"")</f>
        <v/>
      </c>
      <c r="L2419" t="str">
        <f>IFERROR(VLOOKUP(I2419,[1]AUTOS!$C:$G,4,0),"")</f>
        <v/>
      </c>
      <c r="M2419" t="s">
        <v>43</v>
      </c>
      <c r="P2419" s="3">
        <v>-15500</v>
      </c>
    </row>
    <row r="2420" spans="1:17" hidden="1" x14ac:dyDescent="0.3">
      <c r="A2420">
        <f t="shared" si="0"/>
        <v>38</v>
      </c>
      <c r="B2420" t="str">
        <f>VLOOKUP($A2420,[1]LISTA!$B:$C,2,0)</f>
        <v>SEPTIEMBRE</v>
      </c>
      <c r="C2420" s="1">
        <v>2025</v>
      </c>
      <c r="D2420" s="1" t="str">
        <f>IF($A2420&lt;=[1]RESULTADOS!$D$6,"YTD","YTG")</f>
        <v>YTD</v>
      </c>
      <c r="E2420" t="s">
        <v>711</v>
      </c>
      <c r="F2420" t="s">
        <v>712</v>
      </c>
      <c r="G2420" t="s">
        <v>712</v>
      </c>
      <c r="H2420" t="s">
        <v>713</v>
      </c>
      <c r="J2420" t="str">
        <f>IFERROR(VLOOKUP(I2420,[1]AUTOS!$C:$G,2,0),"")</f>
        <v/>
      </c>
      <c r="K2420" t="str">
        <f>IFERROR(VLOOKUP(I2420,[1]AUTOS!$C:$G,3,0),"")</f>
        <v/>
      </c>
      <c r="L2420" t="str">
        <f>IFERROR(VLOOKUP(I2420,[1]AUTOS!$C:$G,4,0),"")</f>
        <v/>
      </c>
      <c r="M2420" t="s">
        <v>43</v>
      </c>
      <c r="P2420" s="3">
        <v>-15500</v>
      </c>
    </row>
    <row r="2421" spans="1:17" hidden="1" x14ac:dyDescent="0.3">
      <c r="A2421">
        <f t="shared" si="0"/>
        <v>39</v>
      </c>
      <c r="B2421" t="str">
        <f>VLOOKUP($A2421,[1]LISTA!$B:$C,2,0)</f>
        <v>SEPTIEMBRE</v>
      </c>
      <c r="C2421" s="1">
        <v>2025</v>
      </c>
      <c r="D2421" s="1" t="str">
        <f>IF($A2421&lt;=[1]RESULTADOS!$D$6,"YTD","YTG")</f>
        <v>YTD</v>
      </c>
      <c r="E2421" t="s">
        <v>711</v>
      </c>
      <c r="F2421" t="s">
        <v>712</v>
      </c>
      <c r="G2421" t="s">
        <v>712</v>
      </c>
      <c r="H2421" t="s">
        <v>713</v>
      </c>
      <c r="J2421" t="str">
        <f>IFERROR(VLOOKUP(I2421,[1]AUTOS!$C:$G,2,0),"")</f>
        <v/>
      </c>
      <c r="K2421" t="str">
        <f>IFERROR(VLOOKUP(I2421,[1]AUTOS!$C:$G,3,0),"")</f>
        <v/>
      </c>
      <c r="L2421" t="str">
        <f>IFERROR(VLOOKUP(I2421,[1]AUTOS!$C:$G,4,0),"")</f>
        <v/>
      </c>
      <c r="M2421" t="s">
        <v>43</v>
      </c>
      <c r="P2421" s="3">
        <v>-15500</v>
      </c>
    </row>
    <row r="2422" spans="1:17" hidden="1" x14ac:dyDescent="0.3">
      <c r="A2422">
        <f t="shared" si="0"/>
        <v>40</v>
      </c>
      <c r="B2422" t="str">
        <f>VLOOKUP($A2422,[1]LISTA!$B:$C,2,0)</f>
        <v>OCTUBRE</v>
      </c>
      <c r="C2422" s="1">
        <v>2025</v>
      </c>
      <c r="D2422" s="1" t="str">
        <f>IF($A2422&lt;=[1]RESULTADOS!$D$6,"YTD","YTG")</f>
        <v>YTG</v>
      </c>
      <c r="E2422" t="s">
        <v>711</v>
      </c>
      <c r="F2422" t="s">
        <v>712</v>
      </c>
      <c r="G2422" t="s">
        <v>712</v>
      </c>
      <c r="H2422" t="s">
        <v>713</v>
      </c>
      <c r="J2422" t="str">
        <f>IFERROR(VLOOKUP(I2422,[1]AUTOS!$C:$G,2,0),"")</f>
        <v/>
      </c>
      <c r="K2422" t="str">
        <f>IFERROR(VLOOKUP(I2422,[1]AUTOS!$C:$G,3,0),"")</f>
        <v/>
      </c>
      <c r="L2422" t="str">
        <f>IFERROR(VLOOKUP(I2422,[1]AUTOS!$C:$G,4,0),"")</f>
        <v/>
      </c>
      <c r="M2422" t="s">
        <v>43</v>
      </c>
      <c r="P2422" s="3">
        <v>-17750</v>
      </c>
    </row>
    <row r="2423" spans="1:17" hidden="1" x14ac:dyDescent="0.3">
      <c r="A2423">
        <f t="shared" si="0"/>
        <v>41</v>
      </c>
      <c r="B2423" t="str">
        <f>VLOOKUP($A2423,[1]LISTA!$B:$C,2,0)</f>
        <v>OCTUBRE</v>
      </c>
      <c r="C2423" s="1">
        <v>2025</v>
      </c>
      <c r="D2423" s="1" t="str">
        <f>IF($A2423&lt;=[1]RESULTADOS!$D$6,"YTD","YTG")</f>
        <v>YTG</v>
      </c>
      <c r="E2423" t="s">
        <v>711</v>
      </c>
      <c r="F2423" t="s">
        <v>712</v>
      </c>
      <c r="G2423" t="s">
        <v>712</v>
      </c>
      <c r="H2423" t="s">
        <v>713</v>
      </c>
      <c r="J2423" t="str">
        <f>IFERROR(VLOOKUP(I2423,[1]AUTOS!$C:$G,2,0),"")</f>
        <v/>
      </c>
      <c r="K2423" t="str">
        <f>IFERROR(VLOOKUP(I2423,[1]AUTOS!$C:$G,3,0),"")</f>
        <v/>
      </c>
      <c r="L2423" t="str">
        <f>IFERROR(VLOOKUP(I2423,[1]AUTOS!$C:$G,4,0),"")</f>
        <v/>
      </c>
      <c r="M2423" t="s">
        <v>43</v>
      </c>
      <c r="P2423" s="3">
        <v>-17750</v>
      </c>
    </row>
    <row r="2424" spans="1:17" hidden="1" x14ac:dyDescent="0.3">
      <c r="A2424">
        <f t="shared" si="0"/>
        <v>42</v>
      </c>
      <c r="B2424" t="str">
        <f>VLOOKUP($A2424,[1]LISTA!$B:$C,2,0)</f>
        <v>OCTUBRE</v>
      </c>
      <c r="C2424" s="1">
        <v>2025</v>
      </c>
      <c r="D2424" s="1" t="str">
        <f>IF($A2424&lt;=[1]RESULTADOS!$D$6,"YTD","YTG")</f>
        <v>YTG</v>
      </c>
      <c r="E2424" t="s">
        <v>711</v>
      </c>
      <c r="F2424" t="s">
        <v>712</v>
      </c>
      <c r="G2424" t="s">
        <v>712</v>
      </c>
      <c r="H2424" t="s">
        <v>713</v>
      </c>
      <c r="J2424" t="str">
        <f>IFERROR(VLOOKUP(I2424,[1]AUTOS!$C:$G,2,0),"")</f>
        <v/>
      </c>
      <c r="K2424" t="str">
        <f>IFERROR(VLOOKUP(I2424,[1]AUTOS!$C:$G,3,0),"")</f>
        <v/>
      </c>
      <c r="L2424" t="str">
        <f>IFERROR(VLOOKUP(I2424,[1]AUTOS!$C:$G,4,0),"")</f>
        <v/>
      </c>
      <c r="M2424" t="s">
        <v>43</v>
      </c>
      <c r="P2424" s="3">
        <v>-17750</v>
      </c>
    </row>
    <row r="2425" spans="1:17" hidden="1" x14ac:dyDescent="0.3">
      <c r="A2425">
        <f t="shared" si="0"/>
        <v>43</v>
      </c>
      <c r="B2425" t="str">
        <f>VLOOKUP($A2425,[1]LISTA!$B:$C,2,0)</f>
        <v>OCTUBRE</v>
      </c>
      <c r="C2425" s="1">
        <v>2025</v>
      </c>
      <c r="D2425" s="1" t="str">
        <f>IF($A2425&lt;=[1]RESULTADOS!$D$6,"YTD","YTG")</f>
        <v>YTG</v>
      </c>
      <c r="E2425" t="s">
        <v>711</v>
      </c>
      <c r="F2425" t="s">
        <v>712</v>
      </c>
      <c r="G2425" t="s">
        <v>712</v>
      </c>
      <c r="H2425" t="s">
        <v>713</v>
      </c>
      <c r="J2425" t="str">
        <f>IFERROR(VLOOKUP(I2425,[1]AUTOS!$C:$G,2,0),"")</f>
        <v/>
      </c>
      <c r="K2425" t="str">
        <f>IFERROR(VLOOKUP(I2425,[1]AUTOS!$C:$G,3,0),"")</f>
        <v/>
      </c>
      <c r="L2425" t="str">
        <f>IFERROR(VLOOKUP(I2425,[1]AUTOS!$C:$G,4,0),"")</f>
        <v/>
      </c>
      <c r="M2425" t="s">
        <v>43</v>
      </c>
      <c r="P2425" s="3">
        <v>-17750</v>
      </c>
    </row>
    <row r="2426" spans="1:17" hidden="1" x14ac:dyDescent="0.3">
      <c r="A2426">
        <f t="shared" si="0"/>
        <v>44</v>
      </c>
      <c r="B2426" t="str">
        <f>VLOOKUP($A2426,[1]LISTA!$B:$C,2,0)</f>
        <v>OCTUBRE</v>
      </c>
      <c r="C2426" s="1">
        <v>2025</v>
      </c>
      <c r="D2426" s="1" t="str">
        <f>IF($A2426&lt;=[1]RESULTADOS!$D$6,"YTD","YTG")</f>
        <v>YTG</v>
      </c>
      <c r="E2426" t="s">
        <v>711</v>
      </c>
      <c r="F2426" t="s">
        <v>712</v>
      </c>
      <c r="G2426" t="s">
        <v>712</v>
      </c>
      <c r="H2426" t="s">
        <v>713</v>
      </c>
      <c r="J2426" t="str">
        <f>IFERROR(VLOOKUP(I2426,[1]AUTOS!$C:$G,2,0),"")</f>
        <v/>
      </c>
      <c r="K2426" t="str">
        <f>IFERROR(VLOOKUP(I2426,[1]AUTOS!$C:$G,3,0),"")</f>
        <v/>
      </c>
      <c r="L2426" t="str">
        <f>IFERROR(VLOOKUP(I2426,[1]AUTOS!$C:$G,4,0),"")</f>
        <v/>
      </c>
      <c r="M2426" t="s">
        <v>43</v>
      </c>
      <c r="P2426" s="3">
        <v>-17750</v>
      </c>
    </row>
    <row r="2427" spans="1:17" hidden="1" x14ac:dyDescent="0.3">
      <c r="A2427">
        <v>43</v>
      </c>
      <c r="B2427" t="str">
        <f>VLOOKUP($A2427,[1]LISTA!$B:$C,2,0)</f>
        <v>OCTUBRE</v>
      </c>
      <c r="C2427" s="1">
        <v>2025</v>
      </c>
      <c r="D2427" s="1" t="str">
        <f>IF($A2427&lt;=[1]RESULTADOS!$D$6,"YTD","YTG")</f>
        <v>YTG</v>
      </c>
      <c r="E2427" t="s">
        <v>497</v>
      </c>
      <c r="F2427" t="s">
        <v>667</v>
      </c>
      <c r="G2427" t="s">
        <v>667</v>
      </c>
      <c r="H2427" t="s">
        <v>668</v>
      </c>
      <c r="I2427" t="s">
        <v>560</v>
      </c>
      <c r="J2427" t="str">
        <f>IFERROR(VLOOKUP(I2427,[1]AUTOS!$C:$G,2,0),"")</f>
        <v>AVEO</v>
      </c>
      <c r="K2427">
        <f>IFERROR(VLOOKUP(I2427,[1]AUTOS!$C:$G,3,0),"")</f>
        <v>2023</v>
      </c>
      <c r="L2427" t="str">
        <f>IFERROR(VLOOKUP(I2427,[1]AUTOS!$C:$G,4,0),"")</f>
        <v>VINO</v>
      </c>
      <c r="M2427" t="s">
        <v>43</v>
      </c>
      <c r="N2427" s="3">
        <v>4192.7599999999993</v>
      </c>
      <c r="O2427" s="3">
        <v>2500</v>
      </c>
      <c r="P2427" s="3">
        <v>2500</v>
      </c>
      <c r="Q2427" s="3">
        <v>0</v>
      </c>
    </row>
    <row r="2428" spans="1:17" hidden="1" x14ac:dyDescent="0.3">
      <c r="A2428">
        <v>43</v>
      </c>
      <c r="B2428" t="str">
        <f>VLOOKUP($A2428,[1]LISTA!$B:$C,2,0)</f>
        <v>OCTUBRE</v>
      </c>
      <c r="C2428" s="1">
        <v>2025</v>
      </c>
      <c r="D2428" s="1" t="str">
        <f>IF($A2428&lt;=[1]RESULTADOS!$D$6,"YTD","YTG")</f>
        <v>YTG</v>
      </c>
      <c r="E2428" t="s">
        <v>492</v>
      </c>
      <c r="F2428" t="s">
        <v>667</v>
      </c>
      <c r="G2428" t="s">
        <v>667</v>
      </c>
      <c r="H2428" t="s">
        <v>668</v>
      </c>
      <c r="I2428" t="s">
        <v>144</v>
      </c>
      <c r="J2428" t="str">
        <f>IFERROR(VLOOKUP(I2428,[1]AUTOS!$C:$G,2,0),"")</f>
        <v>VERSA</v>
      </c>
      <c r="K2428">
        <f>IFERROR(VLOOKUP(I2428,[1]AUTOS!$C:$G,3,0),"")</f>
        <v>2020</v>
      </c>
      <c r="L2428" t="str">
        <f>IFERROR(VLOOKUP(I2428,[1]AUTOS!$C:$G,4,0),"")</f>
        <v>ROJO</v>
      </c>
      <c r="M2428" t="s">
        <v>43</v>
      </c>
      <c r="N2428" s="3">
        <v>0</v>
      </c>
      <c r="O2428" s="3">
        <v>0</v>
      </c>
      <c r="P2428" s="3">
        <v>2500</v>
      </c>
      <c r="Q2428" s="3">
        <v>0</v>
      </c>
    </row>
    <row r="2429" spans="1:17" hidden="1" x14ac:dyDescent="0.3">
      <c r="A2429">
        <v>43</v>
      </c>
      <c r="B2429" t="str">
        <f>VLOOKUP($A2429,[1]LISTA!$B:$C,2,0)</f>
        <v>OCTUBRE</v>
      </c>
      <c r="C2429" s="1">
        <v>2025</v>
      </c>
      <c r="D2429" s="1" t="str">
        <f>IF($A2429&lt;=[1]RESULTADOS!$D$6,"YTD","YTG")</f>
        <v>YTG</v>
      </c>
      <c r="E2429" t="s">
        <v>705</v>
      </c>
      <c r="F2429" t="s">
        <v>667</v>
      </c>
      <c r="G2429" t="s">
        <v>667</v>
      </c>
      <c r="H2429" t="s">
        <v>668</v>
      </c>
      <c r="I2429" t="s">
        <v>46</v>
      </c>
      <c r="J2429" t="str">
        <f>IFERROR(VLOOKUP(I2429,[1]AUTOS!$C:$G,2,0),"")</f>
        <v>MARCH</v>
      </c>
      <c r="K2429">
        <f>IFERROR(VLOOKUP(I2429,[1]AUTOS!$C:$G,3,0),"")</f>
        <v>2020</v>
      </c>
      <c r="L2429" t="str">
        <f>IFERROR(VLOOKUP(I2429,[1]AUTOS!$C:$G,4,0),"")</f>
        <v>TURQ</v>
      </c>
      <c r="M2429" t="s">
        <v>43</v>
      </c>
      <c r="N2429" s="3">
        <v>3902.93</v>
      </c>
      <c r="O2429" s="3">
        <v>0</v>
      </c>
      <c r="P2429" s="3">
        <v>0</v>
      </c>
      <c r="Q2429" s="3">
        <v>0</v>
      </c>
    </row>
    <row r="2430" spans="1:17" hidden="1" x14ac:dyDescent="0.3">
      <c r="A2430">
        <v>43</v>
      </c>
      <c r="B2430" t="str">
        <f>VLOOKUP($A2430,[1]LISTA!$B:$C,2,0)</f>
        <v>OCTUBRE</v>
      </c>
      <c r="C2430" s="1">
        <v>2025</v>
      </c>
      <c r="D2430" s="1" t="str">
        <f>IF($A2430&lt;=[1]RESULTADOS!$D$6,"YTD","YTG")</f>
        <v>YTG</v>
      </c>
      <c r="E2430" t="s">
        <v>691</v>
      </c>
      <c r="F2430" t="s">
        <v>667</v>
      </c>
      <c r="G2430" t="s">
        <v>667</v>
      </c>
      <c r="H2430" t="s">
        <v>668</v>
      </c>
      <c r="I2430" t="s">
        <v>139</v>
      </c>
      <c r="J2430" t="str">
        <f>IFERROR(VLOOKUP(I2430,[1]AUTOS!$C:$G,2,0),"")</f>
        <v>SWIFT</v>
      </c>
      <c r="K2430">
        <f>IFERROR(VLOOKUP(I2430,[1]AUTOS!$C:$G,3,0),"")</f>
        <v>2017</v>
      </c>
      <c r="L2430" t="str">
        <f>IFERROR(VLOOKUP(I2430,[1]AUTOS!$C:$G,4,0),"")</f>
        <v>ROJO</v>
      </c>
      <c r="M2430" t="s">
        <v>140</v>
      </c>
      <c r="N2430" s="3">
        <v>3614.92</v>
      </c>
      <c r="O2430" s="3">
        <v>2500</v>
      </c>
      <c r="P2430" s="3">
        <v>2500</v>
      </c>
      <c r="Q2430" s="3">
        <v>0</v>
      </c>
    </row>
    <row r="2431" spans="1:17" hidden="1" x14ac:dyDescent="0.3">
      <c r="A2431">
        <v>43</v>
      </c>
      <c r="B2431" t="str">
        <f>VLOOKUP($A2431,[1]LISTA!$B:$C,2,0)</f>
        <v>OCTUBRE</v>
      </c>
      <c r="C2431" s="1">
        <v>2025</v>
      </c>
      <c r="D2431" s="1" t="str">
        <f>IF($A2431&lt;=[1]RESULTADOS!$D$6,"YTD","YTG")</f>
        <v>YTG</v>
      </c>
      <c r="E2431" t="s">
        <v>486</v>
      </c>
      <c r="F2431" t="s">
        <v>667</v>
      </c>
      <c r="G2431" t="s">
        <v>667</v>
      </c>
      <c r="H2431" t="s">
        <v>668</v>
      </c>
      <c r="I2431" t="s">
        <v>34</v>
      </c>
      <c r="J2431" t="str">
        <f>IFERROR(VLOOKUP(I2431,[1]AUTOS!$C:$G,2,0),"")</f>
        <v>AVEO</v>
      </c>
      <c r="K2431">
        <f>IFERROR(VLOOKUP(I2431,[1]AUTOS!$C:$G,3,0),"")</f>
        <v>2018</v>
      </c>
      <c r="L2431" t="str">
        <f>IFERROR(VLOOKUP(I2431,[1]AUTOS!$C:$G,4,0),"")</f>
        <v>ROJO</v>
      </c>
      <c r="M2431" t="s">
        <v>35</v>
      </c>
      <c r="N2431" s="3">
        <v>5459.8099999999995</v>
      </c>
      <c r="O2431" s="3">
        <v>2500</v>
      </c>
      <c r="P2431" s="3">
        <v>2500</v>
      </c>
      <c r="Q2431" s="3">
        <v>0</v>
      </c>
    </row>
    <row r="2432" spans="1:17" hidden="1" x14ac:dyDescent="0.3">
      <c r="A2432">
        <v>43</v>
      </c>
      <c r="B2432" t="str">
        <f>VLOOKUP($A2432,[1]LISTA!$B:$C,2,0)</f>
        <v>OCTUBRE</v>
      </c>
      <c r="C2432" s="1">
        <v>2025</v>
      </c>
      <c r="D2432" s="1" t="str">
        <f>IF($A2432&lt;=[1]RESULTADOS!$D$6,"YTD","YTG")</f>
        <v>YTG</v>
      </c>
      <c r="E2432" t="s">
        <v>399</v>
      </c>
      <c r="F2432" t="s">
        <v>667</v>
      </c>
      <c r="G2432" t="s">
        <v>667</v>
      </c>
      <c r="H2432" t="s">
        <v>668</v>
      </c>
      <c r="I2432" t="s">
        <v>162</v>
      </c>
      <c r="J2432" t="str">
        <f>IFERROR(VLOOKUP(I2432,[1]AUTOS!$C:$G,2,0),"")</f>
        <v>HYUNDAI</v>
      </c>
      <c r="K2432">
        <f>IFERROR(VLOOKUP(I2432,[1]AUTOS!$C:$G,3,0),"")</f>
        <v>2022</v>
      </c>
      <c r="L2432" t="str">
        <f>IFERROR(VLOOKUP(I2432,[1]AUTOS!$C:$G,4,0),"")</f>
        <v>PLATA</v>
      </c>
      <c r="M2432" t="s">
        <v>43</v>
      </c>
      <c r="N2432" s="3">
        <v>8902.1299999999992</v>
      </c>
      <c r="O2432" s="3">
        <v>2500</v>
      </c>
      <c r="P2432" s="3">
        <v>3500</v>
      </c>
      <c r="Q2432" s="3">
        <v>0</v>
      </c>
    </row>
    <row r="2433" spans="1:17" hidden="1" x14ac:dyDescent="0.3">
      <c r="A2433">
        <v>43</v>
      </c>
      <c r="B2433" t="str">
        <f>VLOOKUP($A2433,[1]LISTA!$B:$C,2,0)</f>
        <v>OCTUBRE</v>
      </c>
      <c r="C2433" s="1">
        <v>2025</v>
      </c>
      <c r="D2433" s="1" t="str">
        <f>IF($A2433&lt;=[1]RESULTADOS!$D$6,"YTD","YTG")</f>
        <v>YTG</v>
      </c>
      <c r="E2433" t="s">
        <v>574</v>
      </c>
      <c r="F2433" t="s">
        <v>667</v>
      </c>
      <c r="G2433" t="s">
        <v>667</v>
      </c>
      <c r="H2433" t="s">
        <v>668</v>
      </c>
      <c r="I2433" t="s">
        <v>333</v>
      </c>
      <c r="J2433" t="str">
        <f>IFERROR(VLOOKUP(I2433,[1]AUTOS!$C:$G,2,0),"")</f>
        <v>BEAT</v>
      </c>
      <c r="K2433">
        <f>IFERROR(VLOOKUP(I2433,[1]AUTOS!$C:$G,3,0),"")</f>
        <v>2019</v>
      </c>
      <c r="L2433" t="str">
        <f>IFERROR(VLOOKUP(I2433,[1]AUTOS!$C:$G,4,0),"")</f>
        <v>OCRE</v>
      </c>
      <c r="M2433" t="s">
        <v>43</v>
      </c>
      <c r="N2433" s="3">
        <v>0</v>
      </c>
      <c r="O2433" s="3">
        <v>2500</v>
      </c>
      <c r="P2433" s="3">
        <v>3000</v>
      </c>
      <c r="Q2433" s="3">
        <v>500</v>
      </c>
    </row>
    <row r="2434" spans="1:17" hidden="1" x14ac:dyDescent="0.3">
      <c r="A2434">
        <v>43</v>
      </c>
      <c r="B2434" t="str">
        <f>VLOOKUP($A2434,[1]LISTA!$B:$C,2,0)</f>
        <v>OCTUBRE</v>
      </c>
      <c r="C2434" s="1">
        <v>2025</v>
      </c>
      <c r="D2434" s="1" t="str">
        <f>IF($A2434&lt;=[1]RESULTADOS!$D$6,"YTD","YTG")</f>
        <v>YTG</v>
      </c>
      <c r="E2434" t="s">
        <v>478</v>
      </c>
      <c r="F2434" t="s">
        <v>667</v>
      </c>
      <c r="G2434" t="s">
        <v>667</v>
      </c>
      <c r="H2434" t="s">
        <v>668</v>
      </c>
      <c r="I2434" t="s">
        <v>102</v>
      </c>
      <c r="J2434" t="str">
        <f>IFERROR(VLOOKUP(I2434,[1]AUTOS!$C:$G,2,0),"")</f>
        <v>AVEO</v>
      </c>
      <c r="K2434">
        <f>IFERROR(VLOOKUP(I2434,[1]AUTOS!$C:$G,3,0),"")</f>
        <v>2022</v>
      </c>
      <c r="L2434" t="str">
        <f>IFERROR(VLOOKUP(I2434,[1]AUTOS!$C:$G,4,0),"")</f>
        <v>AZUL</v>
      </c>
      <c r="M2434" t="s">
        <v>43</v>
      </c>
      <c r="N2434" s="3">
        <v>535.94000000000051</v>
      </c>
      <c r="O2434" s="3">
        <v>2500</v>
      </c>
      <c r="P2434" s="3">
        <v>3485.9400000000005</v>
      </c>
      <c r="Q2434" s="3">
        <v>0</v>
      </c>
    </row>
    <row r="2435" spans="1:17" hidden="1" x14ac:dyDescent="0.3">
      <c r="A2435">
        <v>43</v>
      </c>
      <c r="B2435" t="str">
        <f>VLOOKUP($A2435,[1]LISTA!$B:$C,2,0)</f>
        <v>OCTUBRE</v>
      </c>
      <c r="C2435" s="1">
        <v>2025</v>
      </c>
      <c r="D2435" s="1" t="str">
        <f>IF($A2435&lt;=[1]RESULTADOS!$D$6,"YTD","YTG")</f>
        <v>YTG</v>
      </c>
      <c r="E2435" t="s">
        <v>436</v>
      </c>
      <c r="F2435" t="s">
        <v>667</v>
      </c>
      <c r="G2435" t="s">
        <v>667</v>
      </c>
      <c r="H2435" t="s">
        <v>668</v>
      </c>
      <c r="I2435" t="s">
        <v>112</v>
      </c>
      <c r="J2435" t="str">
        <f>IFERROR(VLOOKUP(I2435,[1]AUTOS!$C:$G,2,0),"")</f>
        <v>KIA RIO</v>
      </c>
      <c r="K2435">
        <f>IFERROR(VLOOKUP(I2435,[1]AUTOS!$C:$G,3,0),"")</f>
        <v>2020</v>
      </c>
      <c r="L2435" t="str">
        <f>IFERROR(VLOOKUP(I2435,[1]AUTOS!$C:$G,4,0),"")</f>
        <v>ROJO</v>
      </c>
      <c r="M2435" t="s">
        <v>43</v>
      </c>
      <c r="N2435" s="3">
        <v>2235.66</v>
      </c>
      <c r="O2435" s="3">
        <v>2500</v>
      </c>
      <c r="P2435" s="3">
        <v>2235.66</v>
      </c>
      <c r="Q2435" s="3">
        <v>0</v>
      </c>
    </row>
    <row r="2436" spans="1:17" hidden="1" x14ac:dyDescent="0.3">
      <c r="A2436">
        <v>43</v>
      </c>
      <c r="B2436" t="str">
        <f>VLOOKUP($A2436,[1]LISTA!$B:$C,2,0)</f>
        <v>OCTUBRE</v>
      </c>
      <c r="C2436" s="1">
        <v>2025</v>
      </c>
      <c r="D2436" s="1" t="str">
        <f>IF($A2436&lt;=[1]RESULTADOS!$D$6,"YTD","YTG")</f>
        <v>YTG</v>
      </c>
      <c r="E2436" t="s">
        <v>642</v>
      </c>
      <c r="F2436" t="s">
        <v>667</v>
      </c>
      <c r="G2436" t="s">
        <v>667</v>
      </c>
      <c r="H2436" t="s">
        <v>668</v>
      </c>
      <c r="I2436" t="s">
        <v>370</v>
      </c>
      <c r="J2436" t="str">
        <f>IFERROR(VLOOKUP(I2436,[1]AUTOS!$C:$G,2,0),"")</f>
        <v>KIA RIO</v>
      </c>
      <c r="K2436">
        <f>IFERROR(VLOOKUP(I2436,[1]AUTOS!$C:$G,3,0),"")</f>
        <v>2020</v>
      </c>
      <c r="L2436" t="str">
        <f>IFERROR(VLOOKUP(I2436,[1]AUTOS!$C:$G,4,0),"")</f>
        <v>AZUL</v>
      </c>
      <c r="M2436" t="s">
        <v>215</v>
      </c>
      <c r="N2436" s="3">
        <v>2330.3999999999996</v>
      </c>
      <c r="O2436" s="3">
        <v>2600</v>
      </c>
      <c r="P2436" s="3">
        <v>3100.3999999999996</v>
      </c>
      <c r="Q2436" s="3">
        <v>500</v>
      </c>
    </row>
    <row r="2437" spans="1:17" hidden="1" x14ac:dyDescent="0.3">
      <c r="A2437">
        <v>43</v>
      </c>
      <c r="B2437" t="str">
        <f>VLOOKUP($A2437,[1]LISTA!$B:$C,2,0)</f>
        <v>OCTUBRE</v>
      </c>
      <c r="C2437" s="1">
        <v>2025</v>
      </c>
      <c r="D2437" s="1" t="str">
        <f>IF($A2437&lt;=[1]RESULTADOS!$D$6,"YTD","YTG")</f>
        <v>YTG</v>
      </c>
      <c r="E2437" t="s">
        <v>706</v>
      </c>
      <c r="F2437" t="s">
        <v>667</v>
      </c>
      <c r="G2437" t="s">
        <v>667</v>
      </c>
      <c r="H2437" t="s">
        <v>668</v>
      </c>
      <c r="I2437" t="s">
        <v>131</v>
      </c>
      <c r="J2437" t="str">
        <f>IFERROR(VLOOKUP(I2437,[1]AUTOS!$C:$G,2,0),"")</f>
        <v>AVEO</v>
      </c>
      <c r="K2437">
        <f>IFERROR(VLOOKUP(I2437,[1]AUTOS!$C:$G,3,0),"")</f>
        <v>2024</v>
      </c>
      <c r="L2437" t="str">
        <f>IFERROR(VLOOKUP(I2437,[1]AUTOS!$C:$G,4,0),"")</f>
        <v>GRIS</v>
      </c>
      <c r="M2437" t="s">
        <v>43</v>
      </c>
      <c r="N2437" s="3">
        <v>1867.5299999999997</v>
      </c>
      <c r="O2437" s="3">
        <v>2500</v>
      </c>
      <c r="P2437" s="3">
        <v>2999.5299999999997</v>
      </c>
      <c r="Q2437" s="3">
        <v>500</v>
      </c>
    </row>
    <row r="2438" spans="1:17" hidden="1" x14ac:dyDescent="0.3">
      <c r="A2438">
        <v>43</v>
      </c>
      <c r="B2438" t="str">
        <f>VLOOKUP($A2438,[1]LISTA!$B:$C,2,0)</f>
        <v>OCTUBRE</v>
      </c>
      <c r="C2438" s="1">
        <v>2025</v>
      </c>
      <c r="D2438" s="1" t="str">
        <f>IF($A2438&lt;=[1]RESULTADOS!$D$6,"YTD","YTG")</f>
        <v>YTG</v>
      </c>
      <c r="E2438" t="s">
        <v>518</v>
      </c>
      <c r="F2438" t="s">
        <v>667</v>
      </c>
      <c r="G2438" t="s">
        <v>667</v>
      </c>
      <c r="H2438" t="s">
        <v>668</v>
      </c>
      <c r="I2438" t="s">
        <v>384</v>
      </c>
      <c r="J2438" t="str">
        <f>IFERROR(VLOOKUP(I2438,[1]AUTOS!$C:$G,2,0),"")</f>
        <v>MARCH</v>
      </c>
      <c r="K2438">
        <f>IFERROR(VLOOKUP(I2438,[1]AUTOS!$C:$G,3,0),"")</f>
        <v>2022</v>
      </c>
      <c r="L2438" t="str">
        <f>IFERROR(VLOOKUP(I2438,[1]AUTOS!$C:$G,4,0),"")</f>
        <v>BLANCO</v>
      </c>
      <c r="M2438" t="s">
        <v>215</v>
      </c>
      <c r="N2438" s="3">
        <v>0</v>
      </c>
      <c r="O2438" s="3">
        <v>2500</v>
      </c>
      <c r="P2438" s="3">
        <v>3000</v>
      </c>
      <c r="Q2438" s="3">
        <v>500</v>
      </c>
    </row>
    <row r="2439" spans="1:17" hidden="1" x14ac:dyDescent="0.3">
      <c r="A2439">
        <v>43</v>
      </c>
      <c r="B2439" t="str">
        <f>VLOOKUP($A2439,[1]LISTA!$B:$C,2,0)</f>
        <v>OCTUBRE</v>
      </c>
      <c r="C2439" s="1">
        <v>2025</v>
      </c>
      <c r="D2439" s="1" t="str">
        <f>IF($A2439&lt;=[1]RESULTADOS!$D$6,"YTD","YTG")</f>
        <v>YTG</v>
      </c>
      <c r="E2439" t="s">
        <v>456</v>
      </c>
      <c r="F2439" t="s">
        <v>667</v>
      </c>
      <c r="G2439" t="s">
        <v>667</v>
      </c>
      <c r="H2439" t="s">
        <v>668</v>
      </c>
      <c r="I2439" t="s">
        <v>146</v>
      </c>
      <c r="J2439" t="str">
        <f>IFERROR(VLOOKUP(I2439,[1]AUTOS!$C:$G,2,0),"")</f>
        <v>KIA RIO</v>
      </c>
      <c r="K2439">
        <f>IFERROR(VLOOKUP(I2439,[1]AUTOS!$C:$G,3,0),"")</f>
        <v>2023</v>
      </c>
      <c r="L2439" t="str">
        <f>IFERROR(VLOOKUP(I2439,[1]AUTOS!$C:$G,4,0),"")</f>
        <v>ROJO</v>
      </c>
      <c r="M2439" t="s">
        <v>35</v>
      </c>
      <c r="N2439" s="3">
        <v>5151.28</v>
      </c>
      <c r="O2439" s="3">
        <v>2500</v>
      </c>
      <c r="P2439" s="3">
        <v>3200</v>
      </c>
      <c r="Q2439" s="3">
        <v>0</v>
      </c>
    </row>
    <row r="2440" spans="1:17" hidden="1" x14ac:dyDescent="0.3">
      <c r="A2440">
        <v>43</v>
      </c>
      <c r="B2440" t="str">
        <f>VLOOKUP($A2440,[1]LISTA!$B:$C,2,0)</f>
        <v>OCTUBRE</v>
      </c>
      <c r="C2440" s="1">
        <v>2025</v>
      </c>
      <c r="D2440" s="1" t="str">
        <f>IF($A2440&lt;=[1]RESULTADOS!$D$6,"YTD","YTG")</f>
        <v>YTG</v>
      </c>
      <c r="E2440" t="s">
        <v>411</v>
      </c>
      <c r="F2440" t="s">
        <v>667</v>
      </c>
      <c r="G2440" t="s">
        <v>667</v>
      </c>
      <c r="H2440" t="s">
        <v>668</v>
      </c>
      <c r="I2440" t="s">
        <v>178</v>
      </c>
      <c r="J2440" t="str">
        <f>IFERROR(VLOOKUP(I2440,[1]AUTOS!$C:$G,2,0),"")</f>
        <v>VERSA</v>
      </c>
      <c r="K2440">
        <f>IFERROR(VLOOKUP(I2440,[1]AUTOS!$C:$G,3,0),"")</f>
        <v>2020</v>
      </c>
      <c r="L2440" t="str">
        <f>IFERROR(VLOOKUP(I2440,[1]AUTOS!$C:$G,4,0),"")</f>
        <v>BLANCO</v>
      </c>
      <c r="M2440" t="s">
        <v>43</v>
      </c>
      <c r="N2440" s="3">
        <v>326</v>
      </c>
      <c r="O2440" s="3">
        <v>893</v>
      </c>
      <c r="P2440" s="3">
        <v>326</v>
      </c>
      <c r="Q2440" s="3">
        <v>-2005</v>
      </c>
    </row>
    <row r="2441" spans="1:17" hidden="1" x14ac:dyDescent="0.3">
      <c r="A2441">
        <v>43</v>
      </c>
      <c r="B2441" t="str">
        <f>VLOOKUP($A2441,[1]LISTA!$B:$C,2,0)</f>
        <v>OCTUBRE</v>
      </c>
      <c r="C2441" s="1">
        <v>2025</v>
      </c>
      <c r="D2441" s="1" t="str">
        <f>IF($A2441&lt;=[1]RESULTADOS!$D$6,"YTD","YTG")</f>
        <v>YTG</v>
      </c>
      <c r="E2441" t="s">
        <v>703</v>
      </c>
      <c r="F2441" t="s">
        <v>667</v>
      </c>
      <c r="G2441" t="s">
        <v>667</v>
      </c>
      <c r="H2441" t="s">
        <v>668</v>
      </c>
      <c r="I2441" t="s">
        <v>182</v>
      </c>
      <c r="J2441" t="str">
        <f>IFERROR(VLOOKUP(I2441,[1]AUTOS!$C:$G,2,0),"")</f>
        <v>AVEO</v>
      </c>
      <c r="K2441">
        <f>IFERROR(VLOOKUP(I2441,[1]AUTOS!$C:$G,3,0),"")</f>
        <v>2020</v>
      </c>
      <c r="L2441" t="str">
        <f>IFERROR(VLOOKUP(I2441,[1]AUTOS!$C:$G,4,0),"")</f>
        <v>AZUL</v>
      </c>
      <c r="M2441" t="s">
        <v>43</v>
      </c>
      <c r="N2441" s="3">
        <v>3771.8700000000008</v>
      </c>
      <c r="O2441" s="3">
        <v>2500</v>
      </c>
      <c r="P2441" s="3">
        <v>2500</v>
      </c>
      <c r="Q2441" s="3">
        <v>0</v>
      </c>
    </row>
    <row r="2442" spans="1:17" hidden="1" x14ac:dyDescent="0.3">
      <c r="A2442">
        <v>43</v>
      </c>
      <c r="B2442" t="str">
        <f>VLOOKUP($A2442,[1]LISTA!$B:$C,2,0)</f>
        <v>OCTUBRE</v>
      </c>
      <c r="C2442" s="1">
        <v>2025</v>
      </c>
      <c r="D2442" s="1" t="str">
        <f>IF($A2442&lt;=[1]RESULTADOS!$D$6,"YTD","YTG")</f>
        <v>YTG</v>
      </c>
      <c r="E2442" t="s">
        <v>714</v>
      </c>
      <c r="F2442" t="s">
        <v>667</v>
      </c>
      <c r="G2442" t="s">
        <v>667</v>
      </c>
      <c r="H2442" t="s">
        <v>668</v>
      </c>
      <c r="I2442" t="s">
        <v>510</v>
      </c>
      <c r="J2442" t="str">
        <f>IFERROR(VLOOKUP(I2442,[1]AUTOS!$C:$G,2,0),"")</f>
        <v>AVEO</v>
      </c>
      <c r="K2442">
        <f>IFERROR(VLOOKUP(I2442,[1]AUTOS!$C:$G,3,0),"")</f>
        <v>2023</v>
      </c>
      <c r="L2442" t="str">
        <f>IFERROR(VLOOKUP(I2442,[1]AUTOS!$C:$G,4,0),"")</f>
        <v>GRIS</v>
      </c>
      <c r="M2442" t="s">
        <v>43</v>
      </c>
      <c r="N2442" s="3">
        <v>2674.84</v>
      </c>
      <c r="O2442" s="3">
        <v>2500</v>
      </c>
      <c r="P2442" s="3">
        <v>2674.84</v>
      </c>
      <c r="Q2442" s="3">
        <v>0</v>
      </c>
    </row>
    <row r="2443" spans="1:17" hidden="1" x14ac:dyDescent="0.3">
      <c r="A2443">
        <v>43</v>
      </c>
      <c r="B2443" t="str">
        <f>VLOOKUP($A2443,[1]LISTA!$B:$C,2,0)</f>
        <v>OCTUBRE</v>
      </c>
      <c r="C2443" s="1">
        <v>2025</v>
      </c>
      <c r="D2443" s="1" t="str">
        <f>IF($A2443&lt;=[1]RESULTADOS!$D$6,"YTD","YTG")</f>
        <v>YTG</v>
      </c>
      <c r="E2443" t="s">
        <v>622</v>
      </c>
      <c r="F2443" t="s">
        <v>667</v>
      </c>
      <c r="G2443" t="s">
        <v>667</v>
      </c>
      <c r="H2443" t="s">
        <v>668</v>
      </c>
      <c r="I2443" t="s">
        <v>76</v>
      </c>
      <c r="J2443" t="str">
        <f>IFERROR(VLOOKUP(I2443,[1]AUTOS!$C:$G,2,0),"")</f>
        <v>AVEO</v>
      </c>
      <c r="K2443">
        <f>IFERROR(VLOOKUP(I2443,[1]AUTOS!$C:$G,3,0),"")</f>
        <v>2018</v>
      </c>
      <c r="L2443" t="str">
        <f>IFERROR(VLOOKUP(I2443,[1]AUTOS!$C:$G,4,0),"")</f>
        <v>GRIS</v>
      </c>
      <c r="M2443" t="s">
        <v>43</v>
      </c>
      <c r="N2443" s="3">
        <v>3617.16</v>
      </c>
      <c r="O2443" s="3">
        <v>2500</v>
      </c>
      <c r="P2443" s="3">
        <v>3556</v>
      </c>
      <c r="Q2443" s="3">
        <v>356</v>
      </c>
    </row>
    <row r="2444" spans="1:17" hidden="1" x14ac:dyDescent="0.3">
      <c r="A2444">
        <v>43</v>
      </c>
      <c r="B2444" t="str">
        <f>VLOOKUP($A2444,[1]LISTA!$B:$C,2,0)</f>
        <v>OCTUBRE</v>
      </c>
      <c r="C2444" s="1">
        <v>2025</v>
      </c>
      <c r="D2444" s="1" t="str">
        <f>IF($A2444&lt;=[1]RESULTADOS!$D$6,"YTD","YTG")</f>
        <v>YTG</v>
      </c>
      <c r="E2444" t="s">
        <v>707</v>
      </c>
      <c r="F2444" t="s">
        <v>667</v>
      </c>
      <c r="G2444" t="s">
        <v>667</v>
      </c>
      <c r="H2444" t="s">
        <v>668</v>
      </c>
      <c r="I2444" t="s">
        <v>383</v>
      </c>
      <c r="J2444" t="str">
        <f>IFERROR(VLOOKUP(I2444,[1]AUTOS!$C:$G,2,0),"")</f>
        <v>VENTO</v>
      </c>
      <c r="K2444">
        <f>IFERROR(VLOOKUP(I2444,[1]AUTOS!$C:$G,3,0),"")</f>
        <v>2020</v>
      </c>
      <c r="L2444" t="str">
        <f>IFERROR(VLOOKUP(I2444,[1]AUTOS!$C:$G,4,0),"")</f>
        <v>GRIS</v>
      </c>
      <c r="M2444" t="s">
        <v>215</v>
      </c>
      <c r="N2444" s="3">
        <v>1703.07</v>
      </c>
      <c r="O2444" s="3">
        <v>2500</v>
      </c>
      <c r="P2444" s="3">
        <v>3000.0699999999997</v>
      </c>
      <c r="Q2444" s="3">
        <v>500</v>
      </c>
    </row>
    <row r="2445" spans="1:17" x14ac:dyDescent="0.3">
      <c r="A2445">
        <v>43</v>
      </c>
      <c r="B2445" t="str">
        <f>VLOOKUP($A2445,[1]LISTA!$B:$C,2,0)</f>
        <v>OCTUBRE</v>
      </c>
      <c r="C2445" s="1">
        <v>2025</v>
      </c>
      <c r="D2445" s="1" t="str">
        <f>IF($A2445&lt;=[1]RESULTADOS!$D$6,"YTD","YTG")</f>
        <v>YTG</v>
      </c>
      <c r="E2445" t="s">
        <v>403</v>
      </c>
      <c r="F2445" t="s">
        <v>667</v>
      </c>
      <c r="G2445" t="s">
        <v>667</v>
      </c>
      <c r="H2445" t="s">
        <v>668</v>
      </c>
      <c r="I2445" t="s">
        <v>72</v>
      </c>
      <c r="J2445" t="str">
        <f>IFERROR(VLOOKUP(I2445,[1]AUTOS!$C:$G,2,0),"")</f>
        <v>VENTO</v>
      </c>
      <c r="K2445">
        <f>IFERROR(VLOOKUP(I2445,[1]AUTOS!$C:$G,3,0),"")</f>
        <v>2020</v>
      </c>
      <c r="L2445" t="str">
        <f>IFERROR(VLOOKUP(I2445,[1]AUTOS!$C:$G,4,0),"")</f>
        <v>GRIS</v>
      </c>
      <c r="M2445" t="s">
        <v>43</v>
      </c>
      <c r="N2445" s="3">
        <v>3123.2599999999998</v>
      </c>
      <c r="O2445" s="3">
        <v>2500</v>
      </c>
      <c r="P2445" s="3">
        <v>2656</v>
      </c>
      <c r="Q2445" s="3">
        <v>0</v>
      </c>
    </row>
    <row r="2446" spans="1:17" hidden="1" x14ac:dyDescent="0.3">
      <c r="A2446">
        <v>43</v>
      </c>
      <c r="B2446" t="str">
        <f>VLOOKUP($A2446,[1]LISTA!$B:$C,2,0)</f>
        <v>OCTUBRE</v>
      </c>
      <c r="C2446" s="1">
        <v>2025</v>
      </c>
      <c r="D2446" s="1" t="str">
        <f>IF($A2446&lt;=[1]RESULTADOS!$D$6,"YTD","YTG")</f>
        <v>YTG</v>
      </c>
      <c r="E2446" t="s">
        <v>715</v>
      </c>
      <c r="F2446" t="s">
        <v>667</v>
      </c>
      <c r="G2446" t="s">
        <v>667</v>
      </c>
      <c r="H2446" t="s">
        <v>668</v>
      </c>
      <c r="I2446" t="s">
        <v>73</v>
      </c>
      <c r="J2446" t="str">
        <f>IFERROR(VLOOKUP(I2446,[1]AUTOS!$C:$G,2,0),"")</f>
        <v>VERSA</v>
      </c>
      <c r="K2446">
        <f>IFERROR(VLOOKUP(I2446,[1]AUTOS!$C:$G,3,0),"")</f>
        <v>2023</v>
      </c>
      <c r="L2446" t="str">
        <f>IFERROR(VLOOKUP(I2446,[1]AUTOS!$C:$G,4,0),"")</f>
        <v>PLATA</v>
      </c>
      <c r="M2446" t="s">
        <v>43</v>
      </c>
      <c r="N2446" s="3">
        <v>1225.31</v>
      </c>
      <c r="O2446" s="3">
        <v>2500</v>
      </c>
      <c r="P2446" s="3">
        <v>2954.31</v>
      </c>
      <c r="Q2446" s="3">
        <v>0</v>
      </c>
    </row>
    <row r="2447" spans="1:17" hidden="1" x14ac:dyDescent="0.3">
      <c r="A2447">
        <v>43</v>
      </c>
      <c r="B2447" t="str">
        <f>VLOOKUP($A2447,[1]LISTA!$B:$C,2,0)</f>
        <v>OCTUBRE</v>
      </c>
      <c r="C2447" s="1">
        <v>2025</v>
      </c>
      <c r="D2447" s="1" t="str">
        <f>IF($A2447&lt;=[1]RESULTADOS!$D$6,"YTD","YTG")</f>
        <v>YTG</v>
      </c>
      <c r="E2447" t="s">
        <v>716</v>
      </c>
      <c r="F2447" t="s">
        <v>667</v>
      </c>
      <c r="G2447" t="s">
        <v>667</v>
      </c>
      <c r="H2447" t="s">
        <v>668</v>
      </c>
      <c r="I2447" t="s">
        <v>59</v>
      </c>
      <c r="J2447" t="str">
        <f>IFERROR(VLOOKUP(I2447,[1]AUTOS!$C:$G,2,0),"")</f>
        <v>AVEO</v>
      </c>
      <c r="K2447">
        <f>IFERROR(VLOOKUP(I2447,[1]AUTOS!$C:$G,3,0),"")</f>
        <v>2019</v>
      </c>
      <c r="L2447" t="str">
        <f>IFERROR(VLOOKUP(I2447,[1]AUTOS!$C:$G,4,0),"")</f>
        <v>BLANCO</v>
      </c>
      <c r="M2447" t="s">
        <v>43</v>
      </c>
      <c r="N2447" s="3">
        <v>0</v>
      </c>
      <c r="O2447" s="3">
        <v>2500</v>
      </c>
      <c r="P2447" s="3">
        <v>0</v>
      </c>
      <c r="Q2447" s="3">
        <v>-2406</v>
      </c>
    </row>
    <row r="2448" spans="1:17" hidden="1" x14ac:dyDescent="0.3">
      <c r="A2448">
        <v>43</v>
      </c>
      <c r="B2448" t="str">
        <f>VLOOKUP($A2448,[1]LISTA!$B:$C,2,0)</f>
        <v>OCTUBRE</v>
      </c>
      <c r="C2448" s="1">
        <v>2025</v>
      </c>
      <c r="D2448" s="1" t="str">
        <f>IF($A2448&lt;=[1]RESULTADOS!$D$6,"YTD","YTG")</f>
        <v>YTG</v>
      </c>
      <c r="E2448" t="s">
        <v>496</v>
      </c>
      <c r="F2448" t="s">
        <v>667</v>
      </c>
      <c r="G2448" t="s">
        <v>667</v>
      </c>
      <c r="H2448" t="s">
        <v>668</v>
      </c>
      <c r="I2448" t="s">
        <v>547</v>
      </c>
      <c r="J2448" t="str">
        <f>IFERROR(VLOOKUP(I2448,[1]AUTOS!$C:$G,2,0),"")</f>
        <v>AVEO</v>
      </c>
      <c r="K2448">
        <f>IFERROR(VLOOKUP(I2448,[1]AUTOS!$C:$G,3,0),"")</f>
        <v>2022</v>
      </c>
      <c r="L2448" t="str">
        <f>IFERROR(VLOOKUP(I2448,[1]AUTOS!$C:$G,4,0),"")</f>
        <v>VINO</v>
      </c>
      <c r="M2448" t="s">
        <v>43</v>
      </c>
      <c r="N2448" s="3">
        <v>8178.4600000000009</v>
      </c>
      <c r="O2448" s="3">
        <v>2500</v>
      </c>
      <c r="P2448" s="3">
        <v>2500</v>
      </c>
      <c r="Q2448" s="3">
        <v>0</v>
      </c>
    </row>
    <row r="2449" spans="1:17" hidden="1" x14ac:dyDescent="0.3">
      <c r="A2449">
        <v>43</v>
      </c>
      <c r="B2449" t="str">
        <f>VLOOKUP($A2449,[1]LISTA!$B:$C,2,0)</f>
        <v>OCTUBRE</v>
      </c>
      <c r="C2449" s="1">
        <v>2025</v>
      </c>
      <c r="D2449" s="1" t="str">
        <f>IF($A2449&lt;=[1]RESULTADOS!$D$6,"YTD","YTG")</f>
        <v>YTG</v>
      </c>
      <c r="E2449" t="s">
        <v>717</v>
      </c>
      <c r="F2449" t="s">
        <v>667</v>
      </c>
      <c r="G2449" t="s">
        <v>667</v>
      </c>
      <c r="H2449" t="s">
        <v>668</v>
      </c>
      <c r="I2449" t="s">
        <v>495</v>
      </c>
      <c r="J2449" t="str">
        <f>IFERROR(VLOOKUP(I2449,[1]AUTOS!$C:$G,2,0),"")</f>
        <v>VERSA</v>
      </c>
      <c r="K2449">
        <f>IFERROR(VLOOKUP(I2449,[1]AUTOS!$C:$G,3,0),"")</f>
        <v>2021</v>
      </c>
      <c r="L2449" t="str">
        <f>IFERROR(VLOOKUP(I2449,[1]AUTOS!$C:$G,4,0),"")</f>
        <v>BLANCO</v>
      </c>
      <c r="M2449" t="s">
        <v>43</v>
      </c>
      <c r="N2449" s="3">
        <v>4340.8</v>
      </c>
      <c r="O2449" s="3">
        <v>2500</v>
      </c>
      <c r="P2449" s="3">
        <v>2500</v>
      </c>
      <c r="Q2449" s="3">
        <v>0</v>
      </c>
    </row>
    <row r="2450" spans="1:17" hidden="1" x14ac:dyDescent="0.3">
      <c r="A2450">
        <v>43</v>
      </c>
      <c r="B2450" t="str">
        <f>VLOOKUP($A2450,[1]LISTA!$B:$C,2,0)</f>
        <v>OCTUBRE</v>
      </c>
      <c r="C2450" s="1">
        <v>2025</v>
      </c>
      <c r="D2450" s="1" t="str">
        <f>IF($A2450&lt;=[1]RESULTADOS!$D$6,"YTD","YTG")</f>
        <v>YTG</v>
      </c>
      <c r="E2450" t="s">
        <v>709</v>
      </c>
      <c r="F2450" t="s">
        <v>667</v>
      </c>
      <c r="G2450" t="s">
        <v>667</v>
      </c>
      <c r="H2450" t="s">
        <v>668</v>
      </c>
      <c r="I2450" t="s">
        <v>185</v>
      </c>
      <c r="J2450" t="str">
        <f>IFERROR(VLOOKUP(I2450,[1]AUTOS!$C:$G,2,0),"")</f>
        <v>MARCH</v>
      </c>
      <c r="K2450">
        <f>IFERROR(VLOOKUP(I2450,[1]AUTOS!$C:$G,3,0),"")</f>
        <v>2021</v>
      </c>
      <c r="L2450" t="str">
        <f>IFERROR(VLOOKUP(I2450,[1]AUTOS!$C:$G,4,0),"")</f>
        <v>ROJO</v>
      </c>
      <c r="M2450" t="s">
        <v>43</v>
      </c>
      <c r="N2450" s="3">
        <v>3485.9700000000003</v>
      </c>
      <c r="O2450" s="3">
        <v>2500</v>
      </c>
      <c r="P2450" s="3">
        <v>3130</v>
      </c>
      <c r="Q2450" s="3">
        <v>500</v>
      </c>
    </row>
    <row r="2451" spans="1:17" hidden="1" x14ac:dyDescent="0.3">
      <c r="A2451">
        <v>43</v>
      </c>
      <c r="B2451" t="str">
        <f>VLOOKUP($A2451,[1]LISTA!$B:$C,2,0)</f>
        <v>OCTUBRE</v>
      </c>
      <c r="C2451" s="1">
        <v>2025</v>
      </c>
      <c r="D2451" s="1" t="str">
        <f>IF($A2451&lt;=[1]RESULTADOS!$D$6,"YTD","YTG")</f>
        <v>YTG</v>
      </c>
      <c r="E2451" t="s">
        <v>718</v>
      </c>
      <c r="F2451" t="s">
        <v>667</v>
      </c>
      <c r="G2451" t="s">
        <v>667</v>
      </c>
      <c r="H2451" t="s">
        <v>668</v>
      </c>
      <c r="I2451" t="s">
        <v>42</v>
      </c>
      <c r="J2451" t="str">
        <f>IFERROR(VLOOKUP(I2451,[1]AUTOS!$C:$G,2,0),"")</f>
        <v>VENTO</v>
      </c>
      <c r="K2451">
        <f>IFERROR(VLOOKUP(I2451,[1]AUTOS!$C:$G,3,0),"")</f>
        <v>2018</v>
      </c>
      <c r="L2451" t="str">
        <f>IFERROR(VLOOKUP(I2451,[1]AUTOS!$C:$G,4,0),"")</f>
        <v>AMARILLO</v>
      </c>
      <c r="M2451" t="s">
        <v>43</v>
      </c>
      <c r="N2451" s="3">
        <v>599.25</v>
      </c>
      <c r="O2451" s="3">
        <v>2500</v>
      </c>
      <c r="P2451" s="3">
        <v>2099.25</v>
      </c>
      <c r="Q2451" s="3">
        <v>0</v>
      </c>
    </row>
    <row r="2452" spans="1:17" hidden="1" x14ac:dyDescent="0.3">
      <c r="A2452">
        <v>43</v>
      </c>
      <c r="B2452" t="str">
        <f>VLOOKUP($A2452,[1]LISTA!$B:$C,2,0)</f>
        <v>OCTUBRE</v>
      </c>
      <c r="C2452" s="1">
        <v>2025</v>
      </c>
      <c r="D2452" s="1" t="str">
        <f>IF($A2452&lt;=[1]RESULTADOS!$D$6,"YTD","YTG")</f>
        <v>YTG</v>
      </c>
      <c r="E2452" t="s">
        <v>594</v>
      </c>
      <c r="F2452" t="s">
        <v>667</v>
      </c>
      <c r="G2452" t="s">
        <v>667</v>
      </c>
      <c r="H2452" t="s">
        <v>668</v>
      </c>
      <c r="I2452" t="s">
        <v>313</v>
      </c>
      <c r="J2452" t="str">
        <f>IFERROR(VLOOKUP(I2452,[1]AUTOS!$C:$G,2,0),"")</f>
        <v>MARCH</v>
      </c>
      <c r="K2452">
        <f>IFERROR(VLOOKUP(I2452,[1]AUTOS!$C:$G,3,0),"")</f>
        <v>2019</v>
      </c>
      <c r="L2452" t="str">
        <f>IFERROR(VLOOKUP(I2452,[1]AUTOS!$C:$G,4,0),"")</f>
        <v>TURQ</v>
      </c>
      <c r="M2452" t="s">
        <v>140</v>
      </c>
      <c r="N2452" s="3">
        <v>3564.62</v>
      </c>
      <c r="O2452" s="3">
        <v>2500</v>
      </c>
      <c r="P2452" s="3">
        <v>3000</v>
      </c>
      <c r="Q2452" s="3">
        <v>500</v>
      </c>
    </row>
    <row r="2453" spans="1:17" hidden="1" x14ac:dyDescent="0.3">
      <c r="A2453">
        <v>43</v>
      </c>
      <c r="B2453" t="str">
        <f>VLOOKUP($A2453,[1]LISTA!$B:$C,2,0)</f>
        <v>OCTUBRE</v>
      </c>
      <c r="C2453" s="1">
        <v>2025</v>
      </c>
      <c r="D2453" s="1" t="str">
        <f>IF($A2453&lt;=[1]RESULTADOS!$D$6,"YTD","YTG")</f>
        <v>YTG</v>
      </c>
      <c r="E2453" t="s">
        <v>710</v>
      </c>
      <c r="F2453" t="s">
        <v>667</v>
      </c>
      <c r="G2453" t="s">
        <v>667</v>
      </c>
      <c r="H2453" t="s">
        <v>668</v>
      </c>
      <c r="I2453" t="s">
        <v>366</v>
      </c>
      <c r="J2453" t="str">
        <f>IFERROR(VLOOKUP(I2453,[1]AUTOS!$C:$G,2,0),"")</f>
        <v>VENTO</v>
      </c>
      <c r="K2453">
        <f>IFERROR(VLOOKUP(I2453,[1]AUTOS!$C:$G,3,0),"")</f>
        <v>2019</v>
      </c>
      <c r="L2453" t="str">
        <f>IFERROR(VLOOKUP(I2453,[1]AUTOS!$C:$G,4,0),"")</f>
        <v>BLANCO</v>
      </c>
      <c r="M2453" t="s">
        <v>215</v>
      </c>
      <c r="N2453" s="3">
        <v>142.14999999999998</v>
      </c>
      <c r="O2453" s="3">
        <v>1785</v>
      </c>
      <c r="P2453" s="3">
        <v>142.14999999999998</v>
      </c>
      <c r="Q2453" s="3">
        <v>-1322</v>
      </c>
    </row>
    <row r="2454" spans="1:17" hidden="1" x14ac:dyDescent="0.3">
      <c r="A2454">
        <v>43</v>
      </c>
      <c r="B2454" t="str">
        <f>VLOOKUP($A2454,[1]LISTA!$B:$C,2,0)</f>
        <v>OCTUBRE</v>
      </c>
      <c r="C2454" s="1">
        <v>2025</v>
      </c>
      <c r="D2454" s="1" t="str">
        <f>IF($A2454&lt;=[1]RESULTADOS!$D$6,"YTD","YTG")</f>
        <v>YTG</v>
      </c>
      <c r="E2454" t="s">
        <v>719</v>
      </c>
      <c r="F2454" t="s">
        <v>667</v>
      </c>
      <c r="G2454" t="s">
        <v>667</v>
      </c>
      <c r="H2454" t="s">
        <v>668</v>
      </c>
      <c r="I2454" t="s">
        <v>82</v>
      </c>
      <c r="J2454" t="str">
        <f>IFERROR(VLOOKUP(I2454,[1]AUTOS!$C:$G,2,0),"")</f>
        <v>AVEO</v>
      </c>
      <c r="K2454">
        <f>IFERROR(VLOOKUP(I2454,[1]AUTOS!$C:$G,3,0),"")</f>
        <v>2019</v>
      </c>
      <c r="L2454" t="str">
        <f>IFERROR(VLOOKUP(I2454,[1]AUTOS!$C:$G,4,0),"")</f>
        <v>PLATA</v>
      </c>
      <c r="M2454" t="s">
        <v>43</v>
      </c>
      <c r="N2454" s="3">
        <v>2045.5</v>
      </c>
      <c r="O2454" s="3">
        <v>2500</v>
      </c>
      <c r="P2454" s="3">
        <v>3945.5</v>
      </c>
      <c r="Q2454" s="3">
        <v>0</v>
      </c>
    </row>
    <row r="2455" spans="1:17" hidden="1" x14ac:dyDescent="0.3">
      <c r="A2455">
        <v>43</v>
      </c>
      <c r="B2455" t="str">
        <f>VLOOKUP($A2455,[1]LISTA!$B:$C,2,0)</f>
        <v>OCTUBRE</v>
      </c>
      <c r="C2455" s="1">
        <v>2025</v>
      </c>
      <c r="D2455" s="1" t="str">
        <f>IF($A2455&lt;=[1]RESULTADOS!$D$6,"YTD","YTG")</f>
        <v>YTG</v>
      </c>
      <c r="E2455" t="s">
        <v>630</v>
      </c>
      <c r="F2455" t="s">
        <v>667</v>
      </c>
      <c r="G2455" t="s">
        <v>667</v>
      </c>
      <c r="H2455" t="s">
        <v>668</v>
      </c>
      <c r="I2455" t="s">
        <v>51</v>
      </c>
      <c r="J2455" t="str">
        <f>IFERROR(VLOOKUP(I2455,[1]AUTOS!$C:$G,2,0),"")</f>
        <v>VENTO</v>
      </c>
      <c r="K2455">
        <f>IFERROR(VLOOKUP(I2455,[1]AUTOS!$C:$G,3,0),"")</f>
        <v>2017</v>
      </c>
      <c r="L2455" t="str">
        <f>IFERROR(VLOOKUP(I2455,[1]AUTOS!$C:$G,4,0),"")</f>
        <v>GRIS</v>
      </c>
      <c r="M2455" t="s">
        <v>43</v>
      </c>
      <c r="N2455" s="3">
        <v>5497.3099999999995</v>
      </c>
      <c r="O2455" s="3">
        <v>2143</v>
      </c>
      <c r="P2455" s="3">
        <v>2572</v>
      </c>
      <c r="Q2455" s="3">
        <v>429</v>
      </c>
    </row>
    <row r="2456" spans="1:17" hidden="1" x14ac:dyDescent="0.3">
      <c r="A2456">
        <v>43</v>
      </c>
      <c r="B2456" t="str">
        <f>VLOOKUP($A2456,[1]LISTA!$B:$C,2,0)</f>
        <v>OCTUBRE</v>
      </c>
      <c r="C2456" s="1">
        <v>2025</v>
      </c>
      <c r="D2456" s="1" t="str">
        <f>IF($A2456&lt;=[1]RESULTADOS!$D$6,"YTD","YTG")</f>
        <v>YTG</v>
      </c>
      <c r="E2456" t="s">
        <v>705</v>
      </c>
      <c r="F2456" t="s">
        <v>667</v>
      </c>
      <c r="G2456" t="s">
        <v>667</v>
      </c>
      <c r="H2456" t="s">
        <v>668</v>
      </c>
      <c r="I2456" t="s">
        <v>440</v>
      </c>
      <c r="J2456" t="str">
        <f>IFERROR(VLOOKUP(I2456,[1]AUTOS!$C:$G,2,0),"")</f>
        <v>AVEO</v>
      </c>
      <c r="K2456">
        <f>IFERROR(VLOOKUP(I2456,[1]AUTOS!$C:$G,3,0),"")</f>
        <v>2021</v>
      </c>
      <c r="L2456" t="str">
        <f>IFERROR(VLOOKUP(I2456,[1]AUTOS!$C:$G,4,0),"")</f>
        <v>GRIS</v>
      </c>
      <c r="M2456" t="s">
        <v>43</v>
      </c>
      <c r="N2456" s="3">
        <v>4869.7000000000007</v>
      </c>
      <c r="O2456" s="3">
        <v>2500</v>
      </c>
      <c r="P2456" s="3">
        <v>2750</v>
      </c>
      <c r="Q2456" s="3">
        <v>250</v>
      </c>
    </row>
    <row r="2457" spans="1:17" hidden="1" x14ac:dyDescent="0.3">
      <c r="A2457">
        <v>43</v>
      </c>
      <c r="B2457" t="str">
        <f>VLOOKUP($A2457,[1]LISTA!$B:$C,2,0)</f>
        <v>OCTUBRE</v>
      </c>
      <c r="C2457" s="1">
        <v>2025</v>
      </c>
      <c r="D2457" s="1" t="str">
        <f>IF($A2457&lt;=[1]RESULTADOS!$D$6,"YTD","YTG")</f>
        <v>YTG</v>
      </c>
      <c r="E2457" t="s">
        <v>720</v>
      </c>
      <c r="F2457" t="s">
        <v>667</v>
      </c>
      <c r="G2457" t="s">
        <v>667</v>
      </c>
      <c r="H2457" t="s">
        <v>668</v>
      </c>
      <c r="I2457" t="s">
        <v>37</v>
      </c>
      <c r="J2457" t="str">
        <f>IFERROR(VLOOKUP(I2457,[1]AUTOS!$C:$G,2,0),"")</f>
        <v>BEAT</v>
      </c>
      <c r="K2457">
        <f>IFERROR(VLOOKUP(I2457,[1]AUTOS!$C:$G,3,0),"")</f>
        <v>2020</v>
      </c>
      <c r="L2457" t="str">
        <f>IFERROR(VLOOKUP(I2457,[1]AUTOS!$C:$G,4,0),"")</f>
        <v>GRIS</v>
      </c>
      <c r="M2457" t="s">
        <v>35</v>
      </c>
      <c r="N2457" s="3">
        <v>7091.26</v>
      </c>
      <c r="O2457" s="3">
        <v>2500</v>
      </c>
      <c r="P2457" s="3">
        <v>4000</v>
      </c>
      <c r="Q2457" s="3">
        <v>500</v>
      </c>
    </row>
    <row r="2458" spans="1:17" hidden="1" x14ac:dyDescent="0.3">
      <c r="A2458">
        <v>43</v>
      </c>
      <c r="B2458" t="str">
        <f>VLOOKUP($A2458,[1]LISTA!$B:$C,2,0)</f>
        <v>OCTUBRE</v>
      </c>
      <c r="C2458" s="1">
        <v>2025</v>
      </c>
      <c r="D2458" s="1" t="str">
        <f>IF($A2458&lt;=[1]RESULTADOS!$D$6,"YTD","YTG")</f>
        <v>YTG</v>
      </c>
      <c r="E2458" t="s">
        <v>704</v>
      </c>
      <c r="F2458" t="s">
        <v>667</v>
      </c>
      <c r="G2458" t="s">
        <v>667</v>
      </c>
      <c r="H2458" t="s">
        <v>668</v>
      </c>
      <c r="I2458" t="s">
        <v>37</v>
      </c>
      <c r="J2458" t="str">
        <f>IFERROR(VLOOKUP(I2458,[1]AUTOS!$C:$G,2,0),"")</f>
        <v>BEAT</v>
      </c>
      <c r="K2458">
        <f>IFERROR(VLOOKUP(I2458,[1]AUTOS!$C:$G,3,0),"")</f>
        <v>2020</v>
      </c>
      <c r="L2458" t="str">
        <f>IFERROR(VLOOKUP(I2458,[1]AUTOS!$C:$G,4,0),"")</f>
        <v>GRIS</v>
      </c>
      <c r="M2458" t="s">
        <v>35</v>
      </c>
      <c r="N2458" s="3">
        <v>0</v>
      </c>
      <c r="O2458" s="3">
        <v>0</v>
      </c>
      <c r="P2458" s="3">
        <v>-500</v>
      </c>
      <c r="Q2458" s="3">
        <v>-500</v>
      </c>
    </row>
    <row r="2459" spans="1:17" hidden="1" x14ac:dyDescent="0.3">
      <c r="A2459">
        <v>43</v>
      </c>
      <c r="B2459" t="str">
        <f>VLOOKUP($A2459,[1]LISTA!$B:$C,2,0)</f>
        <v>OCTUBRE</v>
      </c>
      <c r="C2459" s="1">
        <v>2025</v>
      </c>
      <c r="D2459" s="1" t="str">
        <f>IF($A2459&lt;=[1]RESULTADOS!$D$6,"YTD","YTG")</f>
        <v>YTG</v>
      </c>
      <c r="E2459" t="s">
        <v>721</v>
      </c>
      <c r="F2459" t="s">
        <v>667</v>
      </c>
      <c r="G2459" t="s">
        <v>667</v>
      </c>
      <c r="H2459" t="s">
        <v>668</v>
      </c>
      <c r="I2459" t="s">
        <v>61</v>
      </c>
      <c r="J2459" t="str">
        <f>IFERROR(VLOOKUP(I2459,[1]AUTOS!$C:$G,2,0),"")</f>
        <v>KIA RIO</v>
      </c>
      <c r="K2459">
        <f>IFERROR(VLOOKUP(I2459,[1]AUTOS!$C:$G,3,0),"")</f>
        <v>2017</v>
      </c>
      <c r="L2459" t="str">
        <f>IFERROR(VLOOKUP(I2459,[1]AUTOS!$C:$G,4,0),"")</f>
        <v>ROJO</v>
      </c>
      <c r="M2459" t="s">
        <v>35</v>
      </c>
      <c r="N2459" s="3">
        <v>1219.7100000000005</v>
      </c>
      <c r="O2459" s="3">
        <v>1785.71</v>
      </c>
      <c r="P2459" s="3">
        <v>2142.7100000000005</v>
      </c>
      <c r="Q2459" s="3">
        <v>357.14</v>
      </c>
    </row>
    <row r="2460" spans="1:17" hidden="1" x14ac:dyDescent="0.3">
      <c r="A2460">
        <v>43</v>
      </c>
      <c r="B2460" t="str">
        <f>VLOOKUP($A2460,[1]LISTA!$B:$C,2,0)</f>
        <v>OCTUBRE</v>
      </c>
      <c r="C2460" s="1">
        <v>2025</v>
      </c>
      <c r="D2460" s="1" t="str">
        <f>IF($A2460&lt;=[1]RESULTADOS!$D$6,"YTD","YTG")</f>
        <v>YTG</v>
      </c>
      <c r="E2460" t="s">
        <v>721</v>
      </c>
      <c r="F2460" t="s">
        <v>667</v>
      </c>
      <c r="G2460" t="s">
        <v>667</v>
      </c>
      <c r="H2460" t="s">
        <v>668</v>
      </c>
      <c r="I2460" t="s">
        <v>46</v>
      </c>
      <c r="J2460" t="str">
        <f>IFERROR(VLOOKUP(I2460,[1]AUTOS!$C:$G,2,0),"")</f>
        <v>MARCH</v>
      </c>
      <c r="K2460">
        <f>IFERROR(VLOOKUP(I2460,[1]AUTOS!$C:$G,3,0),"")</f>
        <v>2020</v>
      </c>
      <c r="L2460" t="str">
        <f>IFERROR(VLOOKUP(I2460,[1]AUTOS!$C:$G,4,0),"")</f>
        <v>TURQ</v>
      </c>
      <c r="M2460" t="s">
        <v>43</v>
      </c>
      <c r="N2460" s="3">
        <v>1218.26</v>
      </c>
      <c r="O2460" s="3">
        <v>0</v>
      </c>
      <c r="P2460" s="3">
        <v>0</v>
      </c>
      <c r="Q2460" s="3">
        <v>0</v>
      </c>
    </row>
    <row r="2461" spans="1:17" hidden="1" x14ac:dyDescent="0.3">
      <c r="A2461">
        <v>43</v>
      </c>
      <c r="B2461" t="str">
        <f>VLOOKUP($A2461,[1]LISTA!$B:$C,2,0)</f>
        <v>OCTUBRE</v>
      </c>
      <c r="C2461" s="1">
        <v>2025</v>
      </c>
      <c r="D2461" s="1" t="str">
        <f>IF($A2461&lt;=[1]RESULTADOS!$D$6,"YTD","YTG")</f>
        <v>YTG</v>
      </c>
      <c r="E2461" t="s">
        <v>722</v>
      </c>
      <c r="F2461" t="s">
        <v>667</v>
      </c>
      <c r="G2461" t="s">
        <v>667</v>
      </c>
      <c r="H2461" t="s">
        <v>668</v>
      </c>
      <c r="I2461" t="s">
        <v>185</v>
      </c>
      <c r="J2461" t="str">
        <f>IFERROR(VLOOKUP(I2461,[1]AUTOS!$C:$G,2,0),"")</f>
        <v>MARCH</v>
      </c>
      <c r="K2461">
        <f>IFERROR(VLOOKUP(I2461,[1]AUTOS!$C:$G,3,0),"")</f>
        <v>2021</v>
      </c>
      <c r="L2461" t="str">
        <f>IFERROR(VLOOKUP(I2461,[1]AUTOS!$C:$G,4,0),"")</f>
        <v>ROJO</v>
      </c>
      <c r="M2461" t="s">
        <v>43</v>
      </c>
      <c r="N2461" s="3">
        <v>554.82000000000005</v>
      </c>
      <c r="O2461" s="3">
        <v>536</v>
      </c>
      <c r="P2461" s="3">
        <v>642.82000000000005</v>
      </c>
      <c r="Q2461" s="3">
        <v>106.86</v>
      </c>
    </row>
    <row r="2462" spans="1:17" hidden="1" x14ac:dyDescent="0.3">
      <c r="A2462">
        <v>43</v>
      </c>
      <c r="B2462" t="str">
        <f>VLOOKUP($A2462,[1]LISTA!$B:$C,2,0)</f>
        <v>OCTUBRE</v>
      </c>
      <c r="C2462" s="1">
        <v>2025</v>
      </c>
      <c r="D2462" s="1" t="str">
        <f>IF($A2462&lt;=[1]RESULTADOS!$D$6,"YTD","YTG")</f>
        <v>YTG</v>
      </c>
      <c r="E2462" t="s">
        <v>526</v>
      </c>
      <c r="F2462" t="s">
        <v>667</v>
      </c>
      <c r="G2462" t="s">
        <v>667</v>
      </c>
      <c r="H2462" t="s">
        <v>668</v>
      </c>
      <c r="I2462" t="s">
        <v>67</v>
      </c>
      <c r="J2462" t="str">
        <f>IFERROR(VLOOKUP(I2462,[1]AUTOS!$C:$G,2,0),"")</f>
        <v>KIA RIO</v>
      </c>
      <c r="K2462">
        <f>IFERROR(VLOOKUP(I2462,[1]AUTOS!$C:$G,3,0),"")</f>
        <v>2020</v>
      </c>
      <c r="L2462" t="str">
        <f>IFERROR(VLOOKUP(I2462,[1]AUTOS!$C:$G,4,0),"")</f>
        <v>GRIS</v>
      </c>
      <c r="M2462" t="s">
        <v>43</v>
      </c>
      <c r="N2462" s="3">
        <v>0</v>
      </c>
      <c r="O2462" s="3">
        <v>0</v>
      </c>
      <c r="P2462" s="3">
        <v>-500</v>
      </c>
      <c r="Q2462" s="3">
        <v>-500</v>
      </c>
    </row>
    <row r="2463" spans="1:17" hidden="1" x14ac:dyDescent="0.3">
      <c r="A2463">
        <v>44</v>
      </c>
      <c r="B2463" t="str">
        <f>VLOOKUP($A2463,[1]LISTA!$B:$C,2,0)</f>
        <v>OCTUBRE</v>
      </c>
      <c r="C2463" s="1">
        <v>2025</v>
      </c>
      <c r="D2463" s="1" t="str">
        <f>IF($A2463&lt;=[1]RESULTADOS!$D$6,"YTD","YTG")</f>
        <v>YTG</v>
      </c>
      <c r="E2463" t="s">
        <v>630</v>
      </c>
      <c r="F2463" t="s">
        <v>667</v>
      </c>
      <c r="G2463" t="s">
        <v>667</v>
      </c>
      <c r="H2463" t="s">
        <v>668</v>
      </c>
      <c r="I2463" t="s">
        <v>51</v>
      </c>
      <c r="J2463" t="str">
        <f>IFERROR(VLOOKUP(I2463,[1]AUTOS!$C:$G,2,0),"")</f>
        <v>VENTO</v>
      </c>
      <c r="K2463">
        <f>IFERROR(VLOOKUP(I2463,[1]AUTOS!$C:$G,3,0),"")</f>
        <v>2017</v>
      </c>
      <c r="L2463" t="str">
        <f>IFERROR(VLOOKUP(I2463,[1]AUTOS!$C:$G,4,0),"")</f>
        <v>GRIS</v>
      </c>
      <c r="M2463" t="s">
        <v>43</v>
      </c>
      <c r="N2463" s="3">
        <v>6284.1500000000005</v>
      </c>
      <c r="O2463" s="3">
        <v>2500</v>
      </c>
      <c r="P2463" s="3">
        <v>3000</v>
      </c>
      <c r="Q2463" s="3">
        <v>500</v>
      </c>
    </row>
    <row r="2464" spans="1:17" hidden="1" x14ac:dyDescent="0.3">
      <c r="A2464">
        <v>44</v>
      </c>
      <c r="B2464" t="str">
        <f>VLOOKUP($A2464,[1]LISTA!$B:$C,2,0)</f>
        <v>OCTUBRE</v>
      </c>
      <c r="C2464" s="1">
        <v>2025</v>
      </c>
      <c r="D2464" s="1" t="str">
        <f>IF($A2464&lt;=[1]RESULTADOS!$D$6,"YTD","YTG")</f>
        <v>YTG</v>
      </c>
      <c r="E2464" t="s">
        <v>478</v>
      </c>
      <c r="F2464" t="s">
        <v>667</v>
      </c>
      <c r="G2464" t="s">
        <v>667</v>
      </c>
      <c r="H2464" t="s">
        <v>668</v>
      </c>
      <c r="I2464" t="s">
        <v>102</v>
      </c>
      <c r="J2464" t="str">
        <f>IFERROR(VLOOKUP(I2464,[1]AUTOS!$C:$G,2,0),"")</f>
        <v>AVEO</v>
      </c>
      <c r="K2464">
        <f>IFERROR(VLOOKUP(I2464,[1]AUTOS!$C:$G,3,0),"")</f>
        <v>2022</v>
      </c>
      <c r="L2464" t="str">
        <f>IFERROR(VLOOKUP(I2464,[1]AUTOS!$C:$G,4,0),"")</f>
        <v>AZUL</v>
      </c>
      <c r="M2464" t="s">
        <v>43</v>
      </c>
      <c r="N2464" s="3">
        <v>2190.9500000000007</v>
      </c>
      <c r="O2464" s="3">
        <v>2500</v>
      </c>
      <c r="P2464" s="3">
        <v>2890.9500000000007</v>
      </c>
      <c r="Q2464" s="3">
        <v>0</v>
      </c>
    </row>
    <row r="2465" spans="1:17" hidden="1" x14ac:dyDescent="0.3">
      <c r="A2465">
        <v>44</v>
      </c>
      <c r="B2465" t="str">
        <f>VLOOKUP($A2465,[1]LISTA!$B:$C,2,0)</f>
        <v>OCTUBRE</v>
      </c>
      <c r="C2465" s="1">
        <v>2025</v>
      </c>
      <c r="D2465" s="1" t="str">
        <f>IF($A2465&lt;=[1]RESULTADOS!$D$6,"YTD","YTG")</f>
        <v>YTG</v>
      </c>
      <c r="E2465" t="s">
        <v>399</v>
      </c>
      <c r="F2465" t="s">
        <v>667</v>
      </c>
      <c r="G2465" t="s">
        <v>667</v>
      </c>
      <c r="H2465" t="s">
        <v>668</v>
      </c>
      <c r="I2465" t="s">
        <v>162</v>
      </c>
      <c r="J2465" t="str">
        <f>IFERROR(VLOOKUP(I2465,[1]AUTOS!$C:$G,2,0),"")</f>
        <v>HYUNDAI</v>
      </c>
      <c r="K2465">
        <f>IFERROR(VLOOKUP(I2465,[1]AUTOS!$C:$G,3,0),"")</f>
        <v>2022</v>
      </c>
      <c r="L2465" t="str">
        <f>IFERROR(VLOOKUP(I2465,[1]AUTOS!$C:$G,4,0),"")</f>
        <v>PLATA</v>
      </c>
      <c r="M2465" t="s">
        <v>43</v>
      </c>
      <c r="N2465" s="3">
        <v>8549.6</v>
      </c>
      <c r="O2465" s="3">
        <v>2500</v>
      </c>
      <c r="P2465" s="3">
        <v>3500</v>
      </c>
      <c r="Q2465" s="3">
        <v>0</v>
      </c>
    </row>
    <row r="2466" spans="1:17" hidden="1" x14ac:dyDescent="0.3">
      <c r="A2466">
        <v>44</v>
      </c>
      <c r="B2466" t="str">
        <f>VLOOKUP($A2466,[1]LISTA!$B:$C,2,0)</f>
        <v>OCTUBRE</v>
      </c>
      <c r="C2466" s="1">
        <v>2025</v>
      </c>
      <c r="D2466" s="1" t="str">
        <f>IF($A2466&lt;=[1]RESULTADOS!$D$6,"YTD","YTG")</f>
        <v>YTG</v>
      </c>
      <c r="E2466" t="s">
        <v>722</v>
      </c>
      <c r="F2466" t="s">
        <v>667</v>
      </c>
      <c r="G2466" t="s">
        <v>667</v>
      </c>
      <c r="H2466" t="s">
        <v>668</v>
      </c>
      <c r="I2466" t="s">
        <v>185</v>
      </c>
      <c r="J2466" t="str">
        <f>IFERROR(VLOOKUP(I2466,[1]AUTOS!$C:$G,2,0),"")</f>
        <v>MARCH</v>
      </c>
      <c r="K2466">
        <f>IFERROR(VLOOKUP(I2466,[1]AUTOS!$C:$G,3,0),"")</f>
        <v>2021</v>
      </c>
      <c r="L2466" t="str">
        <f>IFERROR(VLOOKUP(I2466,[1]AUTOS!$C:$G,4,0),"")</f>
        <v>ROJO</v>
      </c>
      <c r="M2466" t="s">
        <v>43</v>
      </c>
      <c r="N2466" s="3">
        <v>5212.5300000000007</v>
      </c>
      <c r="O2466" s="3">
        <v>2500</v>
      </c>
      <c r="P2466" s="3">
        <v>2442</v>
      </c>
      <c r="Q2466" s="3">
        <v>500</v>
      </c>
    </row>
    <row r="2467" spans="1:17" hidden="1" x14ac:dyDescent="0.3">
      <c r="A2467">
        <v>44</v>
      </c>
      <c r="B2467" t="str">
        <f>VLOOKUP($A2467,[1]LISTA!$B:$C,2,0)</f>
        <v>OCTUBRE</v>
      </c>
      <c r="C2467" s="1">
        <v>2025</v>
      </c>
      <c r="D2467" s="1" t="str">
        <f>IF($A2467&lt;=[1]RESULTADOS!$D$6,"YTD","YTG")</f>
        <v>YTG</v>
      </c>
      <c r="E2467" t="s">
        <v>720</v>
      </c>
      <c r="F2467" t="s">
        <v>667</v>
      </c>
      <c r="G2467" t="s">
        <v>667</v>
      </c>
      <c r="H2467" t="s">
        <v>668</v>
      </c>
      <c r="I2467" t="s">
        <v>46</v>
      </c>
      <c r="J2467" t="str">
        <f>IFERROR(VLOOKUP(I2467,[1]AUTOS!$C:$G,2,0),"")</f>
        <v>MARCH</v>
      </c>
      <c r="K2467">
        <f>IFERROR(VLOOKUP(I2467,[1]AUTOS!$C:$G,3,0),"")</f>
        <v>2020</v>
      </c>
      <c r="L2467" t="str">
        <f>IFERROR(VLOOKUP(I2467,[1]AUTOS!$C:$G,4,0),"")</f>
        <v>TURQ</v>
      </c>
      <c r="M2467" t="s">
        <v>43</v>
      </c>
      <c r="N2467" s="3">
        <v>6565.02</v>
      </c>
      <c r="O2467" s="3">
        <v>601</v>
      </c>
      <c r="P2467" s="3">
        <v>1801</v>
      </c>
      <c r="Q2467" s="3">
        <v>500</v>
      </c>
    </row>
    <row r="2468" spans="1:17" hidden="1" x14ac:dyDescent="0.3">
      <c r="A2468">
        <v>44</v>
      </c>
      <c r="B2468" t="str">
        <f>VLOOKUP($A2468,[1]LISTA!$B:$C,2,0)</f>
        <v>OCTUBRE</v>
      </c>
      <c r="C2468" s="1">
        <v>2025</v>
      </c>
      <c r="D2468" s="1" t="str">
        <f>IF($A2468&lt;=[1]RESULTADOS!$D$6,"YTD","YTG")</f>
        <v>YTG</v>
      </c>
      <c r="E2468" t="s">
        <v>706</v>
      </c>
      <c r="F2468" t="s">
        <v>667</v>
      </c>
      <c r="G2468" t="s">
        <v>667</v>
      </c>
      <c r="H2468" t="s">
        <v>668</v>
      </c>
      <c r="I2468" t="s">
        <v>131</v>
      </c>
      <c r="J2468" t="str">
        <f>IFERROR(VLOOKUP(I2468,[1]AUTOS!$C:$G,2,0),"")</f>
        <v>AVEO</v>
      </c>
      <c r="K2468">
        <f>IFERROR(VLOOKUP(I2468,[1]AUTOS!$C:$G,3,0),"")</f>
        <v>2024</v>
      </c>
      <c r="L2468" t="str">
        <f>IFERROR(VLOOKUP(I2468,[1]AUTOS!$C:$G,4,0),"")</f>
        <v>GRIS</v>
      </c>
      <c r="M2468" t="s">
        <v>43</v>
      </c>
      <c r="N2468" s="3">
        <v>2182.6000000000004</v>
      </c>
      <c r="O2468" s="3">
        <v>2500</v>
      </c>
      <c r="P2468" s="3">
        <v>2999.6000000000004</v>
      </c>
      <c r="Q2468" s="3">
        <v>500</v>
      </c>
    </row>
    <row r="2469" spans="1:17" hidden="1" x14ac:dyDescent="0.3">
      <c r="A2469">
        <v>44</v>
      </c>
      <c r="B2469" t="str">
        <f>VLOOKUP($A2469,[1]LISTA!$B:$C,2,0)</f>
        <v>OCTUBRE</v>
      </c>
      <c r="C2469" s="1">
        <v>2025</v>
      </c>
      <c r="D2469" s="1" t="str">
        <f>IF($A2469&lt;=[1]RESULTADOS!$D$6,"YTD","YTG")</f>
        <v>YTG</v>
      </c>
      <c r="E2469" t="s">
        <v>709</v>
      </c>
      <c r="F2469" t="s">
        <v>667</v>
      </c>
      <c r="G2469" t="s">
        <v>667</v>
      </c>
      <c r="H2469" t="s">
        <v>668</v>
      </c>
      <c r="I2469" t="s">
        <v>185</v>
      </c>
      <c r="J2469" t="str">
        <f>IFERROR(VLOOKUP(I2469,[1]AUTOS!$C:$G,2,0),"")</f>
        <v>MARCH</v>
      </c>
      <c r="K2469">
        <f>IFERROR(VLOOKUP(I2469,[1]AUTOS!$C:$G,3,0),"")</f>
        <v>2021</v>
      </c>
      <c r="L2469" t="str">
        <f>IFERROR(VLOOKUP(I2469,[1]AUTOS!$C:$G,4,0),"")</f>
        <v>ROJO</v>
      </c>
      <c r="M2469" t="s">
        <v>43</v>
      </c>
      <c r="N2469" s="3">
        <v>4023.9300000000003</v>
      </c>
      <c r="O2469" s="3">
        <v>2500</v>
      </c>
      <c r="P2469" s="3">
        <v>2500</v>
      </c>
      <c r="Q2469" s="3">
        <v>0</v>
      </c>
    </row>
    <row r="2470" spans="1:17" hidden="1" x14ac:dyDescent="0.3">
      <c r="A2470">
        <v>44</v>
      </c>
      <c r="B2470" t="str">
        <f>VLOOKUP($A2470,[1]LISTA!$B:$C,2,0)</f>
        <v>OCTUBRE</v>
      </c>
      <c r="C2470" s="1">
        <v>2025</v>
      </c>
      <c r="D2470" s="1" t="str">
        <f>IF($A2470&lt;=[1]RESULTADOS!$D$6,"YTD","YTG")</f>
        <v>YTG</v>
      </c>
      <c r="E2470" t="s">
        <v>703</v>
      </c>
      <c r="F2470" t="s">
        <v>667</v>
      </c>
      <c r="G2470" t="s">
        <v>667</v>
      </c>
      <c r="H2470" t="s">
        <v>668</v>
      </c>
      <c r="I2470" t="s">
        <v>182</v>
      </c>
      <c r="J2470" t="str">
        <f>IFERROR(VLOOKUP(I2470,[1]AUTOS!$C:$G,2,0),"")</f>
        <v>AVEO</v>
      </c>
      <c r="K2470">
        <f>IFERROR(VLOOKUP(I2470,[1]AUTOS!$C:$G,3,0),"")</f>
        <v>2020</v>
      </c>
      <c r="L2470" t="str">
        <f>IFERROR(VLOOKUP(I2470,[1]AUTOS!$C:$G,4,0),"")</f>
        <v>AZUL</v>
      </c>
      <c r="M2470" t="s">
        <v>43</v>
      </c>
      <c r="N2470" s="3">
        <v>3406.13</v>
      </c>
      <c r="O2470" s="3">
        <v>2500</v>
      </c>
      <c r="P2470" s="3">
        <v>2500</v>
      </c>
      <c r="Q2470" s="3">
        <v>0</v>
      </c>
    </row>
    <row r="2471" spans="1:17" hidden="1" x14ac:dyDescent="0.3">
      <c r="A2471">
        <v>44</v>
      </c>
      <c r="B2471" t="str">
        <f>VLOOKUP($A2471,[1]LISTA!$B:$C,2,0)</f>
        <v>OCTUBRE</v>
      </c>
      <c r="C2471" s="1">
        <v>2025</v>
      </c>
      <c r="D2471" s="1" t="str">
        <f>IF($A2471&lt;=[1]RESULTADOS!$D$6,"YTD","YTG")</f>
        <v>YTG</v>
      </c>
      <c r="E2471" t="s">
        <v>622</v>
      </c>
      <c r="F2471" t="s">
        <v>667</v>
      </c>
      <c r="G2471" t="s">
        <v>667</v>
      </c>
      <c r="H2471" t="s">
        <v>668</v>
      </c>
      <c r="I2471" t="s">
        <v>76</v>
      </c>
      <c r="J2471" t="str">
        <f>IFERROR(VLOOKUP(I2471,[1]AUTOS!$C:$G,2,0),"")</f>
        <v>AVEO</v>
      </c>
      <c r="K2471">
        <f>IFERROR(VLOOKUP(I2471,[1]AUTOS!$C:$G,3,0),"")</f>
        <v>2018</v>
      </c>
      <c r="L2471" t="str">
        <f>IFERROR(VLOOKUP(I2471,[1]AUTOS!$C:$G,4,0),"")</f>
        <v>GRIS</v>
      </c>
      <c r="M2471" t="s">
        <v>43</v>
      </c>
      <c r="N2471" s="3">
        <v>2881.5099999999993</v>
      </c>
      <c r="O2471" s="3">
        <v>2500</v>
      </c>
      <c r="P2471" s="3">
        <v>3199.5099999999993</v>
      </c>
      <c r="Q2471" s="3">
        <v>0</v>
      </c>
    </row>
    <row r="2472" spans="1:17" x14ac:dyDescent="0.3">
      <c r="A2472">
        <v>44</v>
      </c>
      <c r="B2472" t="str">
        <f>VLOOKUP($A2472,[1]LISTA!$B:$C,2,0)</f>
        <v>OCTUBRE</v>
      </c>
      <c r="C2472" s="1">
        <v>2025</v>
      </c>
      <c r="D2472" s="1" t="str">
        <f>IF($A2472&lt;=[1]RESULTADOS!$D$6,"YTD","YTG")</f>
        <v>YTG</v>
      </c>
      <c r="E2472" t="s">
        <v>403</v>
      </c>
      <c r="F2472" t="s">
        <v>667</v>
      </c>
      <c r="G2472" t="s">
        <v>667</v>
      </c>
      <c r="H2472" t="s">
        <v>668</v>
      </c>
      <c r="I2472" t="s">
        <v>72</v>
      </c>
      <c r="J2472" t="str">
        <f>IFERROR(VLOOKUP(I2472,[1]AUTOS!$C:$G,2,0),"")</f>
        <v>VENTO</v>
      </c>
      <c r="K2472">
        <f>IFERROR(VLOOKUP(I2472,[1]AUTOS!$C:$G,3,0),"")</f>
        <v>2020</v>
      </c>
      <c r="L2472" t="str">
        <f>IFERROR(VLOOKUP(I2472,[1]AUTOS!$C:$G,4,0),"")</f>
        <v>GRIS</v>
      </c>
      <c r="M2472" t="s">
        <v>43</v>
      </c>
      <c r="N2472" s="3">
        <v>2909.88</v>
      </c>
      <c r="O2472" s="3">
        <v>2500</v>
      </c>
      <c r="P2472" s="3">
        <v>2500</v>
      </c>
      <c r="Q2472" s="3">
        <v>0</v>
      </c>
    </row>
    <row r="2473" spans="1:17" hidden="1" x14ac:dyDescent="0.3">
      <c r="A2473">
        <v>44</v>
      </c>
      <c r="B2473" t="str">
        <f>VLOOKUP($A2473,[1]LISTA!$B:$C,2,0)</f>
        <v>OCTUBRE</v>
      </c>
      <c r="C2473" s="1">
        <v>2025</v>
      </c>
      <c r="D2473" s="1" t="str">
        <f>IF($A2473&lt;=[1]RESULTADOS!$D$6,"YTD","YTG")</f>
        <v>YTG</v>
      </c>
      <c r="E2473" t="s">
        <v>723</v>
      </c>
      <c r="F2473" t="s">
        <v>667</v>
      </c>
      <c r="G2473" t="s">
        <v>667</v>
      </c>
      <c r="H2473" t="s">
        <v>668</v>
      </c>
      <c r="I2473" t="s">
        <v>59</v>
      </c>
      <c r="J2473" t="str">
        <f>IFERROR(VLOOKUP(I2473,[1]AUTOS!$C:$G,2,0),"")</f>
        <v>AVEO</v>
      </c>
      <c r="K2473">
        <f>IFERROR(VLOOKUP(I2473,[1]AUTOS!$C:$G,3,0),"")</f>
        <v>2019</v>
      </c>
      <c r="L2473" t="str">
        <f>IFERROR(VLOOKUP(I2473,[1]AUTOS!$C:$G,4,0),"")</f>
        <v>BLANCO</v>
      </c>
      <c r="M2473" t="s">
        <v>43</v>
      </c>
      <c r="N2473" s="3">
        <v>665.90000000000009</v>
      </c>
      <c r="O2473" s="3">
        <v>1857.14</v>
      </c>
      <c r="P2473" s="3">
        <v>2213.9</v>
      </c>
      <c r="Q2473" s="3">
        <v>357.14</v>
      </c>
    </row>
    <row r="2474" spans="1:17" hidden="1" x14ac:dyDescent="0.3">
      <c r="A2474">
        <v>44</v>
      </c>
      <c r="B2474" t="str">
        <f>VLOOKUP($A2474,[1]LISTA!$B:$C,2,0)</f>
        <v>OCTUBRE</v>
      </c>
      <c r="C2474" s="1">
        <v>2025</v>
      </c>
      <c r="D2474" s="1" t="str">
        <f>IF($A2474&lt;=[1]RESULTADOS!$D$6,"YTD","YTG")</f>
        <v>YTG</v>
      </c>
      <c r="E2474" t="s">
        <v>719</v>
      </c>
      <c r="F2474" t="s">
        <v>667</v>
      </c>
      <c r="G2474" t="s">
        <v>667</v>
      </c>
      <c r="H2474" t="s">
        <v>668</v>
      </c>
      <c r="I2474" t="s">
        <v>82</v>
      </c>
      <c r="J2474" t="str">
        <f>IFERROR(VLOOKUP(I2474,[1]AUTOS!$C:$G,2,0),"")</f>
        <v>AVEO</v>
      </c>
      <c r="K2474">
        <f>IFERROR(VLOOKUP(I2474,[1]AUTOS!$C:$G,3,0),"")</f>
        <v>2019</v>
      </c>
      <c r="L2474" t="str">
        <f>IFERROR(VLOOKUP(I2474,[1]AUTOS!$C:$G,4,0),"")</f>
        <v>PLATA</v>
      </c>
      <c r="M2474" t="s">
        <v>43</v>
      </c>
      <c r="N2474" s="3">
        <v>2441.04</v>
      </c>
      <c r="O2474" s="3">
        <v>2500</v>
      </c>
      <c r="P2474" s="3">
        <v>2600.04</v>
      </c>
      <c r="Q2474" s="3">
        <v>0</v>
      </c>
    </row>
    <row r="2475" spans="1:17" hidden="1" x14ac:dyDescent="0.3">
      <c r="A2475">
        <v>44</v>
      </c>
      <c r="B2475" t="str">
        <f>VLOOKUP($A2475,[1]LISTA!$B:$C,2,0)</f>
        <v>OCTUBRE</v>
      </c>
      <c r="C2475" s="1">
        <v>2025</v>
      </c>
      <c r="D2475" s="1" t="str">
        <f>IF($A2475&lt;=[1]RESULTADOS!$D$6,"YTD","YTG")</f>
        <v>YTG</v>
      </c>
      <c r="E2475" t="s">
        <v>715</v>
      </c>
      <c r="F2475" t="s">
        <v>667</v>
      </c>
      <c r="G2475" t="s">
        <v>667</v>
      </c>
      <c r="H2475" t="s">
        <v>668</v>
      </c>
      <c r="I2475" t="s">
        <v>73</v>
      </c>
      <c r="J2475" t="str">
        <f>IFERROR(VLOOKUP(I2475,[1]AUTOS!$C:$G,2,0),"")</f>
        <v>VERSA</v>
      </c>
      <c r="K2475">
        <f>IFERROR(VLOOKUP(I2475,[1]AUTOS!$C:$G,3,0),"")</f>
        <v>2023</v>
      </c>
      <c r="L2475" t="str">
        <f>IFERROR(VLOOKUP(I2475,[1]AUTOS!$C:$G,4,0),"")</f>
        <v>PLATA</v>
      </c>
      <c r="M2475" t="s">
        <v>43</v>
      </c>
      <c r="N2475" s="3">
        <v>1872.93</v>
      </c>
      <c r="O2475" s="3">
        <v>2500</v>
      </c>
      <c r="P2475" s="3">
        <v>3044.9300000000003</v>
      </c>
      <c r="Q2475" s="3">
        <v>0</v>
      </c>
    </row>
    <row r="2476" spans="1:17" hidden="1" x14ac:dyDescent="0.3">
      <c r="A2476">
        <v>44</v>
      </c>
      <c r="B2476" t="str">
        <f>VLOOKUP($A2476,[1]LISTA!$B:$C,2,0)</f>
        <v>OCTUBRE</v>
      </c>
      <c r="C2476" s="1">
        <v>2025</v>
      </c>
      <c r="D2476" s="1" t="str">
        <f>IF($A2476&lt;=[1]RESULTADOS!$D$6,"YTD","YTG")</f>
        <v>YTG</v>
      </c>
      <c r="E2476" t="s">
        <v>718</v>
      </c>
      <c r="F2476" t="s">
        <v>667</v>
      </c>
      <c r="G2476" t="s">
        <v>667</v>
      </c>
      <c r="H2476" t="s">
        <v>668</v>
      </c>
      <c r="I2476" t="s">
        <v>42</v>
      </c>
      <c r="J2476" t="str">
        <f>IFERROR(VLOOKUP(I2476,[1]AUTOS!$C:$G,2,0),"")</f>
        <v>VENTO</v>
      </c>
      <c r="K2476">
        <f>IFERROR(VLOOKUP(I2476,[1]AUTOS!$C:$G,3,0),"")</f>
        <v>2018</v>
      </c>
      <c r="L2476" t="str">
        <f>IFERROR(VLOOKUP(I2476,[1]AUTOS!$C:$G,4,0),"")</f>
        <v>AMARILLO</v>
      </c>
      <c r="M2476" t="s">
        <v>43</v>
      </c>
      <c r="N2476" s="3">
        <v>579.38</v>
      </c>
      <c r="O2476" s="3">
        <v>2500</v>
      </c>
      <c r="P2476" s="3">
        <v>4719.38</v>
      </c>
      <c r="Q2476" s="3">
        <v>0</v>
      </c>
    </row>
    <row r="2477" spans="1:17" hidden="1" x14ac:dyDescent="0.3">
      <c r="A2477">
        <v>44</v>
      </c>
      <c r="B2477" t="str">
        <f>VLOOKUP($A2477,[1]LISTA!$B:$C,2,0)</f>
        <v>OCTUBRE</v>
      </c>
      <c r="C2477" s="1">
        <v>2025</v>
      </c>
      <c r="D2477" s="1" t="str">
        <f>IF($A2477&lt;=[1]RESULTADOS!$D$6,"YTD","YTG")</f>
        <v>YTG</v>
      </c>
      <c r="E2477" t="s">
        <v>705</v>
      </c>
      <c r="F2477" t="s">
        <v>667</v>
      </c>
      <c r="G2477" t="s">
        <v>667</v>
      </c>
      <c r="H2477" t="s">
        <v>668</v>
      </c>
      <c r="I2477" t="s">
        <v>46</v>
      </c>
      <c r="J2477" t="str">
        <f>IFERROR(VLOOKUP(I2477,[1]AUTOS!$C:$G,2,0),"")</f>
        <v>MARCH</v>
      </c>
      <c r="K2477">
        <f>IFERROR(VLOOKUP(I2477,[1]AUTOS!$C:$G,3,0),"")</f>
        <v>2020</v>
      </c>
      <c r="L2477" t="str">
        <f>IFERROR(VLOOKUP(I2477,[1]AUTOS!$C:$G,4,0),"")</f>
        <v>TURQ</v>
      </c>
      <c r="M2477" t="s">
        <v>43</v>
      </c>
      <c r="N2477" s="3">
        <v>562.70000000000005</v>
      </c>
      <c r="O2477" s="3">
        <v>563</v>
      </c>
      <c r="P2477" s="3">
        <v>562.70000000000005</v>
      </c>
      <c r="Q2477" s="3">
        <v>0</v>
      </c>
    </row>
    <row r="2478" spans="1:17" hidden="1" x14ac:dyDescent="0.3">
      <c r="A2478">
        <v>44</v>
      </c>
      <c r="B2478" t="str">
        <f>VLOOKUP($A2478,[1]LISTA!$B:$C,2,0)</f>
        <v>OCTUBRE</v>
      </c>
      <c r="C2478" s="1">
        <v>2025</v>
      </c>
      <c r="D2478" s="1" t="str">
        <f>IF($A2478&lt;=[1]RESULTADOS!$D$6,"YTD","YTG")</f>
        <v>YTG</v>
      </c>
      <c r="E2478" t="s">
        <v>492</v>
      </c>
      <c r="F2478" t="s">
        <v>667</v>
      </c>
      <c r="G2478" t="s">
        <v>667</v>
      </c>
      <c r="H2478" t="s">
        <v>668</v>
      </c>
      <c r="I2478" t="s">
        <v>144</v>
      </c>
      <c r="J2478" t="str">
        <f>IFERROR(VLOOKUP(I2478,[1]AUTOS!$C:$G,2,0),"")</f>
        <v>VERSA</v>
      </c>
      <c r="K2478">
        <f>IFERROR(VLOOKUP(I2478,[1]AUTOS!$C:$G,3,0),"")</f>
        <v>2020</v>
      </c>
      <c r="L2478" t="str">
        <f>IFERROR(VLOOKUP(I2478,[1]AUTOS!$C:$G,4,0),"")</f>
        <v>ROJO</v>
      </c>
      <c r="M2478" t="s">
        <v>43</v>
      </c>
      <c r="N2478" s="3">
        <v>0</v>
      </c>
      <c r="O2478" s="3">
        <v>2500</v>
      </c>
      <c r="P2478" s="3">
        <v>2500</v>
      </c>
      <c r="Q2478" s="3">
        <v>0</v>
      </c>
    </row>
    <row r="2479" spans="1:17" hidden="1" x14ac:dyDescent="0.3">
      <c r="A2479">
        <v>44</v>
      </c>
      <c r="B2479" t="str">
        <f>VLOOKUP($A2479,[1]LISTA!$B:$C,2,0)</f>
        <v>OCTUBRE</v>
      </c>
      <c r="C2479" s="1">
        <v>2025</v>
      </c>
      <c r="D2479" s="1" t="str">
        <f>IF($A2479&lt;=[1]RESULTADOS!$D$6,"YTD","YTG")</f>
        <v>YTG</v>
      </c>
      <c r="E2479" t="s">
        <v>526</v>
      </c>
      <c r="F2479" t="s">
        <v>667</v>
      </c>
      <c r="G2479" t="s">
        <v>667</v>
      </c>
      <c r="H2479" t="s">
        <v>668</v>
      </c>
      <c r="I2479" t="s">
        <v>67</v>
      </c>
      <c r="J2479" t="str">
        <f>IFERROR(VLOOKUP(I2479,[1]AUTOS!$C:$G,2,0),"")</f>
        <v>KIA RIO</v>
      </c>
      <c r="K2479">
        <f>IFERROR(VLOOKUP(I2479,[1]AUTOS!$C:$G,3,0),"")</f>
        <v>2020</v>
      </c>
      <c r="L2479" t="str">
        <f>IFERROR(VLOOKUP(I2479,[1]AUTOS!$C:$G,4,0),"")</f>
        <v>GRIS</v>
      </c>
      <c r="M2479" t="s">
        <v>43</v>
      </c>
      <c r="N2479" s="3">
        <v>0</v>
      </c>
      <c r="O2479" s="3">
        <v>0</v>
      </c>
      <c r="P2479" s="3">
        <v>-500</v>
      </c>
      <c r="Q2479" s="3">
        <v>-500</v>
      </c>
    </row>
    <row r="2480" spans="1:17" hidden="1" x14ac:dyDescent="0.3">
      <c r="A2480">
        <v>44</v>
      </c>
      <c r="B2480" t="str">
        <f>VLOOKUP($A2480,[1]LISTA!$B:$C,2,0)</f>
        <v>OCTUBRE</v>
      </c>
      <c r="C2480" s="1">
        <v>2025</v>
      </c>
      <c r="D2480" s="1" t="str">
        <f>IF($A2480&lt;=[1]RESULTADOS!$D$6,"YTD","YTG")</f>
        <v>YTG</v>
      </c>
      <c r="E2480" t="s">
        <v>497</v>
      </c>
      <c r="F2480" t="s">
        <v>667</v>
      </c>
      <c r="G2480" t="s">
        <v>667</v>
      </c>
      <c r="H2480" t="s">
        <v>668</v>
      </c>
      <c r="I2480" t="s">
        <v>560</v>
      </c>
      <c r="J2480" t="str">
        <f>IFERROR(VLOOKUP(I2480,[1]AUTOS!$C:$G,2,0),"")</f>
        <v>AVEO</v>
      </c>
      <c r="K2480">
        <f>IFERROR(VLOOKUP(I2480,[1]AUTOS!$C:$G,3,0),"")</f>
        <v>2023</v>
      </c>
      <c r="L2480" t="str">
        <f>IFERROR(VLOOKUP(I2480,[1]AUTOS!$C:$G,4,0),"")</f>
        <v>VINO</v>
      </c>
      <c r="M2480" t="s">
        <v>43</v>
      </c>
      <c r="N2480" s="3">
        <v>4375.5200000000004</v>
      </c>
      <c r="O2480" s="3">
        <v>2143</v>
      </c>
      <c r="P2480" s="3">
        <v>2143</v>
      </c>
      <c r="Q2480" s="3">
        <v>0</v>
      </c>
    </row>
    <row r="2481" spans="1:17" hidden="1" x14ac:dyDescent="0.3">
      <c r="A2481">
        <v>44</v>
      </c>
      <c r="B2481" t="str">
        <f>VLOOKUP($A2481,[1]LISTA!$B:$C,2,0)</f>
        <v>OCTUBRE</v>
      </c>
      <c r="C2481" s="1">
        <v>2025</v>
      </c>
      <c r="D2481" s="1" t="str">
        <f>IF($A2481&lt;=[1]RESULTADOS!$D$6,"YTD","YTG")</f>
        <v>YTG</v>
      </c>
      <c r="E2481" t="s">
        <v>705</v>
      </c>
      <c r="F2481" t="s">
        <v>667</v>
      </c>
      <c r="G2481" t="s">
        <v>667</v>
      </c>
      <c r="H2481" t="s">
        <v>668</v>
      </c>
      <c r="I2481" t="s">
        <v>440</v>
      </c>
      <c r="J2481" t="str">
        <f>IFERROR(VLOOKUP(I2481,[1]AUTOS!$C:$G,2,0),"")</f>
        <v>AVEO</v>
      </c>
      <c r="K2481">
        <f>IFERROR(VLOOKUP(I2481,[1]AUTOS!$C:$G,3,0),"")</f>
        <v>2021</v>
      </c>
      <c r="L2481" t="str">
        <f>IFERROR(VLOOKUP(I2481,[1]AUTOS!$C:$G,4,0),"")</f>
        <v>GRIS</v>
      </c>
      <c r="M2481" t="s">
        <v>43</v>
      </c>
      <c r="N2481" s="3">
        <v>10544.34</v>
      </c>
      <c r="O2481" s="3">
        <v>1937</v>
      </c>
      <c r="P2481" s="3">
        <v>1937</v>
      </c>
      <c r="Q2481" s="3">
        <v>0</v>
      </c>
    </row>
    <row r="2482" spans="1:17" hidden="1" x14ac:dyDescent="0.3">
      <c r="A2482">
        <v>44</v>
      </c>
      <c r="B2482" t="str">
        <f>VLOOKUP($A2482,[1]LISTA!$B:$C,2,0)</f>
        <v>OCTUBRE</v>
      </c>
      <c r="C2482" s="1">
        <v>2025</v>
      </c>
      <c r="D2482" s="1" t="str">
        <f>IF($A2482&lt;=[1]RESULTADOS!$D$6,"YTD","YTG")</f>
        <v>YTG</v>
      </c>
      <c r="E2482" t="s">
        <v>721</v>
      </c>
      <c r="F2482" t="s">
        <v>667</v>
      </c>
      <c r="G2482" t="s">
        <v>667</v>
      </c>
      <c r="H2482" t="s">
        <v>668</v>
      </c>
      <c r="I2482" t="s">
        <v>61</v>
      </c>
      <c r="J2482" t="str">
        <f>IFERROR(VLOOKUP(I2482,[1]AUTOS!$C:$G,2,0),"")</f>
        <v>KIA RIO</v>
      </c>
      <c r="K2482">
        <f>IFERROR(VLOOKUP(I2482,[1]AUTOS!$C:$G,3,0),"")</f>
        <v>2017</v>
      </c>
      <c r="L2482" t="str">
        <f>IFERROR(VLOOKUP(I2482,[1]AUTOS!$C:$G,4,0),"")</f>
        <v>ROJO</v>
      </c>
      <c r="M2482" t="s">
        <v>35</v>
      </c>
      <c r="N2482" s="3">
        <v>4180.8700000000008</v>
      </c>
      <c r="O2482" s="3">
        <v>2500</v>
      </c>
      <c r="P2482" s="3">
        <v>2650</v>
      </c>
      <c r="Q2482" s="3">
        <v>500</v>
      </c>
    </row>
    <row r="2483" spans="1:17" hidden="1" x14ac:dyDescent="0.3">
      <c r="A2483">
        <v>44</v>
      </c>
      <c r="B2483" t="str">
        <f>VLOOKUP($A2483,[1]LISTA!$B:$C,2,0)</f>
        <v>OCTUBRE</v>
      </c>
      <c r="C2483" s="1">
        <v>2025</v>
      </c>
      <c r="D2483" s="1" t="str">
        <f>IF($A2483&lt;=[1]RESULTADOS!$D$6,"YTD","YTG")</f>
        <v>YTG</v>
      </c>
      <c r="E2483" t="s">
        <v>691</v>
      </c>
      <c r="F2483" t="s">
        <v>667</v>
      </c>
      <c r="G2483" t="s">
        <v>667</v>
      </c>
      <c r="H2483" t="s">
        <v>668</v>
      </c>
      <c r="I2483" t="s">
        <v>139</v>
      </c>
      <c r="J2483" t="str">
        <f>IFERROR(VLOOKUP(I2483,[1]AUTOS!$C:$G,2,0),"")</f>
        <v>SWIFT</v>
      </c>
      <c r="K2483">
        <f>IFERROR(VLOOKUP(I2483,[1]AUTOS!$C:$G,3,0),"")</f>
        <v>2017</v>
      </c>
      <c r="L2483" t="str">
        <f>IFERROR(VLOOKUP(I2483,[1]AUTOS!$C:$G,4,0),"")</f>
        <v>ROJO</v>
      </c>
      <c r="M2483" t="s">
        <v>140</v>
      </c>
      <c r="N2483" s="3">
        <v>3735.8099999999995</v>
      </c>
      <c r="O2483" s="3">
        <v>2500</v>
      </c>
      <c r="P2483" s="3">
        <v>2500</v>
      </c>
      <c r="Q2483" s="3">
        <v>0</v>
      </c>
    </row>
    <row r="2484" spans="1:17" hidden="1" x14ac:dyDescent="0.3">
      <c r="A2484">
        <v>44</v>
      </c>
      <c r="B2484" t="str">
        <f>VLOOKUP($A2484,[1]LISTA!$B:$C,2,0)</f>
        <v>OCTUBRE</v>
      </c>
      <c r="C2484" s="1">
        <v>2025</v>
      </c>
      <c r="D2484" s="1" t="str">
        <f>IF($A2484&lt;=[1]RESULTADOS!$D$6,"YTD","YTG")</f>
        <v>YTG</v>
      </c>
      <c r="E2484" t="s">
        <v>486</v>
      </c>
      <c r="F2484" t="s">
        <v>667</v>
      </c>
      <c r="G2484" t="s">
        <v>667</v>
      </c>
      <c r="H2484" t="s">
        <v>668</v>
      </c>
      <c r="I2484" t="s">
        <v>34</v>
      </c>
      <c r="J2484" t="str">
        <f>IFERROR(VLOOKUP(I2484,[1]AUTOS!$C:$G,2,0),"")</f>
        <v>AVEO</v>
      </c>
      <c r="K2484">
        <f>IFERROR(VLOOKUP(I2484,[1]AUTOS!$C:$G,3,0),"")</f>
        <v>2018</v>
      </c>
      <c r="L2484" t="str">
        <f>IFERROR(VLOOKUP(I2484,[1]AUTOS!$C:$G,4,0),"")</f>
        <v>ROJO</v>
      </c>
      <c r="M2484" t="s">
        <v>35</v>
      </c>
      <c r="N2484" s="3">
        <v>4475.92</v>
      </c>
      <c r="O2484" s="3">
        <v>2500</v>
      </c>
      <c r="P2484" s="3">
        <v>2500</v>
      </c>
      <c r="Q2484" s="3">
        <v>0</v>
      </c>
    </row>
    <row r="2485" spans="1:17" hidden="1" x14ac:dyDescent="0.3">
      <c r="A2485">
        <v>44</v>
      </c>
      <c r="B2485" t="str">
        <f>VLOOKUP($A2485,[1]LISTA!$B:$C,2,0)</f>
        <v>OCTUBRE</v>
      </c>
      <c r="C2485" s="1">
        <v>2025</v>
      </c>
      <c r="D2485" s="1" t="str">
        <f>IF($A2485&lt;=[1]RESULTADOS!$D$6,"YTD","YTG")</f>
        <v>YTG</v>
      </c>
      <c r="E2485" t="s">
        <v>704</v>
      </c>
      <c r="F2485" t="s">
        <v>667</v>
      </c>
      <c r="G2485" t="s">
        <v>667</v>
      </c>
      <c r="H2485" t="s">
        <v>668</v>
      </c>
      <c r="I2485" t="s">
        <v>37</v>
      </c>
      <c r="J2485" t="str">
        <f>IFERROR(VLOOKUP(I2485,[1]AUTOS!$C:$G,2,0),"")</f>
        <v>BEAT</v>
      </c>
      <c r="K2485">
        <f>IFERROR(VLOOKUP(I2485,[1]AUTOS!$C:$G,3,0),"")</f>
        <v>2020</v>
      </c>
      <c r="L2485" t="str">
        <f>IFERROR(VLOOKUP(I2485,[1]AUTOS!$C:$G,4,0),"")</f>
        <v>GRIS</v>
      </c>
      <c r="M2485" t="s">
        <v>35</v>
      </c>
      <c r="N2485" s="3">
        <v>0</v>
      </c>
      <c r="O2485" s="3">
        <v>0</v>
      </c>
      <c r="P2485" s="3">
        <v>-500</v>
      </c>
      <c r="Q2485" s="3">
        <v>-500</v>
      </c>
    </row>
    <row r="2486" spans="1:17" hidden="1" x14ac:dyDescent="0.3">
      <c r="A2486">
        <v>44</v>
      </c>
      <c r="B2486" t="str">
        <f>VLOOKUP($A2486,[1]LISTA!$B:$C,2,0)</f>
        <v>OCTUBRE</v>
      </c>
      <c r="C2486" s="1">
        <v>2025</v>
      </c>
      <c r="D2486" s="1" t="str">
        <f>IF($A2486&lt;=[1]RESULTADOS!$D$6,"YTD","YTG")</f>
        <v>YTG</v>
      </c>
      <c r="E2486" t="s">
        <v>574</v>
      </c>
      <c r="F2486" t="s">
        <v>667</v>
      </c>
      <c r="G2486" t="s">
        <v>667</v>
      </c>
      <c r="H2486" t="s">
        <v>668</v>
      </c>
      <c r="I2486" t="s">
        <v>333</v>
      </c>
      <c r="J2486" t="str">
        <f>IFERROR(VLOOKUP(I2486,[1]AUTOS!$C:$G,2,0),"")</f>
        <v>BEAT</v>
      </c>
      <c r="K2486">
        <f>IFERROR(VLOOKUP(I2486,[1]AUTOS!$C:$G,3,0),"")</f>
        <v>2019</v>
      </c>
      <c r="L2486" t="str">
        <f>IFERROR(VLOOKUP(I2486,[1]AUTOS!$C:$G,4,0),"")</f>
        <v>OCRE</v>
      </c>
      <c r="M2486" t="s">
        <v>43</v>
      </c>
      <c r="N2486" s="3">
        <v>-150.41000000000003</v>
      </c>
      <c r="O2486" s="3">
        <v>2500</v>
      </c>
      <c r="P2486" s="3">
        <v>2499.59</v>
      </c>
      <c r="Q2486" s="3">
        <v>0</v>
      </c>
    </row>
    <row r="2487" spans="1:17" hidden="1" x14ac:dyDescent="0.3">
      <c r="A2487">
        <v>44</v>
      </c>
      <c r="B2487" t="str">
        <f>VLOOKUP($A2487,[1]LISTA!$B:$C,2,0)</f>
        <v>OCTUBRE</v>
      </c>
      <c r="C2487" s="1">
        <v>2025</v>
      </c>
      <c r="D2487" s="1" t="str">
        <f>IF($A2487&lt;=[1]RESULTADOS!$D$6,"YTD","YTG")</f>
        <v>YTG</v>
      </c>
      <c r="E2487" t="s">
        <v>436</v>
      </c>
      <c r="F2487" t="s">
        <v>667</v>
      </c>
      <c r="G2487" t="s">
        <v>667</v>
      </c>
      <c r="H2487" t="s">
        <v>668</v>
      </c>
      <c r="I2487" t="s">
        <v>112</v>
      </c>
      <c r="J2487" t="str">
        <f>IFERROR(VLOOKUP(I2487,[1]AUTOS!$C:$G,2,0),"")</f>
        <v>KIA RIO</v>
      </c>
      <c r="K2487">
        <f>IFERROR(VLOOKUP(I2487,[1]AUTOS!$C:$G,3,0),"")</f>
        <v>2020</v>
      </c>
      <c r="L2487" t="str">
        <f>IFERROR(VLOOKUP(I2487,[1]AUTOS!$C:$G,4,0),"")</f>
        <v>ROJO</v>
      </c>
      <c r="M2487" t="s">
        <v>43</v>
      </c>
      <c r="N2487" s="3">
        <v>1828.6699999999998</v>
      </c>
      <c r="O2487" s="3">
        <v>2500</v>
      </c>
      <c r="P2487" s="3">
        <v>2375.67</v>
      </c>
      <c r="Q2487" s="3">
        <v>0</v>
      </c>
    </row>
    <row r="2488" spans="1:17" hidden="1" x14ac:dyDescent="0.3">
      <c r="A2488">
        <v>44</v>
      </c>
      <c r="B2488" t="str">
        <f>VLOOKUP($A2488,[1]LISTA!$B:$C,2,0)</f>
        <v>OCTUBRE</v>
      </c>
      <c r="C2488" s="1">
        <v>2025</v>
      </c>
      <c r="D2488" s="1" t="str">
        <f>IF($A2488&lt;=[1]RESULTADOS!$D$6,"YTD","YTG")</f>
        <v>YTG</v>
      </c>
      <c r="E2488" t="s">
        <v>456</v>
      </c>
      <c r="F2488" t="s">
        <v>667</v>
      </c>
      <c r="G2488" t="s">
        <v>667</v>
      </c>
      <c r="H2488" t="s">
        <v>668</v>
      </c>
      <c r="I2488" t="s">
        <v>146</v>
      </c>
      <c r="J2488" t="str">
        <f>IFERROR(VLOOKUP(I2488,[1]AUTOS!$C:$G,2,0),"")</f>
        <v>KIA RIO</v>
      </c>
      <c r="K2488">
        <f>IFERROR(VLOOKUP(I2488,[1]AUTOS!$C:$G,3,0),"")</f>
        <v>2023</v>
      </c>
      <c r="L2488" t="str">
        <f>IFERROR(VLOOKUP(I2488,[1]AUTOS!$C:$G,4,0),"")</f>
        <v>ROJO</v>
      </c>
      <c r="M2488" t="s">
        <v>35</v>
      </c>
      <c r="N2488" s="3">
        <v>6368.0699999999988</v>
      </c>
      <c r="O2488" s="3">
        <v>2500</v>
      </c>
      <c r="P2488" s="3">
        <v>3200</v>
      </c>
      <c r="Q2488" s="3">
        <v>0</v>
      </c>
    </row>
    <row r="2489" spans="1:17" hidden="1" x14ac:dyDescent="0.3">
      <c r="A2489">
        <v>44</v>
      </c>
      <c r="B2489" t="str">
        <f>VLOOKUP($A2489,[1]LISTA!$B:$C,2,0)</f>
        <v>OCTUBRE</v>
      </c>
      <c r="C2489" s="1">
        <v>2025</v>
      </c>
      <c r="D2489" s="1" t="str">
        <f>IF($A2489&lt;=[1]RESULTADOS!$D$6,"YTD","YTG")</f>
        <v>YTG</v>
      </c>
      <c r="E2489" t="s">
        <v>714</v>
      </c>
      <c r="F2489" t="s">
        <v>667</v>
      </c>
      <c r="G2489" t="s">
        <v>667</v>
      </c>
      <c r="H2489" t="s">
        <v>668</v>
      </c>
      <c r="I2489" t="s">
        <v>510</v>
      </c>
      <c r="J2489" t="str">
        <f>IFERROR(VLOOKUP(I2489,[1]AUTOS!$C:$G,2,0),"")</f>
        <v>AVEO</v>
      </c>
      <c r="K2489">
        <f>IFERROR(VLOOKUP(I2489,[1]AUTOS!$C:$G,3,0),"")</f>
        <v>2023</v>
      </c>
      <c r="L2489" t="str">
        <f>IFERROR(VLOOKUP(I2489,[1]AUTOS!$C:$G,4,0),"")</f>
        <v>GRIS</v>
      </c>
      <c r="M2489" t="s">
        <v>43</v>
      </c>
      <c r="N2489" s="3">
        <v>4426.62</v>
      </c>
      <c r="O2489" s="3">
        <v>2500</v>
      </c>
      <c r="P2489" s="3">
        <v>3385</v>
      </c>
      <c r="Q2489" s="3">
        <v>0</v>
      </c>
    </row>
    <row r="2490" spans="1:17" hidden="1" x14ac:dyDescent="0.3">
      <c r="A2490">
        <v>44</v>
      </c>
      <c r="B2490" t="str">
        <f>VLOOKUP($A2490,[1]LISTA!$B:$C,2,0)</f>
        <v>OCTUBRE</v>
      </c>
      <c r="C2490" s="1">
        <v>2025</v>
      </c>
      <c r="D2490" s="1" t="str">
        <f>IF($A2490&lt;=[1]RESULTADOS!$D$6,"YTD","YTG")</f>
        <v>YTG</v>
      </c>
      <c r="E2490" t="s">
        <v>563</v>
      </c>
      <c r="F2490" t="s">
        <v>667</v>
      </c>
      <c r="G2490" t="s">
        <v>667</v>
      </c>
      <c r="H2490" t="s">
        <v>668</v>
      </c>
      <c r="I2490" t="s">
        <v>61</v>
      </c>
      <c r="J2490" t="str">
        <f>IFERROR(VLOOKUP(I2490,[1]AUTOS!$C:$G,2,0),"")</f>
        <v>KIA RIO</v>
      </c>
      <c r="K2490">
        <f>IFERROR(VLOOKUP(I2490,[1]AUTOS!$C:$G,3,0),"")</f>
        <v>2017</v>
      </c>
      <c r="L2490" t="str">
        <f>IFERROR(VLOOKUP(I2490,[1]AUTOS!$C:$G,4,0),"")</f>
        <v>ROJO</v>
      </c>
      <c r="N2490" s="3">
        <v>0</v>
      </c>
      <c r="O2490" s="3">
        <v>0</v>
      </c>
      <c r="P2490" s="3">
        <v>-500</v>
      </c>
      <c r="Q2490" s="3">
        <v>-500</v>
      </c>
    </row>
    <row r="2491" spans="1:17" hidden="1" x14ac:dyDescent="0.3">
      <c r="A2491">
        <v>44</v>
      </c>
      <c r="B2491" t="str">
        <f>VLOOKUP($A2491,[1]LISTA!$B:$C,2,0)</f>
        <v>OCTUBRE</v>
      </c>
      <c r="C2491" s="1">
        <v>2025</v>
      </c>
      <c r="D2491" s="1" t="str">
        <f>IF($A2491&lt;=[1]RESULTADOS!$D$6,"YTD","YTG")</f>
        <v>YTG</v>
      </c>
      <c r="E2491" t="s">
        <v>720</v>
      </c>
      <c r="F2491" t="s">
        <v>667</v>
      </c>
      <c r="G2491" t="s">
        <v>667</v>
      </c>
      <c r="H2491" t="s">
        <v>668</v>
      </c>
      <c r="I2491" t="s">
        <v>37</v>
      </c>
      <c r="J2491" t="str">
        <f>IFERROR(VLOOKUP(I2491,[1]AUTOS!$C:$G,2,0),"")</f>
        <v>BEAT</v>
      </c>
      <c r="K2491">
        <f>IFERROR(VLOOKUP(I2491,[1]AUTOS!$C:$G,3,0),"")</f>
        <v>2020</v>
      </c>
      <c r="L2491" t="str">
        <f>IFERROR(VLOOKUP(I2491,[1]AUTOS!$C:$G,4,0),"")</f>
        <v>GRIS</v>
      </c>
      <c r="N2491" s="3">
        <v>1899.46</v>
      </c>
      <c r="O2491" s="3">
        <v>1899</v>
      </c>
      <c r="P2491" s="3">
        <v>1899</v>
      </c>
      <c r="Q2491" s="3">
        <v>0</v>
      </c>
    </row>
    <row r="2492" spans="1:17" hidden="1" x14ac:dyDescent="0.3">
      <c r="A2492">
        <v>44</v>
      </c>
      <c r="B2492" t="str">
        <f>VLOOKUP($A2492,[1]LISTA!$B:$C,2,0)</f>
        <v>OCTUBRE</v>
      </c>
      <c r="C2492" s="1">
        <v>2025</v>
      </c>
      <c r="D2492" s="1" t="str">
        <f>IF($A2492&lt;=[1]RESULTADOS!$D$6,"YTD","YTG")</f>
        <v>YTG</v>
      </c>
      <c r="E2492" t="s">
        <v>496</v>
      </c>
      <c r="F2492" t="s">
        <v>667</v>
      </c>
      <c r="G2492" t="s">
        <v>667</v>
      </c>
      <c r="H2492" t="s">
        <v>668</v>
      </c>
      <c r="I2492" t="s">
        <v>547</v>
      </c>
      <c r="J2492" t="str">
        <f>IFERROR(VLOOKUP(I2492,[1]AUTOS!$C:$G,2,0),"")</f>
        <v>AVEO</v>
      </c>
      <c r="K2492">
        <f>IFERROR(VLOOKUP(I2492,[1]AUTOS!$C:$G,3,0),"")</f>
        <v>2022</v>
      </c>
      <c r="L2492" t="str">
        <f>IFERROR(VLOOKUP(I2492,[1]AUTOS!$C:$G,4,0),"")</f>
        <v>VINO</v>
      </c>
      <c r="N2492" s="3">
        <v>5861.15</v>
      </c>
      <c r="O2492" s="3">
        <v>2321</v>
      </c>
      <c r="P2492" s="3">
        <v>3451</v>
      </c>
      <c r="Q2492" s="3">
        <v>1000</v>
      </c>
    </row>
    <row r="2493" spans="1:17" hidden="1" x14ac:dyDescent="0.3">
      <c r="A2493">
        <v>44</v>
      </c>
      <c r="B2493" t="str">
        <f>VLOOKUP($A2493,[1]LISTA!$B:$C,2,0)</f>
        <v>OCTUBRE</v>
      </c>
      <c r="C2493" s="1">
        <v>2025</v>
      </c>
      <c r="D2493" s="1" t="str">
        <f>IF($A2493&lt;=[1]RESULTADOS!$D$6,"YTD","YTG")</f>
        <v>YTG</v>
      </c>
      <c r="E2493" t="s">
        <v>717</v>
      </c>
      <c r="F2493" t="s">
        <v>667</v>
      </c>
      <c r="G2493" t="s">
        <v>667</v>
      </c>
      <c r="H2493" t="s">
        <v>668</v>
      </c>
      <c r="I2493" t="s">
        <v>495</v>
      </c>
      <c r="J2493" t="str">
        <f>IFERROR(VLOOKUP(I2493,[1]AUTOS!$C:$G,2,0),"")</f>
        <v>VERSA</v>
      </c>
      <c r="K2493">
        <f>IFERROR(VLOOKUP(I2493,[1]AUTOS!$C:$G,3,0),"")</f>
        <v>2021</v>
      </c>
      <c r="L2493" t="str">
        <f>IFERROR(VLOOKUP(I2493,[1]AUTOS!$C:$G,4,0),"")</f>
        <v>BLANCO</v>
      </c>
      <c r="N2493" s="3">
        <v>2271.89</v>
      </c>
      <c r="O2493" s="3">
        <v>2500</v>
      </c>
      <c r="P2493" s="3">
        <v>2499.89</v>
      </c>
      <c r="Q2493" s="3">
        <v>0</v>
      </c>
    </row>
    <row r="2494" spans="1:17" hidden="1" x14ac:dyDescent="0.3">
      <c r="A2494">
        <v>44</v>
      </c>
      <c r="B2494" t="str">
        <f>VLOOKUP($A2494,[1]LISTA!$B:$C,2,0)</f>
        <v>OCTUBRE</v>
      </c>
      <c r="C2494" s="1">
        <v>2025</v>
      </c>
      <c r="D2494" s="1" t="str">
        <f>IF($A2494&lt;=[1]RESULTADOS!$D$6,"YTD","YTG")</f>
        <v>YTG</v>
      </c>
      <c r="E2494" t="s">
        <v>594</v>
      </c>
      <c r="F2494" t="s">
        <v>667</v>
      </c>
      <c r="G2494" t="s">
        <v>667</v>
      </c>
      <c r="H2494" t="s">
        <v>668</v>
      </c>
      <c r="I2494" t="s">
        <v>313</v>
      </c>
      <c r="J2494" t="str">
        <f>IFERROR(VLOOKUP(I2494,[1]AUTOS!$C:$G,2,0),"")</f>
        <v>MARCH</v>
      </c>
      <c r="K2494">
        <f>IFERROR(VLOOKUP(I2494,[1]AUTOS!$C:$G,3,0),"")</f>
        <v>2019</v>
      </c>
      <c r="L2494" t="str">
        <f>IFERROR(VLOOKUP(I2494,[1]AUTOS!$C:$G,4,0),"")</f>
        <v>TURQ</v>
      </c>
      <c r="M2494" t="s">
        <v>140</v>
      </c>
      <c r="N2494" s="3">
        <v>2771.39</v>
      </c>
      <c r="O2494" s="3">
        <v>2500</v>
      </c>
      <c r="P2494" s="3">
        <v>2771.39</v>
      </c>
      <c r="Q2494" s="3">
        <v>500</v>
      </c>
    </row>
    <row r="2495" spans="1:17" hidden="1" x14ac:dyDescent="0.3">
      <c r="A2495">
        <v>45</v>
      </c>
      <c r="B2495" t="str">
        <f>VLOOKUP($A2495,[1]LISTA!$B:$C,2,0)</f>
        <v>NOVIEMBRE</v>
      </c>
      <c r="C2495" s="1">
        <v>2025</v>
      </c>
      <c r="D2495" s="1" t="str">
        <f>IF($A2495&lt;=[1]RESULTADOS!$D$6,"YTD","YTG")</f>
        <v>YTG</v>
      </c>
      <c r="E2495" t="s">
        <v>720</v>
      </c>
      <c r="F2495" t="s">
        <v>667</v>
      </c>
      <c r="G2495" t="s">
        <v>667</v>
      </c>
      <c r="H2495" t="s">
        <v>668</v>
      </c>
      <c r="I2495" t="s">
        <v>46</v>
      </c>
      <c r="J2495" t="str">
        <f>IFERROR(VLOOKUP(I2495,[1]AUTOS!$C:$G,2,0),"")</f>
        <v>MARCH</v>
      </c>
      <c r="K2495">
        <f>IFERROR(VLOOKUP(I2495,[1]AUTOS!$C:$G,3,0),"")</f>
        <v>2020</v>
      </c>
      <c r="L2495" t="str">
        <f>IFERROR(VLOOKUP(I2495,[1]AUTOS!$C:$G,4,0),"")</f>
        <v>TURQ</v>
      </c>
      <c r="N2495" s="3">
        <v>7169.64</v>
      </c>
      <c r="O2495" s="3">
        <v>2500</v>
      </c>
      <c r="P2495" s="3">
        <v>3700</v>
      </c>
      <c r="Q2495" s="3">
        <v>500</v>
      </c>
    </row>
    <row r="2496" spans="1:17" hidden="1" x14ac:dyDescent="0.3">
      <c r="A2496">
        <v>45</v>
      </c>
      <c r="B2496" t="str">
        <f>VLOOKUP($A2496,[1]LISTA!$B:$C,2,0)</f>
        <v>NOVIEMBRE</v>
      </c>
      <c r="C2496" s="1">
        <v>2025</v>
      </c>
      <c r="D2496" s="1" t="str">
        <f>IF($A2496&lt;=[1]RESULTADOS!$D$6,"YTD","YTG")</f>
        <v>YTG</v>
      </c>
      <c r="E2496" t="s">
        <v>722</v>
      </c>
      <c r="F2496" t="s">
        <v>667</v>
      </c>
      <c r="G2496" t="s">
        <v>667</v>
      </c>
      <c r="H2496" t="s">
        <v>668</v>
      </c>
      <c r="I2496" t="s">
        <v>185</v>
      </c>
      <c r="J2496" t="str">
        <f>IFERROR(VLOOKUP(I2496,[1]AUTOS!$C:$G,2,0),"")</f>
        <v>MARCH</v>
      </c>
      <c r="K2496">
        <f>IFERROR(VLOOKUP(I2496,[1]AUTOS!$C:$G,3,0),"")</f>
        <v>2021</v>
      </c>
      <c r="L2496" t="str">
        <f>IFERROR(VLOOKUP(I2496,[1]AUTOS!$C:$G,4,0),"")</f>
        <v>ROJO</v>
      </c>
      <c r="N2496" s="3">
        <v>5943.4599999999991</v>
      </c>
      <c r="O2496" s="3">
        <v>2500</v>
      </c>
      <c r="P2496" s="3">
        <v>3000</v>
      </c>
      <c r="Q2496" s="3">
        <v>500</v>
      </c>
    </row>
    <row r="2497" spans="1:17" hidden="1" x14ac:dyDescent="0.3">
      <c r="A2497">
        <v>45</v>
      </c>
      <c r="B2497" t="str">
        <f>VLOOKUP($A2497,[1]LISTA!$B:$C,2,0)</f>
        <v>NOVIEMBRE</v>
      </c>
      <c r="C2497" s="1">
        <v>2025</v>
      </c>
      <c r="D2497" s="1" t="str">
        <f>IF($A2497&lt;=[1]RESULTADOS!$D$6,"YTD","YTG")</f>
        <v>YTG</v>
      </c>
      <c r="E2497" t="s">
        <v>630</v>
      </c>
      <c r="F2497" t="s">
        <v>667</v>
      </c>
      <c r="G2497" t="s">
        <v>667</v>
      </c>
      <c r="H2497" t="s">
        <v>668</v>
      </c>
      <c r="I2497" t="s">
        <v>51</v>
      </c>
      <c r="J2497" t="str">
        <f>IFERROR(VLOOKUP(I2497,[1]AUTOS!$C:$G,2,0),"")</f>
        <v>VENTO</v>
      </c>
      <c r="K2497">
        <f>IFERROR(VLOOKUP(I2497,[1]AUTOS!$C:$G,3,0),"")</f>
        <v>2017</v>
      </c>
      <c r="L2497" t="str">
        <f>IFERROR(VLOOKUP(I2497,[1]AUTOS!$C:$G,4,0),"")</f>
        <v>GRIS</v>
      </c>
      <c r="N2497" s="3">
        <v>5898.2699999999986</v>
      </c>
      <c r="O2497" s="3">
        <v>2500</v>
      </c>
      <c r="P2497" s="3">
        <v>3000</v>
      </c>
      <c r="Q2497" s="3">
        <v>500</v>
      </c>
    </row>
    <row r="2498" spans="1:17" hidden="1" x14ac:dyDescent="0.3">
      <c r="A2498">
        <v>45</v>
      </c>
      <c r="B2498" t="str">
        <f>VLOOKUP($A2498,[1]LISTA!$B:$C,2,0)</f>
        <v>NOVIEMBRE</v>
      </c>
      <c r="C2498" s="1">
        <v>2025</v>
      </c>
      <c r="D2498" s="1" t="str">
        <f>IF($A2498&lt;=[1]RESULTADOS!$D$6,"YTD","YTG")</f>
        <v>YTG</v>
      </c>
      <c r="E2498" t="s">
        <v>399</v>
      </c>
      <c r="F2498" t="s">
        <v>667</v>
      </c>
      <c r="G2498" t="s">
        <v>667</v>
      </c>
      <c r="H2498" t="s">
        <v>668</v>
      </c>
      <c r="I2498" t="s">
        <v>162</v>
      </c>
      <c r="J2498" t="str">
        <f>IFERROR(VLOOKUP(I2498,[1]AUTOS!$C:$G,2,0),"")</f>
        <v>HYUNDAI</v>
      </c>
      <c r="K2498">
        <f>IFERROR(VLOOKUP(I2498,[1]AUTOS!$C:$G,3,0),"")</f>
        <v>2022</v>
      </c>
      <c r="L2498" t="str">
        <f>IFERROR(VLOOKUP(I2498,[1]AUTOS!$C:$G,4,0),"")</f>
        <v>PLATA</v>
      </c>
      <c r="N2498" s="3">
        <v>5577.74</v>
      </c>
      <c r="O2498" s="3">
        <v>2500</v>
      </c>
      <c r="P2498" s="3">
        <v>3500</v>
      </c>
      <c r="Q2498" s="3">
        <v>0</v>
      </c>
    </row>
    <row r="2499" spans="1:17" hidden="1" x14ac:dyDescent="0.3">
      <c r="A2499">
        <v>45</v>
      </c>
      <c r="B2499" t="str">
        <f>VLOOKUP($A2499,[1]LISTA!$B:$C,2,0)</f>
        <v>NOVIEMBRE</v>
      </c>
      <c r="C2499" s="1">
        <v>2025</v>
      </c>
      <c r="D2499" s="1" t="str">
        <f>IF($A2499&lt;=[1]RESULTADOS!$D$6,"YTD","YTG")</f>
        <v>YTG</v>
      </c>
      <c r="E2499" t="s">
        <v>709</v>
      </c>
      <c r="F2499" t="s">
        <v>667</v>
      </c>
      <c r="G2499" t="s">
        <v>667</v>
      </c>
      <c r="H2499" t="s">
        <v>668</v>
      </c>
      <c r="I2499" t="s">
        <v>185</v>
      </c>
      <c r="J2499" t="str">
        <f>IFERROR(VLOOKUP(I2499,[1]AUTOS!$C:$G,2,0),"")</f>
        <v>MARCH</v>
      </c>
      <c r="K2499">
        <f>IFERROR(VLOOKUP(I2499,[1]AUTOS!$C:$G,3,0),"")</f>
        <v>2021</v>
      </c>
      <c r="L2499" t="str">
        <f>IFERROR(VLOOKUP(I2499,[1]AUTOS!$C:$G,4,0),"")</f>
        <v>ROJO</v>
      </c>
      <c r="N2499" s="3">
        <v>3270.5200000000004</v>
      </c>
      <c r="O2499" s="3">
        <v>2500</v>
      </c>
      <c r="P2499" s="3">
        <v>3000</v>
      </c>
      <c r="Q2499" s="3">
        <v>500</v>
      </c>
    </row>
    <row r="2500" spans="1:17" x14ac:dyDescent="0.3">
      <c r="A2500">
        <v>45</v>
      </c>
      <c r="B2500" t="str">
        <f>VLOOKUP($A2500,[1]LISTA!$B:$C,2,0)</f>
        <v>NOVIEMBRE</v>
      </c>
      <c r="C2500" s="1">
        <v>2025</v>
      </c>
      <c r="D2500" s="1" t="str">
        <f>IF($A2500&lt;=[1]RESULTADOS!$D$6,"YTD","YTG")</f>
        <v>YTG</v>
      </c>
      <c r="E2500" t="s">
        <v>403</v>
      </c>
      <c r="F2500" t="s">
        <v>667</v>
      </c>
      <c r="G2500" t="s">
        <v>667</v>
      </c>
      <c r="H2500" t="s">
        <v>668</v>
      </c>
      <c r="I2500" t="s">
        <v>72</v>
      </c>
      <c r="J2500" t="str">
        <f>IFERROR(VLOOKUP(I2500,[1]AUTOS!$C:$G,2,0),"")</f>
        <v>VENTO</v>
      </c>
      <c r="K2500">
        <f>IFERROR(VLOOKUP(I2500,[1]AUTOS!$C:$G,3,0),"")</f>
        <v>2020</v>
      </c>
      <c r="L2500" t="str">
        <f>IFERROR(VLOOKUP(I2500,[1]AUTOS!$C:$G,4,0),"")</f>
        <v>GRIS</v>
      </c>
      <c r="N2500" s="3">
        <v>2842.08</v>
      </c>
      <c r="O2500" s="3">
        <v>2500</v>
      </c>
      <c r="P2500" s="3">
        <v>2500</v>
      </c>
      <c r="Q2500" s="3">
        <v>0</v>
      </c>
    </row>
    <row r="2501" spans="1:17" hidden="1" x14ac:dyDescent="0.3">
      <c r="A2501">
        <v>45</v>
      </c>
      <c r="B2501" t="str">
        <f>VLOOKUP($A2501,[1]LISTA!$B:$C,2,0)</f>
        <v>NOVIEMBRE</v>
      </c>
      <c r="C2501" s="1">
        <v>2025</v>
      </c>
      <c r="D2501" s="1" t="str">
        <f>IF($A2501&lt;=[1]RESULTADOS!$D$6,"YTD","YTG")</f>
        <v>YTG</v>
      </c>
      <c r="E2501" t="s">
        <v>719</v>
      </c>
      <c r="F2501" t="s">
        <v>667</v>
      </c>
      <c r="G2501" t="s">
        <v>667</v>
      </c>
      <c r="H2501" t="s">
        <v>668</v>
      </c>
      <c r="I2501" t="s">
        <v>82</v>
      </c>
      <c r="J2501" t="str">
        <f>IFERROR(VLOOKUP(I2501,[1]AUTOS!$C:$G,2,0),"")</f>
        <v>AVEO</v>
      </c>
      <c r="K2501">
        <f>IFERROR(VLOOKUP(I2501,[1]AUTOS!$C:$G,3,0),"")</f>
        <v>2019</v>
      </c>
      <c r="L2501" t="str">
        <f>IFERROR(VLOOKUP(I2501,[1]AUTOS!$C:$G,4,0),"")</f>
        <v>PLATA</v>
      </c>
      <c r="N2501" s="3">
        <v>2794.6</v>
      </c>
      <c r="O2501" s="3">
        <v>2500</v>
      </c>
      <c r="P2501" s="3">
        <v>2500</v>
      </c>
      <c r="Q2501" s="3">
        <v>0</v>
      </c>
    </row>
    <row r="2502" spans="1:17" hidden="1" x14ac:dyDescent="0.3">
      <c r="A2502">
        <v>45</v>
      </c>
      <c r="B2502" t="str">
        <f>VLOOKUP($A2502,[1]LISTA!$B:$C,2,0)</f>
        <v>NOVIEMBRE</v>
      </c>
      <c r="C2502" s="1">
        <v>2025</v>
      </c>
      <c r="D2502" s="1" t="str">
        <f>IF($A2502&lt;=[1]RESULTADOS!$D$6,"YTD","YTG")</f>
        <v>YTG</v>
      </c>
      <c r="E2502" t="s">
        <v>622</v>
      </c>
      <c r="F2502" t="s">
        <v>667</v>
      </c>
      <c r="G2502" t="s">
        <v>667</v>
      </c>
      <c r="H2502" t="s">
        <v>668</v>
      </c>
      <c r="I2502" t="s">
        <v>76</v>
      </c>
      <c r="J2502" t="str">
        <f>IFERROR(VLOOKUP(I2502,[1]AUTOS!$C:$G,2,0),"")</f>
        <v>AVEO</v>
      </c>
      <c r="K2502">
        <f>IFERROR(VLOOKUP(I2502,[1]AUTOS!$C:$G,3,0),"")</f>
        <v>2018</v>
      </c>
      <c r="L2502" t="str">
        <f>IFERROR(VLOOKUP(I2502,[1]AUTOS!$C:$G,4,0),"")</f>
        <v>GRIS</v>
      </c>
      <c r="N2502" s="3">
        <v>2170.21</v>
      </c>
      <c r="O2502" s="3">
        <v>2500</v>
      </c>
      <c r="P2502" s="3">
        <v>3200.21</v>
      </c>
      <c r="Q2502" s="3">
        <v>0</v>
      </c>
    </row>
    <row r="2503" spans="1:17" hidden="1" x14ac:dyDescent="0.3">
      <c r="A2503">
        <v>45</v>
      </c>
      <c r="B2503" t="str">
        <f>VLOOKUP($A2503,[1]LISTA!$B:$C,2,0)</f>
        <v>NOVIEMBRE</v>
      </c>
      <c r="C2503" s="1">
        <v>2025</v>
      </c>
      <c r="D2503" s="1" t="str">
        <f>IF($A2503&lt;=[1]RESULTADOS!$D$6,"YTD","YTG")</f>
        <v>YTG</v>
      </c>
      <c r="E2503" t="s">
        <v>706</v>
      </c>
      <c r="F2503" t="s">
        <v>667</v>
      </c>
      <c r="G2503" t="s">
        <v>667</v>
      </c>
      <c r="H2503" t="s">
        <v>668</v>
      </c>
      <c r="I2503" t="s">
        <v>131</v>
      </c>
      <c r="J2503" t="str">
        <f>IFERROR(VLOOKUP(I2503,[1]AUTOS!$C:$G,2,0),"")</f>
        <v>AVEO</v>
      </c>
      <c r="K2503">
        <f>IFERROR(VLOOKUP(I2503,[1]AUTOS!$C:$G,3,0),"")</f>
        <v>2024</v>
      </c>
      <c r="L2503" t="str">
        <f>IFERROR(VLOOKUP(I2503,[1]AUTOS!$C:$G,4,0),"")</f>
        <v>GRIS</v>
      </c>
      <c r="N2503" s="3">
        <v>2145.09</v>
      </c>
      <c r="O2503" s="3">
        <v>2500</v>
      </c>
      <c r="P2503" s="3">
        <v>3000.09</v>
      </c>
      <c r="Q2503" s="3">
        <v>500</v>
      </c>
    </row>
    <row r="2504" spans="1:17" hidden="1" x14ac:dyDescent="0.3">
      <c r="A2504">
        <v>45</v>
      </c>
      <c r="B2504" t="str">
        <f>VLOOKUP($A2504,[1]LISTA!$B:$C,2,0)</f>
        <v>NOVIEMBRE</v>
      </c>
      <c r="C2504" s="1">
        <v>2025</v>
      </c>
      <c r="D2504" s="1" t="str">
        <f>IF($A2504&lt;=[1]RESULTADOS!$D$6,"YTD","YTG")</f>
        <v>YTG</v>
      </c>
      <c r="E2504" t="s">
        <v>703</v>
      </c>
      <c r="F2504" t="s">
        <v>667</v>
      </c>
      <c r="G2504" t="s">
        <v>667</v>
      </c>
      <c r="H2504" t="s">
        <v>668</v>
      </c>
      <c r="I2504" t="s">
        <v>182</v>
      </c>
      <c r="J2504" t="str">
        <f>IFERROR(VLOOKUP(I2504,[1]AUTOS!$C:$G,2,0),"")</f>
        <v>AVEO</v>
      </c>
      <c r="K2504">
        <f>IFERROR(VLOOKUP(I2504,[1]AUTOS!$C:$G,3,0),"")</f>
        <v>2020</v>
      </c>
      <c r="L2504" t="str">
        <f>IFERROR(VLOOKUP(I2504,[1]AUTOS!$C:$G,4,0),"")</f>
        <v>AZUL</v>
      </c>
      <c r="N2504" s="3">
        <v>1041.3800000000001</v>
      </c>
      <c r="O2504" s="3">
        <v>1071.4285714285716</v>
      </c>
      <c r="P2504" s="3">
        <v>1071.3800000000001</v>
      </c>
      <c r="Q2504" s="3">
        <v>0</v>
      </c>
    </row>
    <row r="2505" spans="1:17" hidden="1" x14ac:dyDescent="0.3">
      <c r="A2505">
        <v>45</v>
      </c>
      <c r="B2505" t="str">
        <f>VLOOKUP($A2505,[1]LISTA!$B:$C,2,0)</f>
        <v>NOVIEMBRE</v>
      </c>
      <c r="C2505" s="1">
        <v>2025</v>
      </c>
      <c r="D2505" s="1" t="str">
        <f>IF($A2505&lt;=[1]RESULTADOS!$D$6,"YTD","YTG")</f>
        <v>YTG</v>
      </c>
      <c r="E2505" t="s">
        <v>723</v>
      </c>
      <c r="F2505" t="s">
        <v>667</v>
      </c>
      <c r="G2505" t="s">
        <v>667</v>
      </c>
      <c r="H2505" t="s">
        <v>668</v>
      </c>
      <c r="I2505" t="s">
        <v>59</v>
      </c>
      <c r="J2505" t="str">
        <f>IFERROR(VLOOKUP(I2505,[1]AUTOS!$C:$G,2,0),"")</f>
        <v>AVEO</v>
      </c>
      <c r="K2505">
        <f>IFERROR(VLOOKUP(I2505,[1]AUTOS!$C:$G,3,0),"")</f>
        <v>2019</v>
      </c>
      <c r="L2505" t="str">
        <f>IFERROR(VLOOKUP(I2505,[1]AUTOS!$C:$G,4,0),"")</f>
        <v>BLANCO</v>
      </c>
      <c r="N2505" s="3">
        <v>805.03000000000065</v>
      </c>
      <c r="O2505" s="3">
        <v>2600</v>
      </c>
      <c r="P2505" s="3">
        <v>5005.0300000000007</v>
      </c>
      <c r="Q2505" s="3">
        <v>500</v>
      </c>
    </row>
    <row r="2506" spans="1:17" hidden="1" x14ac:dyDescent="0.3">
      <c r="A2506">
        <v>45</v>
      </c>
      <c r="B2506" t="str">
        <f>VLOOKUP($A2506,[1]LISTA!$B:$C,2,0)</f>
        <v>NOVIEMBRE</v>
      </c>
      <c r="C2506" s="1">
        <v>2025</v>
      </c>
      <c r="D2506" s="1" t="str">
        <f>IF($A2506&lt;=[1]RESULTADOS!$D$6,"YTD","YTG")</f>
        <v>YTG</v>
      </c>
      <c r="E2506" t="s">
        <v>715</v>
      </c>
      <c r="F2506" t="s">
        <v>667</v>
      </c>
      <c r="G2506" t="s">
        <v>667</v>
      </c>
      <c r="H2506" t="s">
        <v>668</v>
      </c>
      <c r="I2506" t="s">
        <v>51</v>
      </c>
      <c r="J2506" t="str">
        <f>IFERROR(VLOOKUP(I2506,[1]AUTOS!$C:$G,2,0),"")</f>
        <v>VENTO</v>
      </c>
      <c r="K2506">
        <f>IFERROR(VLOOKUP(I2506,[1]AUTOS!$C:$G,3,0),"")</f>
        <v>2017</v>
      </c>
      <c r="L2506" t="str">
        <f>IFERROR(VLOOKUP(I2506,[1]AUTOS!$C:$G,4,0),"")</f>
        <v>GRIS</v>
      </c>
      <c r="N2506" s="3">
        <v>633.46</v>
      </c>
      <c r="O2506" s="3">
        <v>2142.71</v>
      </c>
      <c r="P2506" s="3">
        <v>2432.46</v>
      </c>
      <c r="Q2506" s="3">
        <v>0</v>
      </c>
    </row>
    <row r="2507" spans="1:17" hidden="1" x14ac:dyDescent="0.3">
      <c r="A2507">
        <v>45</v>
      </c>
      <c r="B2507" t="str">
        <f>VLOOKUP($A2507,[1]LISTA!$B:$C,2,0)</f>
        <v>NOVIEMBRE</v>
      </c>
      <c r="C2507" s="1">
        <v>2025</v>
      </c>
      <c r="D2507" s="1" t="str">
        <f>IF($A2507&lt;=[1]RESULTADOS!$D$6,"YTD","YTG")</f>
        <v>YTG</v>
      </c>
      <c r="E2507" t="s">
        <v>718</v>
      </c>
      <c r="F2507" t="s">
        <v>667</v>
      </c>
      <c r="G2507" t="s">
        <v>667</v>
      </c>
      <c r="H2507" t="s">
        <v>668</v>
      </c>
      <c r="I2507" t="s">
        <v>42</v>
      </c>
      <c r="J2507" t="str">
        <f>IFERROR(VLOOKUP(I2507,[1]AUTOS!$C:$G,2,0),"")</f>
        <v>VENTO</v>
      </c>
      <c r="K2507">
        <f>IFERROR(VLOOKUP(I2507,[1]AUTOS!$C:$G,3,0),"")</f>
        <v>2018</v>
      </c>
      <c r="L2507" t="str">
        <f>IFERROR(VLOOKUP(I2507,[1]AUTOS!$C:$G,4,0),"")</f>
        <v>AMARILLO</v>
      </c>
      <c r="N2507" s="3">
        <v>0</v>
      </c>
      <c r="O2507" s="3">
        <v>2500</v>
      </c>
      <c r="P2507" s="3">
        <v>1400</v>
      </c>
      <c r="Q2507" s="3">
        <v>0</v>
      </c>
    </row>
    <row r="2508" spans="1:17" hidden="1" x14ac:dyDescent="0.3">
      <c r="A2508">
        <v>45</v>
      </c>
      <c r="B2508" t="str">
        <f>VLOOKUP($A2508,[1]LISTA!$B:$C,2,0)</f>
        <v>NOVIEMBRE</v>
      </c>
      <c r="C2508" s="1">
        <v>2025</v>
      </c>
      <c r="D2508" s="1" t="str">
        <f>IF($A2508&lt;=[1]RESULTADOS!$D$6,"YTD","YTG")</f>
        <v>YTG</v>
      </c>
      <c r="E2508" t="s">
        <v>492</v>
      </c>
      <c r="F2508" t="s">
        <v>667</v>
      </c>
      <c r="G2508" t="s">
        <v>667</v>
      </c>
      <c r="H2508" t="s">
        <v>668</v>
      </c>
      <c r="I2508" t="s">
        <v>144</v>
      </c>
      <c r="J2508" t="str">
        <f>IFERROR(VLOOKUP(I2508,[1]AUTOS!$C:$G,2,0),"")</f>
        <v>VERSA</v>
      </c>
      <c r="K2508">
        <f>IFERROR(VLOOKUP(I2508,[1]AUTOS!$C:$G,3,0),"")</f>
        <v>2020</v>
      </c>
      <c r="L2508" t="str">
        <f>IFERROR(VLOOKUP(I2508,[1]AUTOS!$C:$G,4,0),"")</f>
        <v>ROJO</v>
      </c>
      <c r="N2508" s="3">
        <v>0</v>
      </c>
      <c r="O2508" s="3">
        <v>2500</v>
      </c>
      <c r="P2508" s="3">
        <v>2500</v>
      </c>
      <c r="Q2508" s="3">
        <v>0</v>
      </c>
    </row>
    <row r="2509" spans="1:17" hidden="1" x14ac:dyDescent="0.3">
      <c r="A2509">
        <v>45</v>
      </c>
      <c r="B2509" t="str">
        <f>VLOOKUP($A2509,[1]LISTA!$B:$C,2,0)</f>
        <v>NOVIEMBRE</v>
      </c>
      <c r="C2509" s="1">
        <v>2025</v>
      </c>
      <c r="D2509" s="1" t="str">
        <f>IF($A2509&lt;=[1]RESULTADOS!$D$6,"YTD","YTG")</f>
        <v>YTG</v>
      </c>
      <c r="E2509" t="s">
        <v>526</v>
      </c>
      <c r="F2509" t="s">
        <v>667</v>
      </c>
      <c r="G2509" t="s">
        <v>667</v>
      </c>
      <c r="H2509" t="s">
        <v>668</v>
      </c>
      <c r="I2509" t="s">
        <v>67</v>
      </c>
      <c r="J2509" t="str">
        <f>IFERROR(VLOOKUP(I2509,[1]AUTOS!$C:$G,2,0),"")</f>
        <v>KIA RIO</v>
      </c>
      <c r="K2509">
        <f>IFERROR(VLOOKUP(I2509,[1]AUTOS!$C:$G,3,0),"")</f>
        <v>2020</v>
      </c>
      <c r="L2509" t="str">
        <f>IFERROR(VLOOKUP(I2509,[1]AUTOS!$C:$G,4,0),"")</f>
        <v>GRIS</v>
      </c>
      <c r="N2509" s="3">
        <v>0</v>
      </c>
      <c r="O2509" s="3">
        <v>0</v>
      </c>
      <c r="P2509" s="3">
        <v>-500</v>
      </c>
      <c r="Q2509" s="3">
        <v>-500</v>
      </c>
    </row>
    <row r="2510" spans="1:17" hidden="1" x14ac:dyDescent="0.3">
      <c r="A2510">
        <v>45</v>
      </c>
      <c r="B2510" t="str">
        <f>VLOOKUP($A2510,[1]LISTA!$B:$C,2,0)</f>
        <v>NOVIEMBRE</v>
      </c>
      <c r="C2510" s="1">
        <v>2025</v>
      </c>
      <c r="D2510" s="1" t="str">
        <f>IF($A2510&lt;=[1]RESULTADOS!$D$6,"YTD","YTG")</f>
        <v>YTG</v>
      </c>
      <c r="E2510" t="s">
        <v>478</v>
      </c>
      <c r="F2510" t="s">
        <v>667</v>
      </c>
      <c r="G2510" t="s">
        <v>667</v>
      </c>
      <c r="H2510" t="s">
        <v>668</v>
      </c>
      <c r="I2510" t="s">
        <v>102</v>
      </c>
      <c r="J2510" t="str">
        <f>IFERROR(VLOOKUP(I2510,[1]AUTOS!$C:$G,2,0),"")</f>
        <v>AVEO</v>
      </c>
      <c r="K2510">
        <f>IFERROR(VLOOKUP(I2510,[1]AUTOS!$C:$G,3,0),"")</f>
        <v>2022</v>
      </c>
      <c r="L2510" t="str">
        <f>IFERROR(VLOOKUP(I2510,[1]AUTOS!$C:$G,4,0),"")</f>
        <v>AZUL</v>
      </c>
      <c r="N2510" s="3">
        <v>-765.99000000000024</v>
      </c>
      <c r="O2510" s="3">
        <v>2500</v>
      </c>
      <c r="P2510" s="3">
        <v>3139.0099999999998</v>
      </c>
      <c r="Q2510" s="3">
        <v>0</v>
      </c>
    </row>
    <row r="2511" spans="1:17" hidden="1" x14ac:dyDescent="0.3">
      <c r="A2511">
        <v>45</v>
      </c>
      <c r="B2511" t="str">
        <f>VLOOKUP($A2511,[1]LISTA!$B:$C,2,0)</f>
        <v>NOVIEMBRE</v>
      </c>
      <c r="C2511" s="1">
        <v>2025</v>
      </c>
      <c r="D2511" s="1" t="str">
        <f>IF($A2511&lt;=[1]RESULTADOS!$D$6,"YTD","YTG")</f>
        <v>YTG</v>
      </c>
      <c r="E2511" t="s">
        <v>411</v>
      </c>
      <c r="F2511" t="s">
        <v>667</v>
      </c>
      <c r="G2511" t="s">
        <v>667</v>
      </c>
      <c r="H2511" t="s">
        <v>668</v>
      </c>
      <c r="I2511" t="s">
        <v>178</v>
      </c>
      <c r="J2511" t="str">
        <f>IFERROR(VLOOKUP(I2511,[1]AUTOS!$C:$G,2,0),"")</f>
        <v>VERSA</v>
      </c>
      <c r="K2511">
        <f>IFERROR(VLOOKUP(I2511,[1]AUTOS!$C:$G,3,0),"")</f>
        <v>2020</v>
      </c>
      <c r="L2511" t="str">
        <f>IFERROR(VLOOKUP(I2511,[1]AUTOS!$C:$G,4,0),"")</f>
        <v>BLANCO</v>
      </c>
      <c r="N2511" s="3">
        <v>0</v>
      </c>
      <c r="O2511" s="3">
        <v>0</v>
      </c>
      <c r="P2511" s="3">
        <v>-500</v>
      </c>
      <c r="Q2511" s="3">
        <v>-500</v>
      </c>
    </row>
    <row r="2512" spans="1:17" hidden="1" x14ac:dyDescent="0.3">
      <c r="A2512">
        <v>45</v>
      </c>
      <c r="B2512" t="str">
        <f>VLOOKUP($A2512,[1]LISTA!$B:$C,2,0)</f>
        <v>NOVIEMBRE</v>
      </c>
      <c r="C2512" s="1">
        <v>2025</v>
      </c>
      <c r="D2512" s="1" t="str">
        <f>IF($A2512&lt;=[1]RESULTADOS!$D$6,"YTD","YTG")</f>
        <v>YTG</v>
      </c>
      <c r="E2512" t="s">
        <v>705</v>
      </c>
      <c r="F2512" t="s">
        <v>667</v>
      </c>
      <c r="G2512" t="s">
        <v>667</v>
      </c>
      <c r="H2512" t="s">
        <v>668</v>
      </c>
      <c r="I2512" t="s">
        <v>440</v>
      </c>
      <c r="J2512" t="str">
        <f>IFERROR(VLOOKUP(I2512,[1]AUTOS!$C:$G,2,0),"")</f>
        <v>AVEO</v>
      </c>
      <c r="K2512">
        <f>IFERROR(VLOOKUP(I2512,[1]AUTOS!$C:$G,3,0),"")</f>
        <v>2021</v>
      </c>
      <c r="L2512" t="str">
        <f>IFERROR(VLOOKUP(I2512,[1]AUTOS!$C:$G,4,0),"")</f>
        <v>GRIS</v>
      </c>
      <c r="N2512" s="3">
        <v>6787.0899999999992</v>
      </c>
      <c r="O2512" s="3">
        <v>2500</v>
      </c>
      <c r="P2512" s="3">
        <v>2500</v>
      </c>
      <c r="Q2512" s="3">
        <v>0</v>
      </c>
    </row>
    <row r="2513" spans="1:17" hidden="1" x14ac:dyDescent="0.3">
      <c r="A2513">
        <v>45</v>
      </c>
      <c r="B2513" t="str">
        <f>VLOOKUP($A2513,[1]LISTA!$B:$C,2,0)</f>
        <v>NOVIEMBRE</v>
      </c>
      <c r="C2513" s="1">
        <v>2025</v>
      </c>
      <c r="D2513" s="1" t="str">
        <f>IF($A2513&lt;=[1]RESULTADOS!$D$6,"YTD","YTG")</f>
        <v>YTG</v>
      </c>
      <c r="E2513" t="s">
        <v>497</v>
      </c>
      <c r="F2513" t="s">
        <v>667</v>
      </c>
      <c r="G2513" t="s">
        <v>667</v>
      </c>
      <c r="H2513" t="s">
        <v>668</v>
      </c>
      <c r="I2513" t="s">
        <v>560</v>
      </c>
      <c r="J2513" t="str">
        <f>IFERROR(VLOOKUP(I2513,[1]AUTOS!$C:$G,2,0),"")</f>
        <v>AVEO</v>
      </c>
      <c r="K2513">
        <f>IFERROR(VLOOKUP(I2513,[1]AUTOS!$C:$G,3,0),"")</f>
        <v>2023</v>
      </c>
      <c r="L2513" t="str">
        <f>IFERROR(VLOOKUP(I2513,[1]AUTOS!$C:$G,4,0),"")</f>
        <v>VINO</v>
      </c>
      <c r="N2513" s="3">
        <v>4463.2999999999993</v>
      </c>
      <c r="O2513" s="3">
        <v>2500</v>
      </c>
      <c r="P2513" s="3">
        <v>2500</v>
      </c>
      <c r="Q2513" s="3">
        <v>0</v>
      </c>
    </row>
    <row r="2514" spans="1:17" hidden="1" x14ac:dyDescent="0.3">
      <c r="A2514">
        <v>45</v>
      </c>
      <c r="B2514" t="str">
        <f>VLOOKUP($A2514,[1]LISTA!$B:$C,2,0)</f>
        <v>NOVIEMBRE</v>
      </c>
      <c r="C2514" s="1">
        <v>2025</v>
      </c>
      <c r="D2514" s="1" t="str">
        <f>IF($A2514&lt;=[1]RESULTADOS!$D$6,"YTD","YTG")</f>
        <v>YTG</v>
      </c>
      <c r="E2514" t="s">
        <v>714</v>
      </c>
      <c r="F2514" t="s">
        <v>667</v>
      </c>
      <c r="G2514" t="s">
        <v>667</v>
      </c>
      <c r="H2514" t="s">
        <v>668</v>
      </c>
      <c r="I2514" t="s">
        <v>510</v>
      </c>
      <c r="J2514" t="str">
        <f>IFERROR(VLOOKUP(I2514,[1]AUTOS!$C:$G,2,0),"")</f>
        <v>AVEO</v>
      </c>
      <c r="K2514">
        <f>IFERROR(VLOOKUP(I2514,[1]AUTOS!$C:$G,3,0),"")</f>
        <v>2023</v>
      </c>
      <c r="L2514" t="str">
        <f>IFERROR(VLOOKUP(I2514,[1]AUTOS!$C:$G,4,0),"")</f>
        <v>GRIS</v>
      </c>
      <c r="M2514" t="s">
        <v>43</v>
      </c>
      <c r="N2514" s="3">
        <v>3775.1800000000003</v>
      </c>
      <c r="O2514" s="3">
        <v>2500</v>
      </c>
      <c r="P2514" s="3">
        <v>3000</v>
      </c>
      <c r="Q2514" s="3">
        <v>0</v>
      </c>
    </row>
    <row r="2515" spans="1:17" hidden="1" x14ac:dyDescent="0.3">
      <c r="A2515">
        <v>45</v>
      </c>
      <c r="B2515" t="str">
        <f>VLOOKUP($A2515,[1]LISTA!$B:$C,2,0)</f>
        <v>NOVIEMBRE</v>
      </c>
      <c r="C2515" s="1">
        <v>2025</v>
      </c>
      <c r="D2515" s="1" t="str">
        <f>IF($A2515&lt;=[1]RESULTADOS!$D$6,"YTD","YTG")</f>
        <v>YTG</v>
      </c>
      <c r="E2515" t="s">
        <v>436</v>
      </c>
      <c r="F2515" t="s">
        <v>667</v>
      </c>
      <c r="G2515" t="s">
        <v>667</v>
      </c>
      <c r="H2515" t="s">
        <v>668</v>
      </c>
      <c r="I2515" t="s">
        <v>112</v>
      </c>
      <c r="J2515" t="str">
        <f>IFERROR(VLOOKUP(I2515,[1]AUTOS!$C:$G,2,0),"")</f>
        <v>KIA RIO</v>
      </c>
      <c r="K2515">
        <f>IFERROR(VLOOKUP(I2515,[1]AUTOS!$C:$G,3,0),"")</f>
        <v>2020</v>
      </c>
      <c r="L2515" t="str">
        <f>IFERROR(VLOOKUP(I2515,[1]AUTOS!$C:$G,4,0),"")</f>
        <v>ROJO</v>
      </c>
      <c r="N2515" s="3">
        <v>3071.66</v>
      </c>
      <c r="O2515" s="3">
        <v>2500</v>
      </c>
      <c r="P2515" s="3">
        <v>2970.4</v>
      </c>
      <c r="Q2515" s="3">
        <v>0</v>
      </c>
    </row>
    <row r="2516" spans="1:17" hidden="1" x14ac:dyDescent="0.3">
      <c r="A2516">
        <v>45</v>
      </c>
      <c r="B2516" t="str">
        <f>VLOOKUP($A2516,[1]LISTA!$B:$C,2,0)</f>
        <v>NOVIEMBRE</v>
      </c>
      <c r="C2516" s="1">
        <v>2025</v>
      </c>
      <c r="D2516" s="1" t="str">
        <f>IF($A2516&lt;=[1]RESULTADOS!$D$6,"YTD","YTG")</f>
        <v>YTG</v>
      </c>
      <c r="E2516" t="s">
        <v>724</v>
      </c>
      <c r="F2516" t="s">
        <v>667</v>
      </c>
      <c r="G2516" t="s">
        <v>667</v>
      </c>
      <c r="H2516" t="s">
        <v>668</v>
      </c>
      <c r="I2516" t="s">
        <v>333</v>
      </c>
      <c r="J2516" t="str">
        <f>IFERROR(VLOOKUP(I2516,[1]AUTOS!$C:$G,2,0),"")</f>
        <v>BEAT</v>
      </c>
      <c r="K2516">
        <f>IFERROR(VLOOKUP(I2516,[1]AUTOS!$C:$G,3,0),"")</f>
        <v>2019</v>
      </c>
      <c r="L2516" t="str">
        <f>IFERROR(VLOOKUP(I2516,[1]AUTOS!$C:$G,4,0),"")</f>
        <v>OCRE</v>
      </c>
      <c r="N2516" s="3">
        <v>1900.31</v>
      </c>
      <c r="O2516" s="3">
        <v>1250</v>
      </c>
      <c r="P2516" s="3">
        <v>1499.99</v>
      </c>
      <c r="Q2516" s="3">
        <v>249.99</v>
      </c>
    </row>
    <row r="2517" spans="1:17" hidden="1" x14ac:dyDescent="0.3">
      <c r="A2517">
        <v>45</v>
      </c>
      <c r="B2517" t="str">
        <f>VLOOKUP($A2517,[1]LISTA!$B:$C,2,0)</f>
        <v>NOVIEMBRE</v>
      </c>
      <c r="C2517" s="1">
        <v>2025</v>
      </c>
      <c r="D2517" s="1" t="str">
        <f>IF($A2517&lt;=[1]RESULTADOS!$D$6,"YTD","YTG")</f>
        <v>YTG</v>
      </c>
      <c r="E2517" t="s">
        <v>717</v>
      </c>
      <c r="F2517" t="s">
        <v>667</v>
      </c>
      <c r="G2517" t="s">
        <v>667</v>
      </c>
      <c r="H2517" t="s">
        <v>668</v>
      </c>
      <c r="I2517" t="s">
        <v>495</v>
      </c>
      <c r="J2517" t="str">
        <f>IFERROR(VLOOKUP(I2517,[1]AUTOS!$C:$G,2,0),"")</f>
        <v>VERSA</v>
      </c>
      <c r="K2517">
        <f>IFERROR(VLOOKUP(I2517,[1]AUTOS!$C:$G,3,0),"")</f>
        <v>2021</v>
      </c>
      <c r="L2517" t="str">
        <f>IFERROR(VLOOKUP(I2517,[1]AUTOS!$C:$G,4,0),"")</f>
        <v>BLANCO</v>
      </c>
      <c r="N2517" s="3">
        <v>1741.88</v>
      </c>
      <c r="O2517" s="3">
        <v>1785.71</v>
      </c>
      <c r="P2517" s="3">
        <v>1785.88</v>
      </c>
      <c r="Q2517" s="3">
        <v>0</v>
      </c>
    </row>
    <row r="2518" spans="1:17" hidden="1" x14ac:dyDescent="0.3">
      <c r="A2518">
        <v>45</v>
      </c>
      <c r="B2518" t="str">
        <f>VLOOKUP($A2518,[1]LISTA!$B:$C,2,0)</f>
        <v>NOVIEMBRE</v>
      </c>
      <c r="C2518" s="1">
        <v>2025</v>
      </c>
      <c r="D2518" s="1" t="str">
        <f>IF($A2518&lt;=[1]RESULTADOS!$D$6,"YTD","YTG")</f>
        <v>YTG</v>
      </c>
      <c r="E2518" t="s">
        <v>574</v>
      </c>
      <c r="F2518" t="s">
        <v>667</v>
      </c>
      <c r="G2518" t="s">
        <v>667</v>
      </c>
      <c r="H2518" t="s">
        <v>668</v>
      </c>
      <c r="I2518" t="s">
        <v>333</v>
      </c>
      <c r="J2518" t="str">
        <f>IFERROR(VLOOKUP(I2518,[1]AUTOS!$C:$G,2,0),"")</f>
        <v>BEAT</v>
      </c>
      <c r="K2518">
        <f>IFERROR(VLOOKUP(I2518,[1]AUTOS!$C:$G,3,0),"")</f>
        <v>2019</v>
      </c>
      <c r="L2518" t="str">
        <f>IFERROR(VLOOKUP(I2518,[1]AUTOS!$C:$G,4,0),"")</f>
        <v>OCRE</v>
      </c>
      <c r="N2518" s="3">
        <v>0</v>
      </c>
      <c r="O2518" s="3">
        <v>1071.42</v>
      </c>
      <c r="P2518" s="3">
        <v>0</v>
      </c>
      <c r="Q2518" s="3">
        <v>-1071</v>
      </c>
    </row>
    <row r="2519" spans="1:17" hidden="1" x14ac:dyDescent="0.3">
      <c r="A2519">
        <v>45</v>
      </c>
      <c r="B2519" t="str">
        <f>VLOOKUP($A2519,[1]LISTA!$B:$C,2,0)</f>
        <v>NOVIEMBRE</v>
      </c>
      <c r="C2519" s="1">
        <v>2025</v>
      </c>
      <c r="D2519" s="1" t="str">
        <f>IF($A2519&lt;=[1]RESULTADOS!$D$6,"YTD","YTG")</f>
        <v>YTG</v>
      </c>
      <c r="E2519" t="s">
        <v>691</v>
      </c>
      <c r="F2519" t="s">
        <v>667</v>
      </c>
      <c r="G2519" t="s">
        <v>667</v>
      </c>
      <c r="H2519" t="s">
        <v>668</v>
      </c>
      <c r="I2519" t="s">
        <v>139</v>
      </c>
      <c r="J2519" t="str">
        <f>IFERROR(VLOOKUP(I2519,[1]AUTOS!$C:$G,2,0),"")</f>
        <v>SWIFT</v>
      </c>
      <c r="K2519">
        <f>IFERROR(VLOOKUP(I2519,[1]AUTOS!$C:$G,3,0),"")</f>
        <v>2017</v>
      </c>
      <c r="L2519" t="str">
        <f>IFERROR(VLOOKUP(I2519,[1]AUTOS!$C:$G,4,0),"")</f>
        <v>ROJO</v>
      </c>
      <c r="N2519" s="3">
        <v>3671.7600000000007</v>
      </c>
      <c r="O2519" s="3">
        <v>2500</v>
      </c>
      <c r="P2519" s="3">
        <v>2080</v>
      </c>
      <c r="Q2519" s="3">
        <v>0</v>
      </c>
    </row>
    <row r="2520" spans="1:17" hidden="1" x14ac:dyDescent="0.3">
      <c r="A2520">
        <v>45</v>
      </c>
      <c r="B2520" t="str">
        <f>VLOOKUP($A2520,[1]LISTA!$B:$C,2,0)</f>
        <v>NOVIEMBRE</v>
      </c>
      <c r="C2520" s="1">
        <v>2025</v>
      </c>
      <c r="D2520" s="1" t="str">
        <f>IF($A2520&lt;=[1]RESULTADOS!$D$6,"YTD","YTG")</f>
        <v>YTG</v>
      </c>
      <c r="E2520" t="s">
        <v>594</v>
      </c>
      <c r="F2520" t="s">
        <v>667</v>
      </c>
      <c r="G2520" t="s">
        <v>667</v>
      </c>
      <c r="H2520" t="s">
        <v>668</v>
      </c>
      <c r="I2520" t="s">
        <v>313</v>
      </c>
      <c r="J2520" t="str">
        <f>IFERROR(VLOOKUP(I2520,[1]AUTOS!$C:$G,2,0),"")</f>
        <v>MARCH</v>
      </c>
      <c r="K2520">
        <f>IFERROR(VLOOKUP(I2520,[1]AUTOS!$C:$G,3,0),"")</f>
        <v>2019</v>
      </c>
      <c r="L2520" t="str">
        <f>IFERROR(VLOOKUP(I2520,[1]AUTOS!$C:$G,4,0),"")</f>
        <v>TURQ</v>
      </c>
      <c r="M2520" t="s">
        <v>140</v>
      </c>
      <c r="N2520" s="3">
        <v>3639.04</v>
      </c>
      <c r="O2520" s="3">
        <v>2500</v>
      </c>
      <c r="P2520" s="3">
        <v>3293.44</v>
      </c>
      <c r="Q2520" s="3">
        <v>500</v>
      </c>
    </row>
    <row r="2521" spans="1:17" hidden="1" x14ac:dyDescent="0.3">
      <c r="A2521">
        <v>45</v>
      </c>
      <c r="B2521" t="str">
        <f>VLOOKUP($A2521,[1]LISTA!$B:$C,2,0)</f>
        <v>NOVIEMBRE</v>
      </c>
      <c r="C2521" s="1">
        <v>2025</v>
      </c>
      <c r="D2521" s="1" t="str">
        <f>IF($A2521&lt;=[1]RESULTADOS!$D$6,"YTD","YTG")</f>
        <v>YTG</v>
      </c>
      <c r="E2521" t="s">
        <v>456</v>
      </c>
      <c r="F2521" t="s">
        <v>667</v>
      </c>
      <c r="G2521" t="s">
        <v>667</v>
      </c>
      <c r="H2521" t="s">
        <v>668</v>
      </c>
      <c r="I2521" t="s">
        <v>146</v>
      </c>
      <c r="J2521" t="str">
        <f>IFERROR(VLOOKUP(I2521,[1]AUTOS!$C:$G,2,0),"")</f>
        <v>KIA RIO</v>
      </c>
      <c r="K2521">
        <f>IFERROR(VLOOKUP(I2521,[1]AUTOS!$C:$G,3,0),"")</f>
        <v>2023</v>
      </c>
      <c r="L2521" t="str">
        <f>IFERROR(VLOOKUP(I2521,[1]AUTOS!$C:$G,4,0),"")</f>
        <v>ROJO</v>
      </c>
      <c r="N2521" s="3">
        <v>5562.9000000000015</v>
      </c>
      <c r="O2521" s="3">
        <v>2500</v>
      </c>
      <c r="P2521" s="3">
        <v>3200</v>
      </c>
      <c r="Q2521" s="3">
        <v>0</v>
      </c>
    </row>
    <row r="2522" spans="1:17" hidden="1" x14ac:dyDescent="0.3">
      <c r="A2522">
        <v>45</v>
      </c>
      <c r="B2522" t="str">
        <f>VLOOKUP($A2522,[1]LISTA!$B:$C,2,0)</f>
        <v>NOVIEMBRE</v>
      </c>
      <c r="C2522" s="1">
        <v>2025</v>
      </c>
      <c r="D2522" s="1" t="str">
        <f>IF($A2522&lt;=[1]RESULTADOS!$D$6,"YTD","YTG")</f>
        <v>YTG</v>
      </c>
      <c r="E2522" t="s">
        <v>486</v>
      </c>
      <c r="F2522" t="s">
        <v>667</v>
      </c>
      <c r="G2522" t="s">
        <v>667</v>
      </c>
      <c r="H2522" t="s">
        <v>668</v>
      </c>
      <c r="I2522" t="s">
        <v>34</v>
      </c>
      <c r="J2522" t="str">
        <f>IFERROR(VLOOKUP(I2522,[1]AUTOS!$C:$G,2,0),"")</f>
        <v>AVEO</v>
      </c>
      <c r="K2522">
        <f>IFERROR(VLOOKUP(I2522,[1]AUTOS!$C:$G,3,0),"")</f>
        <v>2018</v>
      </c>
      <c r="L2522" t="str">
        <f>IFERROR(VLOOKUP(I2522,[1]AUTOS!$C:$G,4,0),"")</f>
        <v>ROJO</v>
      </c>
      <c r="N2522" s="3">
        <v>3676.75</v>
      </c>
      <c r="O2522" s="3">
        <v>2500</v>
      </c>
      <c r="P2522" s="3">
        <v>2500</v>
      </c>
      <c r="Q2522" s="3">
        <v>0</v>
      </c>
    </row>
    <row r="2523" spans="1:17" hidden="1" x14ac:dyDescent="0.3">
      <c r="A2523">
        <v>45</v>
      </c>
      <c r="B2523" t="str">
        <f>VLOOKUP($A2523,[1]LISTA!$B:$C,2,0)</f>
        <v>NOVIEMBRE</v>
      </c>
      <c r="C2523" s="1">
        <v>2025</v>
      </c>
      <c r="D2523" s="1" t="str">
        <f>IF($A2523&lt;=[1]RESULTADOS!$D$6,"YTD","YTG")</f>
        <v>YTG</v>
      </c>
      <c r="E2523" t="s">
        <v>721</v>
      </c>
      <c r="F2523" t="s">
        <v>667</v>
      </c>
      <c r="G2523" t="s">
        <v>667</v>
      </c>
      <c r="H2523" t="s">
        <v>668</v>
      </c>
      <c r="I2523" t="s">
        <v>61</v>
      </c>
      <c r="J2523" t="str">
        <f>IFERROR(VLOOKUP(I2523,[1]AUTOS!$C:$G,2,0),"")</f>
        <v>KIA RIO</v>
      </c>
      <c r="K2523">
        <f>IFERROR(VLOOKUP(I2523,[1]AUTOS!$C:$G,3,0),"")</f>
        <v>2017</v>
      </c>
      <c r="L2523" t="str">
        <f>IFERROR(VLOOKUP(I2523,[1]AUTOS!$C:$G,4,0),"")</f>
        <v>ROJO</v>
      </c>
      <c r="N2523" s="3">
        <v>3658.8399999999997</v>
      </c>
      <c r="O2523" s="3">
        <v>2500</v>
      </c>
      <c r="P2523" s="3">
        <v>3000</v>
      </c>
      <c r="Q2523" s="3">
        <v>500</v>
      </c>
    </row>
    <row r="2524" spans="1:17" hidden="1" x14ac:dyDescent="0.3">
      <c r="A2524">
        <v>45</v>
      </c>
      <c r="B2524" t="str">
        <f>VLOOKUP($A2524,[1]LISTA!$B:$C,2,0)</f>
        <v>NOVIEMBRE</v>
      </c>
      <c r="C2524" s="1">
        <v>2025</v>
      </c>
      <c r="D2524" s="1" t="str">
        <f>IF($A2524&lt;=[1]RESULTADOS!$D$6,"YTD","YTG")</f>
        <v>YTG</v>
      </c>
      <c r="E2524" t="s">
        <v>704</v>
      </c>
      <c r="F2524" t="s">
        <v>667</v>
      </c>
      <c r="G2524" t="s">
        <v>667</v>
      </c>
      <c r="H2524" t="s">
        <v>668</v>
      </c>
      <c r="I2524" t="s">
        <v>37</v>
      </c>
      <c r="J2524" t="str">
        <f>IFERROR(VLOOKUP(I2524,[1]AUTOS!$C:$G,2,0),"")</f>
        <v>BEAT</v>
      </c>
      <c r="K2524">
        <f>IFERROR(VLOOKUP(I2524,[1]AUTOS!$C:$G,3,0),"")</f>
        <v>2020</v>
      </c>
      <c r="L2524" t="str">
        <f>IFERROR(VLOOKUP(I2524,[1]AUTOS!$C:$G,4,0),"")</f>
        <v>GRIS</v>
      </c>
      <c r="N2524" s="3">
        <v>0</v>
      </c>
      <c r="O2524" s="3">
        <v>0</v>
      </c>
      <c r="P2524" s="3">
        <v>-500</v>
      </c>
      <c r="Q2524" s="3">
        <v>-500</v>
      </c>
    </row>
    <row r="2525" spans="1:17" hidden="1" x14ac:dyDescent="0.3">
      <c r="A2525">
        <v>45</v>
      </c>
      <c r="B2525" t="str">
        <f>VLOOKUP($A2525,[1]LISTA!$B:$C,2,0)</f>
        <v>NOVIEMBRE</v>
      </c>
      <c r="C2525" s="1">
        <v>2025</v>
      </c>
      <c r="D2525" s="1" t="str">
        <f>IF($A2525&lt;=[1]RESULTADOS!$D$6,"YTD","YTG")</f>
        <v>YTG</v>
      </c>
      <c r="E2525" t="s">
        <v>563</v>
      </c>
      <c r="F2525" t="s">
        <v>667</v>
      </c>
      <c r="G2525" t="s">
        <v>667</v>
      </c>
      <c r="H2525" t="s">
        <v>668</v>
      </c>
      <c r="I2525" t="s">
        <v>61</v>
      </c>
      <c r="J2525" t="str">
        <f>IFERROR(VLOOKUP(I2525,[1]AUTOS!$C:$G,2,0),"")</f>
        <v>KIA RIO</v>
      </c>
      <c r="K2525">
        <f>IFERROR(VLOOKUP(I2525,[1]AUTOS!$C:$G,3,0),"")</f>
        <v>2017</v>
      </c>
      <c r="L2525" t="str">
        <f>IFERROR(VLOOKUP(I2525,[1]AUTOS!$C:$G,4,0),"")</f>
        <v>ROJO</v>
      </c>
      <c r="N2525" s="3">
        <v>0</v>
      </c>
      <c r="O2525" s="3">
        <v>0</v>
      </c>
      <c r="P2525" s="3">
        <v>-500</v>
      </c>
      <c r="Q2525" s="3">
        <v>-500</v>
      </c>
    </row>
    <row r="2526" spans="1:17" hidden="1" x14ac:dyDescent="0.3">
      <c r="A2526">
        <v>45</v>
      </c>
      <c r="B2526" t="str">
        <f>VLOOKUP($A2526,[1]LISTA!$B:$C,2,0)</f>
        <v>NOVIEMBRE</v>
      </c>
      <c r="C2526" s="1">
        <v>2025</v>
      </c>
      <c r="D2526" s="1" t="str">
        <f>IF($A2526&lt;=[1]RESULTADOS!$D$6,"YTD","YTG")</f>
        <v>YTG</v>
      </c>
      <c r="E2526" t="s">
        <v>642</v>
      </c>
      <c r="F2526" t="s">
        <v>667</v>
      </c>
      <c r="G2526" t="s">
        <v>667</v>
      </c>
      <c r="H2526" t="s">
        <v>668</v>
      </c>
      <c r="I2526" t="s">
        <v>370</v>
      </c>
      <c r="J2526" t="str">
        <f>IFERROR(VLOOKUP(I2526,[1]AUTOS!$C:$G,2,0),"")</f>
        <v>KIA RIO</v>
      </c>
      <c r="K2526">
        <f>IFERROR(VLOOKUP(I2526,[1]AUTOS!$C:$G,3,0),"")</f>
        <v>2020</v>
      </c>
      <c r="L2526" t="str">
        <f>IFERROR(VLOOKUP(I2526,[1]AUTOS!$C:$G,4,0),"")</f>
        <v>AZUL</v>
      </c>
      <c r="N2526" s="3">
        <v>529</v>
      </c>
      <c r="O2526" s="3">
        <v>2600</v>
      </c>
      <c r="P2526" s="3">
        <v>529</v>
      </c>
      <c r="Q2526" s="3">
        <v>500</v>
      </c>
    </row>
    <row r="2527" spans="1:17" hidden="1" x14ac:dyDescent="0.3">
      <c r="A2527">
        <v>45</v>
      </c>
      <c r="B2527" t="str">
        <f>VLOOKUP($A2527,[1]LISTA!$B:$C,2,0)</f>
        <v>NOVIEMBRE</v>
      </c>
      <c r="C2527" s="1">
        <v>2025</v>
      </c>
      <c r="D2527" s="1" t="str">
        <f>IF($A2527&lt;=[1]RESULTADOS!$D$6,"YTD","YTG")</f>
        <v>YTG</v>
      </c>
      <c r="E2527" t="s">
        <v>518</v>
      </c>
      <c r="F2527" t="s">
        <v>667</v>
      </c>
      <c r="G2527" t="s">
        <v>667</v>
      </c>
      <c r="H2527" t="s">
        <v>668</v>
      </c>
      <c r="I2527" t="s">
        <v>384</v>
      </c>
      <c r="J2527" t="str">
        <f>IFERROR(VLOOKUP(I2527,[1]AUTOS!$C:$G,2,0),"")</f>
        <v>MARCH</v>
      </c>
      <c r="K2527">
        <f>IFERROR(VLOOKUP(I2527,[1]AUTOS!$C:$G,3,0),"")</f>
        <v>2022</v>
      </c>
      <c r="L2527" t="str">
        <f>IFERROR(VLOOKUP(I2527,[1]AUTOS!$C:$G,4,0),"")</f>
        <v>BLANCO</v>
      </c>
      <c r="N2527" s="3">
        <v>0</v>
      </c>
      <c r="O2527" s="3">
        <v>2500</v>
      </c>
      <c r="P2527" s="3">
        <v>0</v>
      </c>
      <c r="Q2527" s="3">
        <v>500</v>
      </c>
    </row>
    <row r="2528" spans="1:17" hidden="1" x14ac:dyDescent="0.3">
      <c r="A2528">
        <v>45</v>
      </c>
      <c r="B2528" t="str">
        <f>VLOOKUP($A2528,[1]LISTA!$B:$C,2,0)</f>
        <v>NOVIEMBRE</v>
      </c>
      <c r="C2528" s="1">
        <v>2025</v>
      </c>
      <c r="D2528" s="1" t="str">
        <f>IF($A2528&lt;=[1]RESULTADOS!$D$6,"YTD","YTG")</f>
        <v>YTG</v>
      </c>
      <c r="E2528" t="s">
        <v>707</v>
      </c>
      <c r="F2528" t="s">
        <v>667</v>
      </c>
      <c r="G2528" t="s">
        <v>667</v>
      </c>
      <c r="H2528" t="s">
        <v>668</v>
      </c>
      <c r="I2528" t="s">
        <v>383</v>
      </c>
      <c r="J2528" t="str">
        <f>IFERROR(VLOOKUP(I2528,[1]AUTOS!$C:$G,2,0),"")</f>
        <v>VENTO</v>
      </c>
      <c r="K2528">
        <f>IFERROR(VLOOKUP(I2528,[1]AUTOS!$C:$G,3,0),"")</f>
        <v>2020</v>
      </c>
      <c r="L2528" t="str">
        <f>IFERROR(VLOOKUP(I2528,[1]AUTOS!$C:$G,4,0),"")</f>
        <v>GRIS</v>
      </c>
      <c r="N2528" s="3">
        <v>2212</v>
      </c>
      <c r="O2528" s="3">
        <v>2500</v>
      </c>
      <c r="P2528" s="3">
        <v>2212</v>
      </c>
      <c r="Q2528" s="3">
        <v>284</v>
      </c>
    </row>
    <row r="2529" spans="1:17" hidden="1" x14ac:dyDescent="0.3">
      <c r="A2529">
        <v>45</v>
      </c>
      <c r="B2529" t="str">
        <f>VLOOKUP($A2529,[1]LISTA!$B:$C,2,0)</f>
        <v>NOVIEMBRE</v>
      </c>
      <c r="C2529" s="1">
        <v>2025</v>
      </c>
      <c r="D2529" s="1" t="str">
        <f>IF($A2529&lt;=[1]RESULTADOS!$D$6,"YTD","YTG")</f>
        <v>YTG</v>
      </c>
      <c r="E2529" t="s">
        <v>417</v>
      </c>
      <c r="F2529" t="s">
        <v>667</v>
      </c>
      <c r="G2529" t="s">
        <v>667</v>
      </c>
      <c r="H2529" t="s">
        <v>668</v>
      </c>
      <c r="I2529" t="s">
        <v>214</v>
      </c>
      <c r="J2529" t="str">
        <f>IFERROR(VLOOKUP(I2529,[1]AUTOS!$C:$G,2,0),"")</f>
        <v>VENTO</v>
      </c>
      <c r="K2529">
        <f>IFERROR(VLOOKUP(I2529,[1]AUTOS!$C:$G,3,0),"")</f>
        <v>2019</v>
      </c>
      <c r="L2529" t="str">
        <f>IFERROR(VLOOKUP(I2529,[1]AUTOS!$C:$G,4,0),"")</f>
        <v>BLANCO</v>
      </c>
      <c r="N2529" s="3">
        <v>1211</v>
      </c>
      <c r="O2529" s="3">
        <v>714</v>
      </c>
      <c r="P2529" s="3">
        <v>857</v>
      </c>
      <c r="Q2529" s="3">
        <v>143</v>
      </c>
    </row>
    <row r="2530" spans="1:17" hidden="1" x14ac:dyDescent="0.3">
      <c r="A2530">
        <v>46</v>
      </c>
      <c r="B2530" t="str">
        <f>VLOOKUP($A2530,[1]LISTA!$B:$C,2,0)</f>
        <v>NOVIEMBRE</v>
      </c>
      <c r="C2530" s="1">
        <v>2025</v>
      </c>
      <c r="D2530" s="1" t="str">
        <f>IF($A2530&lt;=[1]RESULTADOS!$D$6,"YTD","YTG")</f>
        <v>YTG</v>
      </c>
      <c r="E2530" t="s">
        <v>705</v>
      </c>
      <c r="F2530" t="s">
        <v>667</v>
      </c>
      <c r="G2530" t="s">
        <v>667</v>
      </c>
      <c r="H2530" t="s">
        <v>668</v>
      </c>
      <c r="I2530" t="s">
        <v>440</v>
      </c>
      <c r="J2530" t="str">
        <f>IFERROR(VLOOKUP(I2530,[1]AUTOS!$C:$G,2,0),"")</f>
        <v>AVEO</v>
      </c>
      <c r="K2530">
        <f>IFERROR(VLOOKUP(I2530,[1]AUTOS!$C:$G,3,0),"")</f>
        <v>2021</v>
      </c>
      <c r="L2530" t="str">
        <f>IFERROR(VLOOKUP(I2530,[1]AUTOS!$C:$G,4,0),"")</f>
        <v>GRIS</v>
      </c>
      <c r="N2530" s="3">
        <v>7037.2599999999993</v>
      </c>
      <c r="O2530" s="3">
        <v>2500</v>
      </c>
      <c r="P2530" s="3">
        <v>2600</v>
      </c>
      <c r="Q2530" s="3">
        <v>0</v>
      </c>
    </row>
    <row r="2531" spans="1:17" hidden="1" x14ac:dyDescent="0.3">
      <c r="A2531">
        <v>46</v>
      </c>
      <c r="B2531" t="str">
        <f>VLOOKUP($A2531,[1]LISTA!$B:$C,2,0)</f>
        <v>NOVIEMBRE</v>
      </c>
      <c r="C2531" s="1">
        <v>2025</v>
      </c>
      <c r="D2531" s="1" t="str">
        <f>IF($A2531&lt;=[1]RESULTADOS!$D$6,"YTD","YTG")</f>
        <v>YTG</v>
      </c>
      <c r="E2531" t="s">
        <v>497</v>
      </c>
      <c r="F2531" t="s">
        <v>667</v>
      </c>
      <c r="G2531" t="s">
        <v>667</v>
      </c>
      <c r="H2531" t="s">
        <v>668</v>
      </c>
      <c r="I2531" t="s">
        <v>560</v>
      </c>
      <c r="J2531" t="str">
        <f>IFERROR(VLOOKUP(I2531,[1]AUTOS!$C:$G,2,0),"")</f>
        <v>AVEO</v>
      </c>
      <c r="K2531">
        <f>IFERROR(VLOOKUP(I2531,[1]AUTOS!$C:$G,3,0),"")</f>
        <v>2023</v>
      </c>
      <c r="L2531" t="str">
        <f>IFERROR(VLOOKUP(I2531,[1]AUTOS!$C:$G,4,0),"")</f>
        <v>VINO</v>
      </c>
      <c r="N2531" s="3">
        <v>5292.08</v>
      </c>
      <c r="O2531" s="3">
        <v>2500</v>
      </c>
      <c r="P2531" s="3">
        <v>2500</v>
      </c>
      <c r="Q2531" s="3">
        <v>0</v>
      </c>
    </row>
    <row r="2532" spans="1:17" hidden="1" x14ac:dyDescent="0.3">
      <c r="A2532">
        <v>46</v>
      </c>
      <c r="B2532" t="str">
        <f>VLOOKUP($A2532,[1]LISTA!$B:$C,2,0)</f>
        <v>NOVIEMBRE</v>
      </c>
      <c r="C2532" s="1">
        <v>2025</v>
      </c>
      <c r="D2532" s="1" t="str">
        <f>IF($A2532&lt;=[1]RESULTADOS!$D$6,"YTD","YTG")</f>
        <v>YTG</v>
      </c>
      <c r="E2532" t="s">
        <v>714</v>
      </c>
      <c r="F2532" t="s">
        <v>667</v>
      </c>
      <c r="G2532" t="s">
        <v>667</v>
      </c>
      <c r="H2532" t="s">
        <v>668</v>
      </c>
      <c r="I2532" t="s">
        <v>510</v>
      </c>
      <c r="J2532" t="str">
        <f>IFERROR(VLOOKUP(I2532,[1]AUTOS!$C:$G,2,0),"")</f>
        <v>AVEO</v>
      </c>
      <c r="K2532">
        <f>IFERROR(VLOOKUP(I2532,[1]AUTOS!$C:$G,3,0),"")</f>
        <v>2023</v>
      </c>
      <c r="L2532" t="str">
        <f>IFERROR(VLOOKUP(I2532,[1]AUTOS!$C:$G,4,0),"")</f>
        <v>GRIS</v>
      </c>
      <c r="M2532" t="s">
        <v>43</v>
      </c>
      <c r="N2532" s="3">
        <v>3746.5099999999998</v>
      </c>
      <c r="O2532" s="3">
        <v>2500</v>
      </c>
      <c r="P2532" s="3">
        <v>3000</v>
      </c>
      <c r="Q2532" s="3">
        <v>0</v>
      </c>
    </row>
    <row r="2533" spans="1:17" hidden="1" x14ac:dyDescent="0.3">
      <c r="A2533">
        <v>46</v>
      </c>
      <c r="B2533" t="str">
        <f>VLOOKUP($A2533,[1]LISTA!$B:$C,2,0)</f>
        <v>NOVIEMBRE</v>
      </c>
      <c r="C2533" s="1">
        <v>2025</v>
      </c>
      <c r="D2533" s="1" t="str">
        <f>IF($A2533&lt;=[1]RESULTADOS!$D$6,"YTD","YTG")</f>
        <v>YTG</v>
      </c>
      <c r="E2533" t="s">
        <v>436</v>
      </c>
      <c r="F2533" t="s">
        <v>667</v>
      </c>
      <c r="G2533" t="s">
        <v>667</v>
      </c>
      <c r="H2533" t="s">
        <v>668</v>
      </c>
      <c r="I2533" t="s">
        <v>112</v>
      </c>
      <c r="J2533" t="str">
        <f>IFERROR(VLOOKUP(I2533,[1]AUTOS!$C:$G,2,0),"")</f>
        <v>KIA RIO</v>
      </c>
      <c r="K2533">
        <f>IFERROR(VLOOKUP(I2533,[1]AUTOS!$C:$G,3,0),"")</f>
        <v>2020</v>
      </c>
      <c r="L2533" t="str">
        <f>IFERROR(VLOOKUP(I2533,[1]AUTOS!$C:$G,4,0),"")</f>
        <v>ROJO</v>
      </c>
      <c r="N2533" s="3">
        <v>1861.1800000000003</v>
      </c>
      <c r="O2533" s="3">
        <v>2500</v>
      </c>
      <c r="P2533" s="3">
        <v>2161.1800000000003</v>
      </c>
      <c r="Q2533" s="3">
        <v>0</v>
      </c>
    </row>
    <row r="2534" spans="1:17" hidden="1" x14ac:dyDescent="0.3">
      <c r="A2534">
        <v>46</v>
      </c>
      <c r="B2534" t="str">
        <f>VLOOKUP($A2534,[1]LISTA!$B:$C,2,0)</f>
        <v>NOVIEMBRE</v>
      </c>
      <c r="C2534" s="1">
        <v>2025</v>
      </c>
      <c r="D2534" s="1" t="str">
        <f>IF($A2534&lt;=[1]RESULTADOS!$D$6,"YTD","YTG")</f>
        <v>YTG</v>
      </c>
      <c r="E2534" t="s">
        <v>724</v>
      </c>
      <c r="F2534" t="s">
        <v>667</v>
      </c>
      <c r="G2534" t="s">
        <v>667</v>
      </c>
      <c r="H2534" t="s">
        <v>668</v>
      </c>
      <c r="I2534" t="s">
        <v>333</v>
      </c>
      <c r="J2534" t="str">
        <f>IFERROR(VLOOKUP(I2534,[1]AUTOS!$C:$G,2,0),"")</f>
        <v>BEAT</v>
      </c>
      <c r="K2534">
        <f>IFERROR(VLOOKUP(I2534,[1]AUTOS!$C:$G,3,0),"")</f>
        <v>2019</v>
      </c>
      <c r="L2534" t="str">
        <f>IFERROR(VLOOKUP(I2534,[1]AUTOS!$C:$G,4,0),"")</f>
        <v>OCRE</v>
      </c>
      <c r="N2534" s="3">
        <v>3392.329999999999</v>
      </c>
      <c r="O2534" s="3">
        <v>2500</v>
      </c>
      <c r="P2534" s="3">
        <v>3392.329999999999</v>
      </c>
      <c r="Q2534" s="3">
        <v>-250</v>
      </c>
    </row>
    <row r="2535" spans="1:17" hidden="1" x14ac:dyDescent="0.3">
      <c r="A2535">
        <v>46</v>
      </c>
      <c r="B2535" t="str">
        <f>VLOOKUP($A2535,[1]LISTA!$B:$C,2,0)</f>
        <v>NOVIEMBRE</v>
      </c>
      <c r="C2535" s="1">
        <v>2025</v>
      </c>
      <c r="D2535" s="1" t="str">
        <f>IF($A2535&lt;=[1]RESULTADOS!$D$6,"YTD","YTG")</f>
        <v>YTG</v>
      </c>
      <c r="E2535" t="s">
        <v>717</v>
      </c>
      <c r="F2535" t="s">
        <v>667</v>
      </c>
      <c r="G2535" t="s">
        <v>667</v>
      </c>
      <c r="H2535" t="s">
        <v>668</v>
      </c>
      <c r="I2535" t="s">
        <v>495</v>
      </c>
      <c r="J2535" t="str">
        <f>IFERROR(VLOOKUP(I2535,[1]AUTOS!$C:$G,2,0),"")</f>
        <v>VERSA</v>
      </c>
      <c r="K2535">
        <f>IFERROR(VLOOKUP(I2535,[1]AUTOS!$C:$G,3,0),"")</f>
        <v>2021</v>
      </c>
      <c r="L2535" t="str">
        <f>IFERROR(VLOOKUP(I2535,[1]AUTOS!$C:$G,4,0),"")</f>
        <v>BLANCO</v>
      </c>
      <c r="N2535" s="3">
        <v>2614.4100000000003</v>
      </c>
      <c r="O2535" s="3">
        <v>2500</v>
      </c>
      <c r="P2535" s="3">
        <v>2680.4100000000003</v>
      </c>
      <c r="Q2535" s="3">
        <v>0</v>
      </c>
    </row>
    <row r="2536" spans="1:17" hidden="1" x14ac:dyDescent="0.3">
      <c r="A2536">
        <v>46</v>
      </c>
      <c r="B2536" t="str">
        <f>VLOOKUP($A2536,[1]LISTA!$B:$C,2,0)</f>
        <v>NOVIEMBRE</v>
      </c>
      <c r="C2536" s="1">
        <v>2025</v>
      </c>
      <c r="D2536" s="1" t="str">
        <f>IF($A2536&lt;=[1]RESULTADOS!$D$6,"YTD","YTG")</f>
        <v>YTG</v>
      </c>
      <c r="E2536" t="s">
        <v>691</v>
      </c>
      <c r="F2536" t="s">
        <v>667</v>
      </c>
      <c r="G2536" t="s">
        <v>667</v>
      </c>
      <c r="H2536" t="s">
        <v>668</v>
      </c>
      <c r="I2536" t="s">
        <v>139</v>
      </c>
      <c r="J2536" t="str">
        <f>IFERROR(VLOOKUP(I2536,[1]AUTOS!$C:$G,2,0),"")</f>
        <v>SWIFT</v>
      </c>
      <c r="K2536">
        <f>IFERROR(VLOOKUP(I2536,[1]AUTOS!$C:$G,3,0),"")</f>
        <v>2017</v>
      </c>
      <c r="L2536" t="str">
        <f>IFERROR(VLOOKUP(I2536,[1]AUTOS!$C:$G,4,0),"")</f>
        <v>ROJO</v>
      </c>
      <c r="N2536" s="3">
        <v>4128.3900000000003</v>
      </c>
      <c r="O2536" s="3">
        <v>2500</v>
      </c>
      <c r="P2536" s="3">
        <v>2500</v>
      </c>
      <c r="Q2536" s="3">
        <v>0</v>
      </c>
    </row>
    <row r="2537" spans="1:17" hidden="1" x14ac:dyDescent="0.3">
      <c r="A2537">
        <v>46</v>
      </c>
      <c r="B2537" t="str">
        <f>VLOOKUP($A2537,[1]LISTA!$B:$C,2,0)</f>
        <v>NOVIEMBRE</v>
      </c>
      <c r="C2537" s="1">
        <v>2025</v>
      </c>
      <c r="D2537" s="1" t="str">
        <f>IF($A2537&lt;=[1]RESULTADOS!$D$6,"YTD","YTG")</f>
        <v>YTG</v>
      </c>
      <c r="E2537" t="s">
        <v>594</v>
      </c>
      <c r="F2537" t="s">
        <v>667</v>
      </c>
      <c r="G2537" t="s">
        <v>667</v>
      </c>
      <c r="H2537" t="s">
        <v>668</v>
      </c>
      <c r="I2537" t="s">
        <v>313</v>
      </c>
      <c r="J2537" t="str">
        <f>IFERROR(VLOOKUP(I2537,[1]AUTOS!$C:$G,2,0),"")</f>
        <v>MARCH</v>
      </c>
      <c r="K2537">
        <f>IFERROR(VLOOKUP(I2537,[1]AUTOS!$C:$G,3,0),"")</f>
        <v>2019</v>
      </c>
      <c r="L2537" t="str">
        <f>IFERROR(VLOOKUP(I2537,[1]AUTOS!$C:$G,4,0),"")</f>
        <v>TURQ</v>
      </c>
      <c r="M2537" t="s">
        <v>140</v>
      </c>
      <c r="N2537" s="3">
        <v>666.19</v>
      </c>
      <c r="O2537" s="3">
        <v>666</v>
      </c>
      <c r="P2537" s="3">
        <v>666</v>
      </c>
      <c r="Q2537" s="3">
        <v>0</v>
      </c>
    </row>
    <row r="2538" spans="1:17" hidden="1" x14ac:dyDescent="0.3">
      <c r="A2538">
        <v>46</v>
      </c>
      <c r="B2538" t="str">
        <f>VLOOKUP($A2538,[1]LISTA!$B:$C,2,0)</f>
        <v>NOVIEMBRE</v>
      </c>
      <c r="C2538" s="1">
        <v>2025</v>
      </c>
      <c r="D2538" s="1" t="str">
        <f>IF($A2538&lt;=[1]RESULTADOS!$D$6,"YTD","YTG")</f>
        <v>YTG</v>
      </c>
      <c r="E2538" t="s">
        <v>456</v>
      </c>
      <c r="F2538" t="s">
        <v>667</v>
      </c>
      <c r="G2538" t="s">
        <v>667</v>
      </c>
      <c r="H2538" t="s">
        <v>668</v>
      </c>
      <c r="I2538" t="s">
        <v>146</v>
      </c>
      <c r="J2538" t="str">
        <f>IFERROR(VLOOKUP(I2538,[1]AUTOS!$C:$G,2,0),"")</f>
        <v>KIA RIO</v>
      </c>
      <c r="K2538">
        <f>IFERROR(VLOOKUP(I2538,[1]AUTOS!$C:$G,3,0),"")</f>
        <v>2023</v>
      </c>
      <c r="L2538" t="str">
        <f>IFERROR(VLOOKUP(I2538,[1]AUTOS!$C:$G,4,0),"")</f>
        <v>ROJO</v>
      </c>
      <c r="N2538" s="3">
        <v>4133.8099999999995</v>
      </c>
      <c r="O2538" s="3">
        <v>2500</v>
      </c>
      <c r="P2538" s="3">
        <v>3200</v>
      </c>
      <c r="Q2538" s="3">
        <v>0</v>
      </c>
    </row>
    <row r="2539" spans="1:17" hidden="1" x14ac:dyDescent="0.3">
      <c r="A2539">
        <v>46</v>
      </c>
      <c r="B2539" t="str">
        <f>VLOOKUP($A2539,[1]LISTA!$B:$C,2,0)</f>
        <v>NOVIEMBRE</v>
      </c>
      <c r="C2539" s="1">
        <v>2025</v>
      </c>
      <c r="D2539" s="1" t="str">
        <f>IF($A2539&lt;=[1]RESULTADOS!$D$6,"YTD","YTG")</f>
        <v>YTG</v>
      </c>
      <c r="E2539" t="s">
        <v>486</v>
      </c>
      <c r="F2539" t="s">
        <v>667</v>
      </c>
      <c r="G2539" t="s">
        <v>667</v>
      </c>
      <c r="H2539" t="s">
        <v>668</v>
      </c>
      <c r="I2539" t="s">
        <v>34</v>
      </c>
      <c r="J2539" t="str">
        <f>IFERROR(VLOOKUP(I2539,[1]AUTOS!$C:$G,2,0),"")</f>
        <v>AVEO</v>
      </c>
      <c r="K2539">
        <f>IFERROR(VLOOKUP(I2539,[1]AUTOS!$C:$G,3,0),"")</f>
        <v>2018</v>
      </c>
      <c r="L2539" t="str">
        <f>IFERROR(VLOOKUP(I2539,[1]AUTOS!$C:$G,4,0),"")</f>
        <v>ROJO</v>
      </c>
      <c r="N2539" s="3">
        <v>2942.3</v>
      </c>
      <c r="O2539" s="3">
        <v>2500</v>
      </c>
      <c r="P2539" s="3">
        <v>2500</v>
      </c>
      <c r="Q2539" s="3">
        <v>0</v>
      </c>
    </row>
    <row r="2540" spans="1:17" hidden="1" x14ac:dyDescent="0.3">
      <c r="A2540">
        <v>46</v>
      </c>
      <c r="B2540" t="str">
        <f>VLOOKUP($A2540,[1]LISTA!$B:$C,2,0)</f>
        <v>NOVIEMBRE</v>
      </c>
      <c r="C2540" s="1">
        <v>2025</v>
      </c>
      <c r="D2540" s="1" t="str">
        <f>IF($A2540&lt;=[1]RESULTADOS!$D$6,"YTD","YTG")</f>
        <v>YTG</v>
      </c>
      <c r="E2540" t="s">
        <v>721</v>
      </c>
      <c r="F2540" t="s">
        <v>667</v>
      </c>
      <c r="G2540" t="s">
        <v>667</v>
      </c>
      <c r="H2540" t="s">
        <v>668</v>
      </c>
      <c r="I2540" t="s">
        <v>61</v>
      </c>
      <c r="J2540" t="str">
        <f>IFERROR(VLOOKUP(I2540,[1]AUTOS!$C:$G,2,0),"")</f>
        <v>KIA RIO</v>
      </c>
      <c r="K2540">
        <f>IFERROR(VLOOKUP(I2540,[1]AUTOS!$C:$G,3,0),"")</f>
        <v>2017</v>
      </c>
      <c r="L2540" t="str">
        <f>IFERROR(VLOOKUP(I2540,[1]AUTOS!$C:$G,4,0),"")</f>
        <v>ROJO</v>
      </c>
      <c r="N2540" s="3">
        <v>0</v>
      </c>
      <c r="O2540" s="3">
        <v>2500</v>
      </c>
      <c r="P2540" s="3">
        <v>0</v>
      </c>
      <c r="Q2540" s="3">
        <v>-3357</v>
      </c>
    </row>
    <row r="2541" spans="1:17" hidden="1" x14ac:dyDescent="0.3">
      <c r="A2541">
        <v>46</v>
      </c>
      <c r="B2541" t="str">
        <f>VLOOKUP($A2541,[1]LISTA!$B:$C,2,0)</f>
        <v>NOVIEMBRE</v>
      </c>
      <c r="C2541" s="1">
        <v>2025</v>
      </c>
      <c r="D2541" s="1" t="str">
        <f>IF($A2541&lt;=[1]RESULTADOS!$D$6,"YTD","YTG")</f>
        <v>YTG</v>
      </c>
      <c r="E2541" t="s">
        <v>704</v>
      </c>
      <c r="F2541" t="s">
        <v>667</v>
      </c>
      <c r="G2541" t="s">
        <v>667</v>
      </c>
      <c r="H2541" t="s">
        <v>668</v>
      </c>
      <c r="I2541" t="s">
        <v>37</v>
      </c>
      <c r="J2541" t="str">
        <f>IFERROR(VLOOKUP(I2541,[1]AUTOS!$C:$G,2,0),"")</f>
        <v>BEAT</v>
      </c>
      <c r="K2541">
        <f>IFERROR(VLOOKUP(I2541,[1]AUTOS!$C:$G,3,0),"")</f>
        <v>2020</v>
      </c>
      <c r="L2541" t="str">
        <f>IFERROR(VLOOKUP(I2541,[1]AUTOS!$C:$G,4,0),"")</f>
        <v>GRIS</v>
      </c>
      <c r="N2541" s="3">
        <v>0</v>
      </c>
      <c r="O2541" s="3">
        <v>0</v>
      </c>
      <c r="P2541" s="3">
        <v>-500</v>
      </c>
      <c r="Q2541" s="3">
        <v>-500</v>
      </c>
    </row>
    <row r="2542" spans="1:17" hidden="1" x14ac:dyDescent="0.3">
      <c r="A2542">
        <v>46</v>
      </c>
      <c r="B2542" t="str">
        <f>VLOOKUP($A2542,[1]LISTA!$B:$C,2,0)</f>
        <v>NOVIEMBRE</v>
      </c>
      <c r="C2542" s="1">
        <v>2025</v>
      </c>
      <c r="D2542" s="1" t="str">
        <f>IF($A2542&lt;=[1]RESULTADOS!$D$6,"YTD","YTG")</f>
        <v>YTG</v>
      </c>
      <c r="E2542" t="s">
        <v>563</v>
      </c>
      <c r="F2542" t="s">
        <v>667</v>
      </c>
      <c r="G2542" t="s">
        <v>667</v>
      </c>
      <c r="H2542" t="s">
        <v>668</v>
      </c>
      <c r="I2542" t="s">
        <v>61</v>
      </c>
      <c r="J2542" t="str">
        <f>IFERROR(VLOOKUP(I2542,[1]AUTOS!$C:$G,2,0),"")</f>
        <v>KIA RIO</v>
      </c>
      <c r="K2542">
        <f>IFERROR(VLOOKUP(I2542,[1]AUTOS!$C:$G,3,0),"")</f>
        <v>2017</v>
      </c>
      <c r="L2542" t="str">
        <f>IFERROR(VLOOKUP(I2542,[1]AUTOS!$C:$G,4,0),"")</f>
        <v>ROJO</v>
      </c>
      <c r="N2542" s="3">
        <v>0</v>
      </c>
      <c r="O2542" s="3">
        <v>0</v>
      </c>
      <c r="P2542" s="3">
        <v>-500</v>
      </c>
      <c r="Q2542" s="3">
        <v>-500</v>
      </c>
    </row>
    <row r="2543" spans="1:17" hidden="1" x14ac:dyDescent="0.3">
      <c r="A2543">
        <v>46</v>
      </c>
      <c r="B2543" t="str">
        <f>VLOOKUP($A2543,[1]LISTA!$B:$C,2,0)</f>
        <v>NOVIEMBRE</v>
      </c>
      <c r="C2543" s="1">
        <v>2025</v>
      </c>
      <c r="D2543" s="1" t="str">
        <f>IF($A2543&lt;=[1]RESULTADOS!$D$6,"YTD","YTG")</f>
        <v>YTG</v>
      </c>
      <c r="E2543" t="s">
        <v>720</v>
      </c>
      <c r="F2543" t="s">
        <v>667</v>
      </c>
      <c r="G2543" t="s">
        <v>667</v>
      </c>
      <c r="H2543" t="s">
        <v>668</v>
      </c>
      <c r="I2543" t="s">
        <v>46</v>
      </c>
      <c r="J2543" t="str">
        <f>IFERROR(VLOOKUP(I2543,[1]AUTOS!$C:$G,2,0),"")</f>
        <v>MARCH</v>
      </c>
      <c r="K2543">
        <f>IFERROR(VLOOKUP(I2543,[1]AUTOS!$C:$G,3,0),"")</f>
        <v>2020</v>
      </c>
      <c r="L2543" t="str">
        <f>IFERROR(VLOOKUP(I2543,[1]AUTOS!$C:$G,4,0),"")</f>
        <v>TURQ</v>
      </c>
      <c r="N2543" s="3">
        <v>7517.44</v>
      </c>
      <c r="O2543" s="3">
        <v>2500</v>
      </c>
      <c r="P2543" s="3">
        <v>3700</v>
      </c>
      <c r="Q2543" s="3">
        <v>500</v>
      </c>
    </row>
    <row r="2544" spans="1:17" hidden="1" x14ac:dyDescent="0.3">
      <c r="A2544">
        <v>46</v>
      </c>
      <c r="B2544" t="str">
        <f>VLOOKUP($A2544,[1]LISTA!$B:$C,2,0)</f>
        <v>NOVIEMBRE</v>
      </c>
      <c r="C2544" s="1">
        <v>2025</v>
      </c>
      <c r="D2544" s="1" t="str">
        <f>IF($A2544&lt;=[1]RESULTADOS!$D$6,"YTD","YTG")</f>
        <v>YTG</v>
      </c>
      <c r="E2544" t="s">
        <v>722</v>
      </c>
      <c r="F2544" t="s">
        <v>667</v>
      </c>
      <c r="G2544" t="s">
        <v>667</v>
      </c>
      <c r="H2544" t="s">
        <v>668</v>
      </c>
      <c r="I2544" t="s">
        <v>185</v>
      </c>
      <c r="J2544" t="str">
        <f>IFERROR(VLOOKUP(I2544,[1]AUTOS!$C:$G,2,0),"")</f>
        <v>MARCH</v>
      </c>
      <c r="K2544">
        <f>IFERROR(VLOOKUP(I2544,[1]AUTOS!$C:$G,3,0),"")</f>
        <v>2021</v>
      </c>
      <c r="L2544" t="str">
        <f>IFERROR(VLOOKUP(I2544,[1]AUTOS!$C:$G,4,0),"")</f>
        <v>ROJO</v>
      </c>
      <c r="N2544" s="3">
        <v>5217.67</v>
      </c>
      <c r="O2544" s="3">
        <v>2500</v>
      </c>
      <c r="P2544" s="3">
        <v>3000</v>
      </c>
      <c r="Q2544" s="3">
        <v>500</v>
      </c>
    </row>
    <row r="2545" spans="1:17" hidden="1" x14ac:dyDescent="0.3">
      <c r="A2545">
        <v>46</v>
      </c>
      <c r="B2545" t="str">
        <f>VLOOKUP($A2545,[1]LISTA!$B:$C,2,0)</f>
        <v>NOVIEMBRE</v>
      </c>
      <c r="C2545" s="1">
        <v>2025</v>
      </c>
      <c r="D2545" s="1" t="str">
        <f>IF($A2545&lt;=[1]RESULTADOS!$D$6,"YTD","YTG")</f>
        <v>YTG</v>
      </c>
      <c r="E2545" t="s">
        <v>630</v>
      </c>
      <c r="F2545" t="s">
        <v>667</v>
      </c>
      <c r="G2545" t="s">
        <v>667</v>
      </c>
      <c r="H2545" t="s">
        <v>668</v>
      </c>
      <c r="I2545" t="s">
        <v>51</v>
      </c>
      <c r="J2545" t="str">
        <f>IFERROR(VLOOKUP(I2545,[1]AUTOS!$C:$G,2,0),"")</f>
        <v>VENTO</v>
      </c>
      <c r="K2545">
        <f>IFERROR(VLOOKUP(I2545,[1]AUTOS!$C:$G,3,0),"")</f>
        <v>2017</v>
      </c>
      <c r="L2545" t="str">
        <f>IFERROR(VLOOKUP(I2545,[1]AUTOS!$C:$G,4,0),"")</f>
        <v>GRIS</v>
      </c>
      <c r="N2545" s="3">
        <v>5502.5099999999993</v>
      </c>
      <c r="O2545" s="3">
        <v>2500</v>
      </c>
      <c r="P2545" s="3">
        <v>3000</v>
      </c>
      <c r="Q2545" s="3">
        <v>500</v>
      </c>
    </row>
    <row r="2546" spans="1:17" hidden="1" x14ac:dyDescent="0.3">
      <c r="A2546">
        <v>46</v>
      </c>
      <c r="B2546" t="str">
        <f>VLOOKUP($A2546,[1]LISTA!$B:$C,2,0)</f>
        <v>NOVIEMBRE</v>
      </c>
      <c r="C2546" s="1">
        <v>2025</v>
      </c>
      <c r="D2546" s="1" t="str">
        <f>IF($A2546&lt;=[1]RESULTADOS!$D$6,"YTD","YTG")</f>
        <v>YTG</v>
      </c>
      <c r="E2546" t="s">
        <v>399</v>
      </c>
      <c r="F2546" t="s">
        <v>667</v>
      </c>
      <c r="G2546" t="s">
        <v>667</v>
      </c>
      <c r="H2546" t="s">
        <v>668</v>
      </c>
      <c r="I2546" t="s">
        <v>162</v>
      </c>
      <c r="J2546" t="str">
        <f>IFERROR(VLOOKUP(I2546,[1]AUTOS!$C:$G,2,0),"")</f>
        <v>HYUNDAI</v>
      </c>
      <c r="K2546">
        <f>IFERROR(VLOOKUP(I2546,[1]AUTOS!$C:$G,3,0),"")</f>
        <v>2022</v>
      </c>
      <c r="L2546" t="str">
        <f>IFERROR(VLOOKUP(I2546,[1]AUTOS!$C:$G,4,0),"")</f>
        <v>PLATA</v>
      </c>
      <c r="N2546" s="3">
        <v>6700.48</v>
      </c>
      <c r="O2546" s="3">
        <v>2500</v>
      </c>
      <c r="P2546" s="3">
        <v>3500</v>
      </c>
      <c r="Q2546" s="3">
        <v>0</v>
      </c>
    </row>
    <row r="2547" spans="1:17" hidden="1" x14ac:dyDescent="0.3">
      <c r="A2547">
        <v>46</v>
      </c>
      <c r="B2547" t="str">
        <f>VLOOKUP($A2547,[1]LISTA!$B:$C,2,0)</f>
        <v>NOVIEMBRE</v>
      </c>
      <c r="C2547" s="1">
        <v>2025</v>
      </c>
      <c r="D2547" s="1" t="str">
        <f>IF($A2547&lt;=[1]RESULTADOS!$D$6,"YTD","YTG")</f>
        <v>YTG</v>
      </c>
      <c r="E2547" t="s">
        <v>709</v>
      </c>
      <c r="F2547" t="s">
        <v>667</v>
      </c>
      <c r="G2547" t="s">
        <v>667</v>
      </c>
      <c r="H2547" t="s">
        <v>668</v>
      </c>
      <c r="I2547" t="s">
        <v>185</v>
      </c>
      <c r="J2547" t="str">
        <f>IFERROR(VLOOKUP(I2547,[1]AUTOS!$C:$G,2,0),"")</f>
        <v>MARCH</v>
      </c>
      <c r="K2547">
        <f>IFERROR(VLOOKUP(I2547,[1]AUTOS!$C:$G,3,0),"")</f>
        <v>2021</v>
      </c>
      <c r="L2547" t="str">
        <f>IFERROR(VLOOKUP(I2547,[1]AUTOS!$C:$G,4,0),"")</f>
        <v>ROJO</v>
      </c>
      <c r="N2547" s="3">
        <v>2664.69</v>
      </c>
      <c r="O2547" s="3">
        <v>2500</v>
      </c>
      <c r="P2547" s="3">
        <v>2500</v>
      </c>
      <c r="Q2547" s="3">
        <v>0</v>
      </c>
    </row>
    <row r="2548" spans="1:17" x14ac:dyDescent="0.3">
      <c r="A2548">
        <v>46</v>
      </c>
      <c r="B2548" t="str">
        <f>VLOOKUP($A2548,[1]LISTA!$B:$C,2,0)</f>
        <v>NOVIEMBRE</v>
      </c>
      <c r="C2548" s="1">
        <v>2025</v>
      </c>
      <c r="D2548" s="1" t="str">
        <f>IF($A2548&lt;=[1]RESULTADOS!$D$6,"YTD","YTG")</f>
        <v>YTG</v>
      </c>
      <c r="E2548" t="s">
        <v>403</v>
      </c>
      <c r="F2548" t="s">
        <v>667</v>
      </c>
      <c r="G2548" t="s">
        <v>667</v>
      </c>
      <c r="H2548" t="s">
        <v>668</v>
      </c>
      <c r="I2548" t="s">
        <v>72</v>
      </c>
      <c r="J2548" t="str">
        <f>IFERROR(VLOOKUP(I2548,[1]AUTOS!$C:$G,2,0),"")</f>
        <v>VENTO</v>
      </c>
      <c r="K2548">
        <f>IFERROR(VLOOKUP(I2548,[1]AUTOS!$C:$G,3,0),"")</f>
        <v>2020</v>
      </c>
      <c r="L2548" t="str">
        <f>IFERROR(VLOOKUP(I2548,[1]AUTOS!$C:$G,4,0),"")</f>
        <v>GRIS</v>
      </c>
      <c r="N2548" s="3">
        <v>2486.2400000000007</v>
      </c>
      <c r="O2548" s="3">
        <v>2500</v>
      </c>
      <c r="P2548" s="3">
        <v>2500.2400000000007</v>
      </c>
      <c r="Q2548" s="3">
        <v>0</v>
      </c>
    </row>
    <row r="2549" spans="1:17" hidden="1" x14ac:dyDescent="0.3">
      <c r="A2549">
        <v>46</v>
      </c>
      <c r="B2549" t="str">
        <f>VLOOKUP($A2549,[1]LISTA!$B:$C,2,0)</f>
        <v>NOVIEMBRE</v>
      </c>
      <c r="C2549" s="1">
        <v>2025</v>
      </c>
      <c r="D2549" s="1" t="str">
        <f>IF($A2549&lt;=[1]RESULTADOS!$D$6,"YTD","YTG")</f>
        <v>YTG</v>
      </c>
      <c r="E2549" t="s">
        <v>719</v>
      </c>
      <c r="F2549" t="s">
        <v>667</v>
      </c>
      <c r="G2549" t="s">
        <v>667</v>
      </c>
      <c r="H2549" t="s">
        <v>668</v>
      </c>
      <c r="I2549" t="s">
        <v>82</v>
      </c>
      <c r="J2549" t="str">
        <f>IFERROR(VLOOKUP(I2549,[1]AUTOS!$C:$G,2,0),"")</f>
        <v>AVEO</v>
      </c>
      <c r="K2549">
        <f>IFERROR(VLOOKUP(I2549,[1]AUTOS!$C:$G,3,0),"")</f>
        <v>2019</v>
      </c>
      <c r="L2549" t="str">
        <f>IFERROR(VLOOKUP(I2549,[1]AUTOS!$C:$G,4,0),"")</f>
        <v>PLATA</v>
      </c>
      <c r="N2549" s="3">
        <v>2522.1400000000003</v>
      </c>
      <c r="O2549" s="3">
        <v>2500</v>
      </c>
      <c r="P2549" s="3">
        <v>2500</v>
      </c>
      <c r="Q2549" s="3">
        <v>0</v>
      </c>
    </row>
    <row r="2550" spans="1:17" hidden="1" x14ac:dyDescent="0.3">
      <c r="A2550">
        <v>46</v>
      </c>
      <c r="B2550" t="str">
        <f>VLOOKUP($A2550,[1]LISTA!$B:$C,2,0)</f>
        <v>NOVIEMBRE</v>
      </c>
      <c r="C2550" s="1">
        <v>2025</v>
      </c>
      <c r="D2550" s="1" t="str">
        <f>IF($A2550&lt;=[1]RESULTADOS!$D$6,"YTD","YTG")</f>
        <v>YTG</v>
      </c>
      <c r="E2550" t="s">
        <v>622</v>
      </c>
      <c r="F2550" t="s">
        <v>667</v>
      </c>
      <c r="G2550" t="s">
        <v>667</v>
      </c>
      <c r="H2550" t="s">
        <v>668</v>
      </c>
      <c r="I2550" t="s">
        <v>76</v>
      </c>
      <c r="J2550" t="str">
        <f>IFERROR(VLOOKUP(I2550,[1]AUTOS!$C:$G,2,0),"")</f>
        <v>AVEO</v>
      </c>
      <c r="K2550">
        <f>IFERROR(VLOOKUP(I2550,[1]AUTOS!$C:$G,3,0),"")</f>
        <v>2018</v>
      </c>
      <c r="L2550" t="str">
        <f>IFERROR(VLOOKUP(I2550,[1]AUTOS!$C:$G,4,0),"")</f>
        <v>GRIS</v>
      </c>
      <c r="N2550" s="3">
        <v>3447.1599999999994</v>
      </c>
      <c r="O2550" s="3">
        <v>2500</v>
      </c>
      <c r="P2550" s="3">
        <v>3200</v>
      </c>
      <c r="Q2550" s="3">
        <v>0</v>
      </c>
    </row>
    <row r="2551" spans="1:17" hidden="1" x14ac:dyDescent="0.3">
      <c r="A2551">
        <v>46</v>
      </c>
      <c r="B2551" t="str">
        <f>VLOOKUP($A2551,[1]LISTA!$B:$C,2,0)</f>
        <v>NOVIEMBRE</v>
      </c>
      <c r="C2551" s="1">
        <v>2025</v>
      </c>
      <c r="D2551" s="1" t="str">
        <f>IF($A2551&lt;=[1]RESULTADOS!$D$6,"YTD","YTG")</f>
        <v>YTG</v>
      </c>
      <c r="E2551" t="s">
        <v>706</v>
      </c>
      <c r="F2551" t="s">
        <v>667</v>
      </c>
      <c r="G2551" t="s">
        <v>667</v>
      </c>
      <c r="H2551" t="s">
        <v>668</v>
      </c>
      <c r="I2551" t="s">
        <v>131</v>
      </c>
      <c r="J2551" t="str">
        <f>IFERROR(VLOOKUP(I2551,[1]AUTOS!$C:$G,2,0),"")</f>
        <v>AVEO</v>
      </c>
      <c r="K2551">
        <f>IFERROR(VLOOKUP(I2551,[1]AUTOS!$C:$G,3,0),"")</f>
        <v>2024</v>
      </c>
      <c r="L2551" t="str">
        <f>IFERROR(VLOOKUP(I2551,[1]AUTOS!$C:$G,4,0),"")</f>
        <v>GRIS</v>
      </c>
      <c r="N2551" s="3">
        <v>105.42000000000007</v>
      </c>
      <c r="O2551" s="3">
        <v>105</v>
      </c>
      <c r="P2551" s="3">
        <v>105</v>
      </c>
      <c r="Q2551" s="3">
        <v>0</v>
      </c>
    </row>
    <row r="2552" spans="1:17" hidden="1" x14ac:dyDescent="0.3">
      <c r="A2552">
        <v>46</v>
      </c>
      <c r="B2552" t="str">
        <f>VLOOKUP($A2552,[1]LISTA!$B:$C,2,0)</f>
        <v>NOVIEMBRE</v>
      </c>
      <c r="C2552" s="1">
        <v>2025</v>
      </c>
      <c r="D2552" s="1" t="str">
        <f>IF($A2552&lt;=[1]RESULTADOS!$D$6,"YTD","YTG")</f>
        <v>YTG</v>
      </c>
      <c r="E2552" t="s">
        <v>706</v>
      </c>
      <c r="F2552" t="s">
        <v>667</v>
      </c>
      <c r="G2552" t="s">
        <v>667</v>
      </c>
      <c r="H2552" t="s">
        <v>668</v>
      </c>
      <c r="I2552" t="s">
        <v>131</v>
      </c>
      <c r="J2552" t="str">
        <f>IFERROR(VLOOKUP(I2552,[1]AUTOS!$C:$G,2,0),"")</f>
        <v>AVEO</v>
      </c>
      <c r="K2552">
        <f>IFERROR(VLOOKUP(I2552,[1]AUTOS!$C:$G,3,0),"")</f>
        <v>2024</v>
      </c>
      <c r="L2552" t="str">
        <f>IFERROR(VLOOKUP(I2552,[1]AUTOS!$C:$G,4,0),"")</f>
        <v>GRIS</v>
      </c>
      <c r="N2552" s="3">
        <v>1641.6399999999999</v>
      </c>
      <c r="O2552" s="3">
        <v>2395</v>
      </c>
      <c r="P2552" s="3">
        <v>2537.64</v>
      </c>
      <c r="Q2552" s="3">
        <v>143</v>
      </c>
    </row>
    <row r="2553" spans="1:17" hidden="1" x14ac:dyDescent="0.3">
      <c r="A2553">
        <v>46</v>
      </c>
      <c r="B2553" t="str">
        <f>VLOOKUP($A2553,[1]LISTA!$B:$C,2,0)</f>
        <v>NOVIEMBRE</v>
      </c>
      <c r="C2553" s="1">
        <v>2025</v>
      </c>
      <c r="D2553" s="1" t="str">
        <f>IF($A2553&lt;=[1]RESULTADOS!$D$6,"YTD","YTG")</f>
        <v>YTG</v>
      </c>
      <c r="E2553" t="s">
        <v>703</v>
      </c>
      <c r="F2553" t="s">
        <v>667</v>
      </c>
      <c r="G2553" t="s">
        <v>667</v>
      </c>
      <c r="H2553" t="s">
        <v>668</v>
      </c>
      <c r="I2553" t="s">
        <v>182</v>
      </c>
      <c r="J2553" t="str">
        <f>IFERROR(VLOOKUP(I2553,[1]AUTOS!$C:$G,2,0),"")</f>
        <v>AVEO</v>
      </c>
      <c r="K2553">
        <f>IFERROR(VLOOKUP(I2553,[1]AUTOS!$C:$G,3,0),"")</f>
        <v>2020</v>
      </c>
      <c r="L2553" t="str">
        <f>IFERROR(VLOOKUP(I2553,[1]AUTOS!$C:$G,4,0),"")</f>
        <v>AZUL</v>
      </c>
      <c r="N2553" s="3">
        <v>-70.239999999999995</v>
      </c>
      <c r="O2553" s="3">
        <v>0</v>
      </c>
      <c r="P2553" s="3">
        <v>-70.239999999999995</v>
      </c>
      <c r="Q2553" s="3">
        <v>-100</v>
      </c>
    </row>
    <row r="2554" spans="1:17" hidden="1" x14ac:dyDescent="0.3">
      <c r="A2554">
        <v>46</v>
      </c>
      <c r="B2554" t="str">
        <f>VLOOKUP($A2554,[1]LISTA!$B:$C,2,0)</f>
        <v>NOVIEMBRE</v>
      </c>
      <c r="C2554" s="1">
        <v>2025</v>
      </c>
      <c r="D2554" s="1" t="str">
        <f>IF($A2554&lt;=[1]RESULTADOS!$D$6,"YTD","YTG")</f>
        <v>YTG</v>
      </c>
      <c r="E2554" t="s">
        <v>723</v>
      </c>
      <c r="F2554" t="s">
        <v>667</v>
      </c>
      <c r="G2554" t="s">
        <v>667</v>
      </c>
      <c r="H2554" t="s">
        <v>668</v>
      </c>
      <c r="I2554" t="s">
        <v>59</v>
      </c>
      <c r="J2554" t="str">
        <f>IFERROR(VLOOKUP(I2554,[1]AUTOS!$C:$G,2,0),"")</f>
        <v>AVEO</v>
      </c>
      <c r="K2554">
        <f>IFERROR(VLOOKUP(I2554,[1]AUTOS!$C:$G,3,0),"")</f>
        <v>2019</v>
      </c>
      <c r="L2554" t="str">
        <f>IFERROR(VLOOKUP(I2554,[1]AUTOS!$C:$G,4,0),"")</f>
        <v>BLANCO</v>
      </c>
      <c r="N2554" s="3">
        <v>552.88000000000011</v>
      </c>
      <c r="O2554" s="3">
        <v>2600</v>
      </c>
      <c r="P2554" s="3">
        <v>2445</v>
      </c>
      <c r="Q2554" s="3">
        <v>500</v>
      </c>
    </row>
    <row r="2555" spans="1:17" hidden="1" x14ac:dyDescent="0.3">
      <c r="A2555">
        <v>46</v>
      </c>
      <c r="B2555" t="str">
        <f>VLOOKUP($A2555,[1]LISTA!$B:$C,2,0)</f>
        <v>NOVIEMBRE</v>
      </c>
      <c r="C2555" s="1">
        <v>2025</v>
      </c>
      <c r="D2555" s="1" t="str">
        <f>IF($A2555&lt;=[1]RESULTADOS!$D$6,"YTD","YTG")</f>
        <v>YTG</v>
      </c>
      <c r="E2555" t="s">
        <v>715</v>
      </c>
      <c r="F2555" t="s">
        <v>667</v>
      </c>
      <c r="G2555" t="s">
        <v>667</v>
      </c>
      <c r="H2555" t="s">
        <v>668</v>
      </c>
      <c r="I2555" t="s">
        <v>51</v>
      </c>
      <c r="J2555" t="str">
        <f>IFERROR(VLOOKUP(I2555,[1]AUTOS!$C:$G,2,0),"")</f>
        <v>VENTO</v>
      </c>
      <c r="K2555">
        <f>IFERROR(VLOOKUP(I2555,[1]AUTOS!$C:$G,3,0),"")</f>
        <v>2017</v>
      </c>
      <c r="L2555" t="str">
        <f>IFERROR(VLOOKUP(I2555,[1]AUTOS!$C:$G,4,0),"")</f>
        <v>GRIS</v>
      </c>
      <c r="N2555" s="3">
        <v>25.20999999999998</v>
      </c>
      <c r="O2555" s="3">
        <v>2500</v>
      </c>
      <c r="P2555" s="3">
        <v>3025.21</v>
      </c>
      <c r="Q2555" s="3">
        <v>0</v>
      </c>
    </row>
    <row r="2556" spans="1:17" hidden="1" x14ac:dyDescent="0.3">
      <c r="A2556">
        <v>46</v>
      </c>
      <c r="B2556" t="str">
        <f>VLOOKUP($A2556,[1]LISTA!$B:$C,2,0)</f>
        <v>NOVIEMBRE</v>
      </c>
      <c r="C2556" s="1">
        <v>2025</v>
      </c>
      <c r="D2556" s="1" t="str">
        <f>IF($A2556&lt;=[1]RESULTADOS!$D$6,"YTD","YTG")</f>
        <v>YTG</v>
      </c>
      <c r="E2556" t="s">
        <v>718</v>
      </c>
      <c r="F2556" t="s">
        <v>667</v>
      </c>
      <c r="G2556" t="s">
        <v>667</v>
      </c>
      <c r="H2556" t="s">
        <v>668</v>
      </c>
      <c r="I2556" t="s">
        <v>42</v>
      </c>
      <c r="J2556" t="str">
        <f>IFERROR(VLOOKUP(I2556,[1]AUTOS!$C:$G,2,0),"")</f>
        <v>VENTO</v>
      </c>
      <c r="K2556">
        <f>IFERROR(VLOOKUP(I2556,[1]AUTOS!$C:$G,3,0),"")</f>
        <v>2018</v>
      </c>
      <c r="L2556" t="str">
        <f>IFERROR(VLOOKUP(I2556,[1]AUTOS!$C:$G,4,0),"")</f>
        <v>AMARILLO</v>
      </c>
      <c r="N2556" s="3">
        <v>-35</v>
      </c>
      <c r="O2556" s="3">
        <v>2500</v>
      </c>
      <c r="P2556" s="3">
        <v>3465</v>
      </c>
      <c r="Q2556" s="3">
        <v>0</v>
      </c>
    </row>
    <row r="2557" spans="1:17" hidden="1" x14ac:dyDescent="0.3">
      <c r="A2557">
        <v>46</v>
      </c>
      <c r="B2557" t="str">
        <f>VLOOKUP($A2557,[1]LISTA!$B:$C,2,0)</f>
        <v>NOVIEMBRE</v>
      </c>
      <c r="C2557" s="1">
        <v>2025</v>
      </c>
      <c r="D2557" s="1" t="str">
        <f>IF($A2557&lt;=[1]RESULTADOS!$D$6,"YTD","YTG")</f>
        <v>YTG</v>
      </c>
      <c r="E2557" t="s">
        <v>492</v>
      </c>
      <c r="F2557" t="s">
        <v>667</v>
      </c>
      <c r="G2557" t="s">
        <v>667</v>
      </c>
      <c r="H2557" t="s">
        <v>668</v>
      </c>
      <c r="I2557" t="s">
        <v>144</v>
      </c>
      <c r="J2557" t="str">
        <f>IFERROR(VLOOKUP(I2557,[1]AUTOS!$C:$G,2,0),"")</f>
        <v>VERSA</v>
      </c>
      <c r="K2557">
        <f>IFERROR(VLOOKUP(I2557,[1]AUTOS!$C:$G,3,0),"")</f>
        <v>2020</v>
      </c>
      <c r="L2557" t="str">
        <f>IFERROR(VLOOKUP(I2557,[1]AUTOS!$C:$G,4,0),"")</f>
        <v>ROJO</v>
      </c>
      <c r="N2557" s="3">
        <v>0</v>
      </c>
      <c r="O2557" s="3">
        <v>2500</v>
      </c>
      <c r="P2557" s="3">
        <v>2500</v>
      </c>
      <c r="Q2557" s="3">
        <v>0</v>
      </c>
    </row>
    <row r="2558" spans="1:17" hidden="1" x14ac:dyDescent="0.3">
      <c r="A2558">
        <v>46</v>
      </c>
      <c r="B2558" t="str">
        <f>VLOOKUP($A2558,[1]LISTA!$B:$C,2,0)</f>
        <v>NOVIEMBRE</v>
      </c>
      <c r="C2558" s="1">
        <v>2025</v>
      </c>
      <c r="D2558" s="1" t="str">
        <f>IF($A2558&lt;=[1]RESULTADOS!$D$6,"YTD","YTG")</f>
        <v>YTG</v>
      </c>
      <c r="E2558" t="s">
        <v>526</v>
      </c>
      <c r="F2558" t="s">
        <v>667</v>
      </c>
      <c r="G2558" t="s">
        <v>667</v>
      </c>
      <c r="H2558" t="s">
        <v>668</v>
      </c>
      <c r="I2558" t="s">
        <v>67</v>
      </c>
      <c r="J2558" t="str">
        <f>IFERROR(VLOOKUP(I2558,[1]AUTOS!$C:$G,2,0),"")</f>
        <v>KIA RIO</v>
      </c>
      <c r="K2558">
        <f>IFERROR(VLOOKUP(I2558,[1]AUTOS!$C:$G,3,0),"")</f>
        <v>2020</v>
      </c>
      <c r="L2558" t="str">
        <f>IFERROR(VLOOKUP(I2558,[1]AUTOS!$C:$G,4,0),"")</f>
        <v>GRIS</v>
      </c>
      <c r="N2558" s="3">
        <v>0</v>
      </c>
      <c r="O2558" s="3">
        <v>0</v>
      </c>
      <c r="P2558" s="3">
        <v>-500</v>
      </c>
      <c r="Q2558" s="3">
        <v>-500</v>
      </c>
    </row>
    <row r="2559" spans="1:17" hidden="1" x14ac:dyDescent="0.3">
      <c r="A2559">
        <v>46</v>
      </c>
      <c r="B2559" t="str">
        <f>VLOOKUP($A2559,[1]LISTA!$B:$C,2,0)</f>
        <v>NOVIEMBRE</v>
      </c>
      <c r="C2559" s="1">
        <v>2025</v>
      </c>
      <c r="D2559" s="1" t="str">
        <f>IF($A2559&lt;=[1]RESULTADOS!$D$6,"YTD","YTG")</f>
        <v>YTG</v>
      </c>
      <c r="E2559" t="s">
        <v>478</v>
      </c>
      <c r="F2559" t="s">
        <v>667</v>
      </c>
      <c r="G2559" t="s">
        <v>667</v>
      </c>
      <c r="H2559" t="s">
        <v>668</v>
      </c>
      <c r="I2559" t="s">
        <v>102</v>
      </c>
      <c r="J2559" t="str">
        <f>IFERROR(VLOOKUP(I2559,[1]AUTOS!$C:$G,2,0),"")</f>
        <v>AVEO</v>
      </c>
      <c r="K2559">
        <f>IFERROR(VLOOKUP(I2559,[1]AUTOS!$C:$G,3,0),"")</f>
        <v>2022</v>
      </c>
      <c r="L2559" t="str">
        <f>IFERROR(VLOOKUP(I2559,[1]AUTOS!$C:$G,4,0),"")</f>
        <v>AZUL</v>
      </c>
      <c r="N2559" s="3">
        <v>548.32000000000062</v>
      </c>
      <c r="O2559" s="3">
        <v>2500</v>
      </c>
      <c r="P2559" s="3">
        <v>3198.3200000000006</v>
      </c>
      <c r="Q2559" s="3">
        <v>0</v>
      </c>
    </row>
    <row r="2560" spans="1:17" hidden="1" x14ac:dyDescent="0.3">
      <c r="A2560">
        <v>46</v>
      </c>
      <c r="B2560" t="str">
        <f>VLOOKUP($A2560,[1]LISTA!$B:$C,2,0)</f>
        <v>NOVIEMBRE</v>
      </c>
      <c r="C2560" s="1">
        <v>2025</v>
      </c>
      <c r="D2560" s="1" t="str">
        <f>IF($A2560&lt;=[1]RESULTADOS!$D$6,"YTD","YTG")</f>
        <v>YTG</v>
      </c>
      <c r="E2560" t="s">
        <v>411</v>
      </c>
      <c r="F2560" t="s">
        <v>667</v>
      </c>
      <c r="G2560" t="s">
        <v>667</v>
      </c>
      <c r="H2560" t="s">
        <v>668</v>
      </c>
      <c r="I2560" t="s">
        <v>178</v>
      </c>
      <c r="J2560" t="str">
        <f>IFERROR(VLOOKUP(I2560,[1]AUTOS!$C:$G,2,0),"")</f>
        <v>VERSA</v>
      </c>
      <c r="K2560">
        <f>IFERROR(VLOOKUP(I2560,[1]AUTOS!$C:$G,3,0),"")</f>
        <v>2020</v>
      </c>
      <c r="L2560" t="str">
        <f>IFERROR(VLOOKUP(I2560,[1]AUTOS!$C:$G,4,0),"")</f>
        <v>BLANCO</v>
      </c>
      <c r="N2560" s="3">
        <v>0</v>
      </c>
      <c r="O2560" s="3">
        <v>0</v>
      </c>
      <c r="P2560" s="3">
        <v>-500</v>
      </c>
      <c r="Q2560" s="3">
        <v>-500</v>
      </c>
    </row>
    <row r="2561" spans="1:17" hidden="1" x14ac:dyDescent="0.3">
      <c r="A2561">
        <v>46</v>
      </c>
      <c r="B2561" t="str">
        <f>VLOOKUP($A2561,[1]LISTA!$B:$C,2,0)</f>
        <v>NOVIEMBRE</v>
      </c>
      <c r="C2561" s="1">
        <v>2025</v>
      </c>
      <c r="D2561" s="1" t="str">
        <f>IF($A2561&lt;=[1]RESULTADOS!$D$6,"YTD","YTG")</f>
        <v>YTG</v>
      </c>
      <c r="E2561" t="s">
        <v>642</v>
      </c>
      <c r="F2561" t="s">
        <v>667</v>
      </c>
      <c r="G2561" t="s">
        <v>667</v>
      </c>
      <c r="H2561" t="s">
        <v>668</v>
      </c>
      <c r="I2561" t="s">
        <v>370</v>
      </c>
      <c r="J2561" t="str">
        <f>IFERROR(VLOOKUP(I2561,[1]AUTOS!$C:$G,2,0),"")</f>
        <v>KIA RIO</v>
      </c>
      <c r="K2561">
        <f>IFERROR(VLOOKUP(I2561,[1]AUTOS!$C:$G,3,0),"")</f>
        <v>2020</v>
      </c>
      <c r="L2561" t="str">
        <f>IFERROR(VLOOKUP(I2561,[1]AUTOS!$C:$G,4,0),"")</f>
        <v>AZUL</v>
      </c>
      <c r="N2561" s="3">
        <v>1691.08</v>
      </c>
      <c r="O2561" s="3">
        <v>2600</v>
      </c>
      <c r="P2561" s="3">
        <v>3101.08</v>
      </c>
      <c r="Q2561" s="3">
        <v>500</v>
      </c>
    </row>
    <row r="2562" spans="1:17" hidden="1" x14ac:dyDescent="0.3">
      <c r="A2562">
        <v>46</v>
      </c>
      <c r="B2562" t="str">
        <f>VLOOKUP($A2562,[1]LISTA!$B:$C,2,0)</f>
        <v>NOVIEMBRE</v>
      </c>
      <c r="C2562" s="1">
        <v>2025</v>
      </c>
      <c r="D2562" s="1" t="str">
        <f>IF($A2562&lt;=[1]RESULTADOS!$D$6,"YTD","YTG")</f>
        <v>YTG</v>
      </c>
      <c r="E2562" t="s">
        <v>518</v>
      </c>
      <c r="F2562" t="s">
        <v>667</v>
      </c>
      <c r="G2562" t="s">
        <v>667</v>
      </c>
      <c r="H2562" t="s">
        <v>668</v>
      </c>
      <c r="I2562" t="s">
        <v>384</v>
      </c>
      <c r="J2562" t="str">
        <f>IFERROR(VLOOKUP(I2562,[1]AUTOS!$C:$G,2,0),"")</f>
        <v>MARCH</v>
      </c>
      <c r="K2562">
        <f>IFERROR(VLOOKUP(I2562,[1]AUTOS!$C:$G,3,0),"")</f>
        <v>2022</v>
      </c>
      <c r="L2562" t="str">
        <f>IFERROR(VLOOKUP(I2562,[1]AUTOS!$C:$G,4,0),"")</f>
        <v>BLANCO</v>
      </c>
      <c r="N2562" s="3">
        <v>0</v>
      </c>
      <c r="O2562" s="3">
        <v>2500</v>
      </c>
      <c r="P2562" s="3">
        <v>0</v>
      </c>
      <c r="Q2562" s="3">
        <v>500</v>
      </c>
    </row>
    <row r="2563" spans="1:17" hidden="1" x14ac:dyDescent="0.3">
      <c r="A2563">
        <v>46</v>
      </c>
      <c r="B2563" t="str">
        <f>VLOOKUP($A2563,[1]LISTA!$B:$C,2,0)</f>
        <v>NOVIEMBRE</v>
      </c>
      <c r="C2563" s="1">
        <v>2025</v>
      </c>
      <c r="D2563" s="1" t="str">
        <f>IF($A2563&lt;=[1]RESULTADOS!$D$6,"YTD","YTG")</f>
        <v>YTG</v>
      </c>
      <c r="E2563" t="s">
        <v>707</v>
      </c>
      <c r="F2563" t="s">
        <v>667</v>
      </c>
      <c r="G2563" t="s">
        <v>667</v>
      </c>
      <c r="H2563" t="s">
        <v>668</v>
      </c>
      <c r="I2563" t="s">
        <v>383</v>
      </c>
      <c r="J2563" t="str">
        <f>IFERROR(VLOOKUP(I2563,[1]AUTOS!$C:$G,2,0),"")</f>
        <v>VENTO</v>
      </c>
      <c r="K2563">
        <f>IFERROR(VLOOKUP(I2563,[1]AUTOS!$C:$G,3,0),"")</f>
        <v>2020</v>
      </c>
      <c r="L2563" t="str">
        <f>IFERROR(VLOOKUP(I2563,[1]AUTOS!$C:$G,4,0),"")</f>
        <v>GRIS</v>
      </c>
      <c r="N2563" s="3">
        <v>3718.25</v>
      </c>
      <c r="O2563" s="3">
        <v>2500</v>
      </c>
      <c r="P2563" s="3">
        <v>2212</v>
      </c>
      <c r="Q2563" s="3">
        <v>0</v>
      </c>
    </row>
    <row r="2564" spans="1:17" hidden="1" x14ac:dyDescent="0.3">
      <c r="A2564">
        <v>46</v>
      </c>
      <c r="B2564" t="str">
        <f>VLOOKUP($A2564,[1]LISTA!$B:$C,2,0)</f>
        <v>NOVIEMBRE</v>
      </c>
      <c r="C2564" s="1">
        <v>2025</v>
      </c>
      <c r="D2564" s="1" t="str">
        <f>IF($A2564&lt;=[1]RESULTADOS!$D$6,"YTD","YTG")</f>
        <v>YTG</v>
      </c>
      <c r="E2564" t="s">
        <v>417</v>
      </c>
      <c r="F2564" t="s">
        <v>667</v>
      </c>
      <c r="G2564" t="s">
        <v>667</v>
      </c>
      <c r="H2564" t="s">
        <v>668</v>
      </c>
      <c r="I2564" t="s">
        <v>214</v>
      </c>
      <c r="J2564" t="str">
        <f>IFERROR(VLOOKUP(I2564,[1]AUTOS!$C:$G,2,0),"")</f>
        <v>VENTO</v>
      </c>
      <c r="K2564">
        <f>IFERROR(VLOOKUP(I2564,[1]AUTOS!$C:$G,3,0),"")</f>
        <v>2019</v>
      </c>
      <c r="L2564" t="str">
        <f>IFERROR(VLOOKUP(I2564,[1]AUTOS!$C:$G,4,0),"")</f>
        <v>BLANCO</v>
      </c>
      <c r="N2564" s="3">
        <v>2021.2699999999995</v>
      </c>
      <c r="O2564" s="3">
        <v>2143</v>
      </c>
      <c r="P2564" s="3">
        <v>857</v>
      </c>
      <c r="Q2564" s="3">
        <v>0</v>
      </c>
    </row>
    <row r="2565" spans="1:17" hidden="1" x14ac:dyDescent="0.3">
      <c r="A2565">
        <v>46</v>
      </c>
      <c r="B2565" t="str">
        <f>VLOOKUP($A2565,[1]LISTA!$B:$C,2,0)</f>
        <v>NOVIEMBRE</v>
      </c>
      <c r="C2565" s="1">
        <v>2025</v>
      </c>
      <c r="D2565" s="1" t="str">
        <f>IF($A2565&lt;=[1]RESULTADOS!$D$6,"YTD","YTG")</f>
        <v>YTG</v>
      </c>
      <c r="E2565" t="s">
        <v>716</v>
      </c>
      <c r="F2565" t="s">
        <v>667</v>
      </c>
      <c r="G2565" t="s">
        <v>667</v>
      </c>
      <c r="H2565" t="s">
        <v>668</v>
      </c>
      <c r="I2565" t="s">
        <v>59</v>
      </c>
      <c r="J2565" t="str">
        <f>IFERROR(VLOOKUP(I2565,[1]AUTOS!$C:$G,2,0),"")</f>
        <v>AVEO</v>
      </c>
      <c r="K2565">
        <f>IFERROR(VLOOKUP(I2565,[1]AUTOS!$C:$G,3,0),"")</f>
        <v>2019</v>
      </c>
      <c r="L2565" t="str">
        <f>IFERROR(VLOOKUP(I2565,[1]AUTOS!$C:$G,4,0),"")</f>
        <v>BLANCO</v>
      </c>
      <c r="N2565" s="3">
        <v>0</v>
      </c>
      <c r="O2565" s="3">
        <v>0</v>
      </c>
      <c r="P2565" s="3">
        <v>0</v>
      </c>
      <c r="Q2565" s="3">
        <v>0</v>
      </c>
    </row>
    <row r="2566" spans="1:17" hidden="1" x14ac:dyDescent="0.3">
      <c r="A2566">
        <v>47</v>
      </c>
      <c r="B2566" t="str">
        <f>VLOOKUP($A2566,[1]LISTA!$B:$C,2,0)</f>
        <v>NOVIEMBRE</v>
      </c>
      <c r="C2566" s="1">
        <v>2025</v>
      </c>
      <c r="D2566" s="1" t="str">
        <f>IF($A2566&lt;=[1]RESULTADOS!$D$6,"YTD","YTG")</f>
        <v>YTG</v>
      </c>
      <c r="E2566" t="s">
        <v>705</v>
      </c>
      <c r="F2566" t="s">
        <v>667</v>
      </c>
      <c r="G2566" t="s">
        <v>667</v>
      </c>
      <c r="H2566" t="s">
        <v>668</v>
      </c>
      <c r="I2566" t="s">
        <v>440</v>
      </c>
      <c r="J2566" t="str">
        <f>IFERROR(VLOOKUP(I2566,[1]AUTOS!$C:$G,2,0),"")</f>
        <v>AVEO</v>
      </c>
      <c r="K2566">
        <f>IFERROR(VLOOKUP(I2566,[1]AUTOS!$C:$G,3,0),"")</f>
        <v>2021</v>
      </c>
      <c r="L2566" t="str">
        <f>IFERROR(VLOOKUP(I2566,[1]AUTOS!$C:$G,4,0),"")</f>
        <v>GRIS</v>
      </c>
      <c r="N2566" s="3">
        <v>2426.77</v>
      </c>
      <c r="O2566" s="3">
        <v>1428.57</v>
      </c>
      <c r="P2566" s="3">
        <v>1428.57</v>
      </c>
      <c r="Q2566" s="3">
        <v>0</v>
      </c>
    </row>
    <row r="2567" spans="1:17" hidden="1" x14ac:dyDescent="0.3">
      <c r="A2567">
        <v>47</v>
      </c>
      <c r="B2567" t="str">
        <f>VLOOKUP($A2567,[1]LISTA!$B:$C,2,0)</f>
        <v>NOVIEMBRE</v>
      </c>
      <c r="C2567" s="1">
        <v>2025</v>
      </c>
      <c r="D2567" s="1" t="str">
        <f>IF($A2567&lt;=[1]RESULTADOS!$D$6,"YTD","YTG")</f>
        <v>YTG</v>
      </c>
      <c r="E2567" t="s">
        <v>497</v>
      </c>
      <c r="F2567" t="s">
        <v>667</v>
      </c>
      <c r="G2567" t="s">
        <v>667</v>
      </c>
      <c r="H2567" t="s">
        <v>668</v>
      </c>
      <c r="I2567" t="s">
        <v>560</v>
      </c>
      <c r="J2567" t="str">
        <f>IFERROR(VLOOKUP(I2567,[1]AUTOS!$C:$G,2,0),"")</f>
        <v>AVEO</v>
      </c>
      <c r="K2567">
        <f>IFERROR(VLOOKUP(I2567,[1]AUTOS!$C:$G,3,0),"")</f>
        <v>2023</v>
      </c>
      <c r="L2567" t="str">
        <f>IFERROR(VLOOKUP(I2567,[1]AUTOS!$C:$G,4,0),"")</f>
        <v>VINO</v>
      </c>
      <c r="N2567" s="3">
        <v>1630.1600000000003</v>
      </c>
      <c r="O2567" s="3">
        <v>1428.57</v>
      </c>
      <c r="P2567" s="3">
        <v>1428.57</v>
      </c>
      <c r="Q2567" s="3">
        <v>0</v>
      </c>
    </row>
    <row r="2568" spans="1:17" hidden="1" x14ac:dyDescent="0.3">
      <c r="A2568">
        <v>47</v>
      </c>
      <c r="B2568" t="str">
        <f>VLOOKUP($A2568,[1]LISTA!$B:$C,2,0)</f>
        <v>NOVIEMBRE</v>
      </c>
      <c r="C2568" s="1">
        <v>2025</v>
      </c>
      <c r="D2568" s="1" t="str">
        <f>IF($A2568&lt;=[1]RESULTADOS!$D$6,"YTD","YTG")</f>
        <v>YTG</v>
      </c>
      <c r="E2568" t="s">
        <v>714</v>
      </c>
      <c r="F2568" t="s">
        <v>667</v>
      </c>
      <c r="G2568" t="s">
        <v>667</v>
      </c>
      <c r="H2568" t="s">
        <v>668</v>
      </c>
      <c r="I2568" t="s">
        <v>510</v>
      </c>
      <c r="J2568" t="str">
        <f>IFERROR(VLOOKUP(I2568,[1]AUTOS!$C:$G,2,0),"")</f>
        <v>AVEO</v>
      </c>
      <c r="K2568">
        <f>IFERROR(VLOOKUP(I2568,[1]AUTOS!$C:$G,3,0),"")</f>
        <v>2023</v>
      </c>
      <c r="L2568" t="str">
        <f>IFERROR(VLOOKUP(I2568,[1]AUTOS!$C:$G,4,0),"")</f>
        <v>GRIS</v>
      </c>
      <c r="M2568" t="s">
        <v>43</v>
      </c>
      <c r="N2568" s="3">
        <v>1513.37</v>
      </c>
      <c r="O2568" s="3">
        <v>1428.57</v>
      </c>
      <c r="P2568" s="3">
        <v>2128.37</v>
      </c>
      <c r="Q2568" s="3">
        <v>0</v>
      </c>
    </row>
    <row r="2569" spans="1:17" hidden="1" x14ac:dyDescent="0.3">
      <c r="A2569">
        <v>47</v>
      </c>
      <c r="B2569" t="str">
        <f>VLOOKUP($A2569,[1]LISTA!$B:$C,2,0)</f>
        <v>NOVIEMBRE</v>
      </c>
      <c r="C2569" s="1">
        <v>2025</v>
      </c>
      <c r="D2569" s="1" t="str">
        <f>IF($A2569&lt;=[1]RESULTADOS!$D$6,"YTD","YTG")</f>
        <v>YTG</v>
      </c>
      <c r="E2569" t="s">
        <v>436</v>
      </c>
      <c r="F2569" t="s">
        <v>667</v>
      </c>
      <c r="G2569" t="s">
        <v>667</v>
      </c>
      <c r="H2569" t="s">
        <v>668</v>
      </c>
      <c r="I2569" t="s">
        <v>112</v>
      </c>
      <c r="J2569" t="str">
        <f>IFERROR(VLOOKUP(I2569,[1]AUTOS!$C:$G,2,0),"")</f>
        <v>KIA RIO</v>
      </c>
      <c r="K2569">
        <f>IFERROR(VLOOKUP(I2569,[1]AUTOS!$C:$G,3,0),"")</f>
        <v>2020</v>
      </c>
      <c r="L2569" t="str">
        <f>IFERROR(VLOOKUP(I2569,[1]AUTOS!$C:$G,4,0),"")</f>
        <v>ROJO</v>
      </c>
      <c r="N2569" s="3">
        <v>79.37</v>
      </c>
      <c r="O2569" s="3">
        <v>1428.57</v>
      </c>
      <c r="P2569" s="3">
        <v>1143.3699999999999</v>
      </c>
      <c r="Q2569" s="3">
        <v>0</v>
      </c>
    </row>
    <row r="2570" spans="1:17" hidden="1" x14ac:dyDescent="0.3">
      <c r="A2570">
        <v>47</v>
      </c>
      <c r="B2570" t="str">
        <f>VLOOKUP($A2570,[1]LISTA!$B:$C,2,0)</f>
        <v>NOVIEMBRE</v>
      </c>
      <c r="C2570" s="1">
        <v>2025</v>
      </c>
      <c r="D2570" s="1" t="str">
        <f>IF($A2570&lt;=[1]RESULTADOS!$D$6,"YTD","YTG")</f>
        <v>YTG</v>
      </c>
      <c r="E2570" t="s">
        <v>724</v>
      </c>
      <c r="F2570" t="s">
        <v>667</v>
      </c>
      <c r="G2570" t="s">
        <v>667</v>
      </c>
      <c r="H2570" t="s">
        <v>668</v>
      </c>
      <c r="I2570" t="s">
        <v>333</v>
      </c>
      <c r="J2570" t="str">
        <f>IFERROR(VLOOKUP(I2570,[1]AUTOS!$C:$G,2,0),"")</f>
        <v>BEAT</v>
      </c>
      <c r="K2570">
        <f>IFERROR(VLOOKUP(I2570,[1]AUTOS!$C:$G,3,0),"")</f>
        <v>2019</v>
      </c>
      <c r="L2570" t="str">
        <f>IFERROR(VLOOKUP(I2570,[1]AUTOS!$C:$G,4,0),"")</f>
        <v>OCRE</v>
      </c>
      <c r="N2570" s="3">
        <v>270.65999999999997</v>
      </c>
      <c r="O2570" s="3">
        <v>0</v>
      </c>
      <c r="P2570" s="3">
        <v>270.65999999999997</v>
      </c>
      <c r="Q2570" s="3">
        <v>0</v>
      </c>
    </row>
    <row r="2571" spans="1:17" hidden="1" x14ac:dyDescent="0.3">
      <c r="A2571">
        <v>47</v>
      </c>
      <c r="B2571" t="str">
        <f>VLOOKUP($A2571,[1]LISTA!$B:$C,2,0)</f>
        <v>NOVIEMBRE</v>
      </c>
      <c r="C2571" s="1">
        <v>2025</v>
      </c>
      <c r="D2571" s="1" t="str">
        <f>IF($A2571&lt;=[1]RESULTADOS!$D$6,"YTD","YTG")</f>
        <v>YTG</v>
      </c>
      <c r="E2571" t="s">
        <v>717</v>
      </c>
      <c r="F2571" t="s">
        <v>667</v>
      </c>
      <c r="G2571" t="s">
        <v>667</v>
      </c>
      <c r="H2571" t="s">
        <v>668</v>
      </c>
      <c r="I2571" t="s">
        <v>37</v>
      </c>
      <c r="J2571" t="str">
        <f>IFERROR(VLOOKUP(I2571,[1]AUTOS!$C:$G,2,0),"")</f>
        <v>BEAT</v>
      </c>
      <c r="K2571">
        <f>IFERROR(VLOOKUP(I2571,[1]AUTOS!$C:$G,3,0),"")</f>
        <v>2020</v>
      </c>
      <c r="L2571" t="str">
        <f>IFERROR(VLOOKUP(I2571,[1]AUTOS!$C:$G,4,0),"")</f>
        <v>GRIS</v>
      </c>
      <c r="N2571" s="3">
        <v>1444.1899999999998</v>
      </c>
      <c r="O2571" s="3">
        <v>2143</v>
      </c>
      <c r="P2571" s="3">
        <v>2244.1899999999996</v>
      </c>
      <c r="Q2571" s="3">
        <v>0</v>
      </c>
    </row>
    <row r="2572" spans="1:17" hidden="1" x14ac:dyDescent="0.3">
      <c r="A2572">
        <v>47</v>
      </c>
      <c r="B2572" t="str">
        <f>VLOOKUP($A2572,[1]LISTA!$B:$C,2,0)</f>
        <v>NOVIEMBRE</v>
      </c>
      <c r="C2572" s="1">
        <v>2025</v>
      </c>
      <c r="D2572" s="1" t="str">
        <f>IF($A2572&lt;=[1]RESULTADOS!$D$6,"YTD","YTG")</f>
        <v>YTG</v>
      </c>
      <c r="E2572" t="s">
        <v>691</v>
      </c>
      <c r="F2572" t="s">
        <v>667</v>
      </c>
      <c r="G2572" t="s">
        <v>667</v>
      </c>
      <c r="H2572" t="s">
        <v>668</v>
      </c>
      <c r="I2572" t="s">
        <v>139</v>
      </c>
      <c r="J2572" t="str">
        <f>IFERROR(VLOOKUP(I2572,[1]AUTOS!$C:$G,2,0),"")</f>
        <v>SWIFT</v>
      </c>
      <c r="K2572">
        <f>IFERROR(VLOOKUP(I2572,[1]AUTOS!$C:$G,3,0),"")</f>
        <v>2017</v>
      </c>
      <c r="L2572" t="str">
        <f>IFERROR(VLOOKUP(I2572,[1]AUTOS!$C:$G,4,0),"")</f>
        <v>ROJO</v>
      </c>
      <c r="N2572" s="3">
        <v>3257.09</v>
      </c>
      <c r="O2572" s="3">
        <v>2500</v>
      </c>
      <c r="P2572" s="3">
        <v>2500</v>
      </c>
      <c r="Q2572" s="3">
        <v>0</v>
      </c>
    </row>
    <row r="2573" spans="1:17" hidden="1" x14ac:dyDescent="0.3">
      <c r="A2573">
        <v>47</v>
      </c>
      <c r="B2573" t="str">
        <f>VLOOKUP($A2573,[1]LISTA!$B:$C,2,0)</f>
        <v>NOVIEMBRE</v>
      </c>
      <c r="C2573" s="1">
        <v>2025</v>
      </c>
      <c r="D2573" s="1" t="str">
        <f>IF($A2573&lt;=[1]RESULTADOS!$D$6,"YTD","YTG")</f>
        <v>YTG</v>
      </c>
      <c r="E2573" t="s">
        <v>594</v>
      </c>
      <c r="F2573" t="s">
        <v>667</v>
      </c>
      <c r="G2573" t="s">
        <v>667</v>
      </c>
      <c r="H2573" t="s">
        <v>668</v>
      </c>
      <c r="I2573" t="s">
        <v>313</v>
      </c>
      <c r="J2573" t="str">
        <f>IFERROR(VLOOKUP(I2573,[1]AUTOS!$C:$G,2,0),"")</f>
        <v>MARCH</v>
      </c>
      <c r="K2573">
        <f>IFERROR(VLOOKUP(I2573,[1]AUTOS!$C:$G,3,0),"")</f>
        <v>2019</v>
      </c>
      <c r="L2573" t="str">
        <f>IFERROR(VLOOKUP(I2573,[1]AUTOS!$C:$G,4,0),"")</f>
        <v>TURQ</v>
      </c>
      <c r="M2573" t="s">
        <v>140</v>
      </c>
      <c r="N2573" s="3">
        <v>2772.13</v>
      </c>
      <c r="O2573" s="3">
        <v>2500</v>
      </c>
      <c r="P2573" s="3">
        <v>3000.13</v>
      </c>
      <c r="Q2573" s="3">
        <v>500</v>
      </c>
    </row>
    <row r="2574" spans="1:17" hidden="1" x14ac:dyDescent="0.3">
      <c r="A2574">
        <v>47</v>
      </c>
      <c r="B2574" t="str">
        <f>VLOOKUP($A2574,[1]LISTA!$B:$C,2,0)</f>
        <v>NOVIEMBRE</v>
      </c>
      <c r="C2574" s="1">
        <v>2025</v>
      </c>
      <c r="D2574" s="1" t="str">
        <f>IF($A2574&lt;=[1]RESULTADOS!$D$6,"YTD","YTG")</f>
        <v>YTG</v>
      </c>
      <c r="E2574" t="s">
        <v>456</v>
      </c>
      <c r="F2574" t="s">
        <v>667</v>
      </c>
      <c r="G2574" t="s">
        <v>667</v>
      </c>
      <c r="H2574" t="s">
        <v>668</v>
      </c>
      <c r="I2574" t="s">
        <v>146</v>
      </c>
      <c r="J2574" t="str">
        <f>IFERROR(VLOOKUP(I2574,[1]AUTOS!$C:$G,2,0),"")</f>
        <v>KIA RIO</v>
      </c>
      <c r="K2574">
        <f>IFERROR(VLOOKUP(I2574,[1]AUTOS!$C:$G,3,0),"")</f>
        <v>2023</v>
      </c>
      <c r="L2574" t="str">
        <f>IFERROR(VLOOKUP(I2574,[1]AUTOS!$C:$G,4,0),"")</f>
        <v>ROJO</v>
      </c>
      <c r="N2574" s="3">
        <v>3227.8</v>
      </c>
      <c r="O2574" s="3">
        <v>2500</v>
      </c>
      <c r="P2574" s="3">
        <v>3200</v>
      </c>
      <c r="Q2574" s="3">
        <v>0</v>
      </c>
    </row>
    <row r="2575" spans="1:17" hidden="1" x14ac:dyDescent="0.3">
      <c r="A2575">
        <v>47</v>
      </c>
      <c r="B2575" t="str">
        <f>VLOOKUP($A2575,[1]LISTA!$B:$C,2,0)</f>
        <v>NOVIEMBRE</v>
      </c>
      <c r="C2575" s="1">
        <v>2025</v>
      </c>
      <c r="D2575" s="1" t="str">
        <f>IF($A2575&lt;=[1]RESULTADOS!$D$6,"YTD","YTG")</f>
        <v>YTG</v>
      </c>
      <c r="E2575" t="s">
        <v>486</v>
      </c>
      <c r="F2575" t="s">
        <v>667</v>
      </c>
      <c r="G2575" t="s">
        <v>667</v>
      </c>
      <c r="H2575" t="s">
        <v>668</v>
      </c>
      <c r="I2575" t="s">
        <v>34</v>
      </c>
      <c r="J2575" t="str">
        <f>IFERROR(VLOOKUP(I2575,[1]AUTOS!$C:$G,2,0),"")</f>
        <v>AVEO</v>
      </c>
      <c r="K2575">
        <f>IFERROR(VLOOKUP(I2575,[1]AUTOS!$C:$G,3,0),"")</f>
        <v>2018</v>
      </c>
      <c r="L2575" t="str">
        <f>IFERROR(VLOOKUP(I2575,[1]AUTOS!$C:$G,4,0),"")</f>
        <v>ROJO</v>
      </c>
      <c r="N2575" s="3">
        <v>977.97</v>
      </c>
      <c r="O2575" s="3">
        <v>2500</v>
      </c>
      <c r="P2575" s="3">
        <v>2422.9700000000003</v>
      </c>
      <c r="Q2575" s="3">
        <v>0</v>
      </c>
    </row>
    <row r="2576" spans="1:17" hidden="1" x14ac:dyDescent="0.3">
      <c r="A2576">
        <v>47</v>
      </c>
      <c r="B2576" t="str">
        <f>VLOOKUP($A2576,[1]LISTA!$B:$C,2,0)</f>
        <v>NOVIEMBRE</v>
      </c>
      <c r="C2576" s="1">
        <v>2025</v>
      </c>
      <c r="D2576" s="1" t="str">
        <f>IF($A2576&lt;=[1]RESULTADOS!$D$6,"YTD","YTG")</f>
        <v>YTG</v>
      </c>
      <c r="E2576" t="s">
        <v>704</v>
      </c>
      <c r="F2576" t="s">
        <v>667</v>
      </c>
      <c r="G2576" t="s">
        <v>667</v>
      </c>
      <c r="H2576" t="s">
        <v>668</v>
      </c>
      <c r="I2576" t="s">
        <v>37</v>
      </c>
      <c r="J2576" t="str">
        <f>IFERROR(VLOOKUP(I2576,[1]AUTOS!$C:$G,2,0),"")</f>
        <v>BEAT</v>
      </c>
      <c r="K2576">
        <f>IFERROR(VLOOKUP(I2576,[1]AUTOS!$C:$G,3,0),"")</f>
        <v>2020</v>
      </c>
      <c r="L2576" t="str">
        <f>IFERROR(VLOOKUP(I2576,[1]AUTOS!$C:$G,4,0),"")</f>
        <v>GRIS</v>
      </c>
      <c r="N2576" s="3">
        <v>0</v>
      </c>
      <c r="O2576" s="3">
        <v>0</v>
      </c>
      <c r="P2576" s="3">
        <v>-500</v>
      </c>
      <c r="Q2576" s="3">
        <v>-500</v>
      </c>
    </row>
    <row r="2577" spans="1:17" hidden="1" x14ac:dyDescent="0.3">
      <c r="A2577">
        <v>47</v>
      </c>
      <c r="B2577" t="str">
        <f>VLOOKUP($A2577,[1]LISTA!$B:$C,2,0)</f>
        <v>NOVIEMBRE</v>
      </c>
      <c r="C2577" s="1">
        <v>2025</v>
      </c>
      <c r="D2577" s="1" t="str">
        <f>IF($A2577&lt;=[1]RESULTADOS!$D$6,"YTD","YTG")</f>
        <v>YTG</v>
      </c>
      <c r="E2577" t="s">
        <v>563</v>
      </c>
      <c r="F2577" t="s">
        <v>667</v>
      </c>
      <c r="G2577" t="s">
        <v>667</v>
      </c>
      <c r="H2577" t="s">
        <v>668</v>
      </c>
      <c r="I2577" t="s">
        <v>61</v>
      </c>
      <c r="J2577" t="str">
        <f>IFERROR(VLOOKUP(I2577,[1]AUTOS!$C:$G,2,0),"")</f>
        <v>KIA RIO</v>
      </c>
      <c r="K2577">
        <f>IFERROR(VLOOKUP(I2577,[1]AUTOS!$C:$G,3,0),"")</f>
        <v>2017</v>
      </c>
      <c r="L2577" t="str">
        <f>IFERROR(VLOOKUP(I2577,[1]AUTOS!$C:$G,4,0),"")</f>
        <v>ROJO</v>
      </c>
      <c r="N2577" s="3">
        <v>0</v>
      </c>
      <c r="O2577" s="3">
        <v>0</v>
      </c>
      <c r="P2577" s="3">
        <v>-500</v>
      </c>
      <c r="Q2577" s="3">
        <v>-500</v>
      </c>
    </row>
    <row r="2578" spans="1:17" hidden="1" x14ac:dyDescent="0.3">
      <c r="A2578">
        <v>47</v>
      </c>
      <c r="B2578" t="str">
        <f>VLOOKUP($A2578,[1]LISTA!$B:$C,2,0)</f>
        <v>NOVIEMBRE</v>
      </c>
      <c r="C2578" s="1">
        <v>2025</v>
      </c>
      <c r="D2578" s="1" t="str">
        <f>IF($A2578&lt;=[1]RESULTADOS!$D$6,"YTD","YTG")</f>
        <v>YTG</v>
      </c>
      <c r="E2578" t="s">
        <v>417</v>
      </c>
      <c r="F2578" t="s">
        <v>667</v>
      </c>
      <c r="G2578" t="s">
        <v>667</v>
      </c>
      <c r="H2578" t="s">
        <v>668</v>
      </c>
      <c r="I2578" t="s">
        <v>61</v>
      </c>
      <c r="J2578" t="str">
        <f>IFERROR(VLOOKUP(I2578,[1]AUTOS!$C:$G,2,0),"")</f>
        <v>KIA RIO</v>
      </c>
      <c r="K2578">
        <f>IFERROR(VLOOKUP(I2578,[1]AUTOS!$C:$G,3,0),"")</f>
        <v>2017</v>
      </c>
      <c r="L2578" t="str">
        <f>IFERROR(VLOOKUP(I2578,[1]AUTOS!$C:$G,4,0),"")</f>
        <v>ROJO</v>
      </c>
      <c r="N2578" s="3">
        <v>490.44000000000005</v>
      </c>
      <c r="O2578" s="3">
        <v>1785.71</v>
      </c>
      <c r="P2578" s="3">
        <v>2285.44</v>
      </c>
      <c r="Q2578" s="3">
        <v>500</v>
      </c>
    </row>
    <row r="2579" spans="1:17" hidden="1" x14ac:dyDescent="0.3">
      <c r="A2579">
        <v>47</v>
      </c>
      <c r="B2579" t="str">
        <f>VLOOKUP($A2579,[1]LISTA!$B:$C,2,0)</f>
        <v>NOVIEMBRE</v>
      </c>
      <c r="C2579" s="1">
        <v>2025</v>
      </c>
      <c r="D2579" s="1" t="str">
        <f>IF($A2579&lt;=[1]RESULTADOS!$D$6,"YTD","YTG")</f>
        <v>YTG</v>
      </c>
      <c r="E2579" t="s">
        <v>720</v>
      </c>
      <c r="F2579" t="s">
        <v>667</v>
      </c>
      <c r="G2579" t="s">
        <v>667</v>
      </c>
      <c r="H2579" t="s">
        <v>668</v>
      </c>
      <c r="I2579" t="s">
        <v>59</v>
      </c>
      <c r="J2579" t="str">
        <f>IFERROR(VLOOKUP(I2579,[1]AUTOS!$C:$G,2,0),"")</f>
        <v>AVEO</v>
      </c>
      <c r="K2579">
        <f>IFERROR(VLOOKUP(I2579,[1]AUTOS!$C:$G,3,0),"")</f>
        <v>2019</v>
      </c>
      <c r="L2579" t="str">
        <f>IFERROR(VLOOKUP(I2579,[1]AUTOS!$C:$G,4,0),"")</f>
        <v>BLANCO</v>
      </c>
      <c r="N2579" s="3">
        <v>7297.78</v>
      </c>
      <c r="O2579" s="3">
        <v>2500</v>
      </c>
      <c r="P2579" s="3">
        <v>3700</v>
      </c>
      <c r="Q2579" s="3">
        <v>500</v>
      </c>
    </row>
    <row r="2580" spans="1:17" hidden="1" x14ac:dyDescent="0.3">
      <c r="A2580">
        <v>47</v>
      </c>
      <c r="B2580" t="str">
        <f>VLOOKUP($A2580,[1]LISTA!$B:$C,2,0)</f>
        <v>NOVIEMBRE</v>
      </c>
      <c r="C2580" s="1">
        <v>2025</v>
      </c>
      <c r="D2580" s="1" t="str">
        <f>IF($A2580&lt;=[1]RESULTADOS!$D$6,"YTD","YTG")</f>
        <v>YTG</v>
      </c>
      <c r="E2580" t="s">
        <v>722</v>
      </c>
      <c r="F2580" t="s">
        <v>667</v>
      </c>
      <c r="G2580" t="s">
        <v>667</v>
      </c>
      <c r="H2580" t="s">
        <v>668</v>
      </c>
      <c r="I2580" t="s">
        <v>185</v>
      </c>
      <c r="J2580" t="str">
        <f>IFERROR(VLOOKUP(I2580,[1]AUTOS!$C:$G,2,0),"")</f>
        <v>MARCH</v>
      </c>
      <c r="K2580">
        <f>IFERROR(VLOOKUP(I2580,[1]AUTOS!$C:$G,3,0),"")</f>
        <v>2021</v>
      </c>
      <c r="L2580" t="str">
        <f>IFERROR(VLOOKUP(I2580,[1]AUTOS!$C:$G,4,0),"")</f>
        <v>ROJO</v>
      </c>
      <c r="N2580" s="3">
        <v>1879.11</v>
      </c>
      <c r="O2580" s="3">
        <v>2500</v>
      </c>
      <c r="P2580" s="3">
        <v>3000.1099999999997</v>
      </c>
      <c r="Q2580" s="3">
        <v>500</v>
      </c>
    </row>
    <row r="2581" spans="1:17" hidden="1" x14ac:dyDescent="0.3">
      <c r="A2581">
        <v>47</v>
      </c>
      <c r="B2581" t="str">
        <f>VLOOKUP($A2581,[1]LISTA!$B:$C,2,0)</f>
        <v>NOVIEMBRE</v>
      </c>
      <c r="C2581" s="1">
        <v>2025</v>
      </c>
      <c r="D2581" s="1" t="str">
        <f>IF($A2581&lt;=[1]RESULTADOS!$D$6,"YTD","YTG")</f>
        <v>YTG</v>
      </c>
      <c r="E2581" t="s">
        <v>630</v>
      </c>
      <c r="F2581" t="s">
        <v>667</v>
      </c>
      <c r="G2581" t="s">
        <v>667</v>
      </c>
      <c r="H2581" t="s">
        <v>668</v>
      </c>
      <c r="I2581" t="s">
        <v>51</v>
      </c>
      <c r="J2581" t="str">
        <f>IFERROR(VLOOKUP(I2581,[1]AUTOS!$C:$G,2,0),"")</f>
        <v>VENTO</v>
      </c>
      <c r="K2581">
        <f>IFERROR(VLOOKUP(I2581,[1]AUTOS!$C:$G,3,0),"")</f>
        <v>2017</v>
      </c>
      <c r="L2581" t="str">
        <f>IFERROR(VLOOKUP(I2581,[1]AUTOS!$C:$G,4,0),"")</f>
        <v>GRIS</v>
      </c>
      <c r="N2581" s="3">
        <v>3200.6000000000008</v>
      </c>
      <c r="O2581" s="3">
        <v>2500</v>
      </c>
      <c r="P2581" s="3">
        <v>3000</v>
      </c>
      <c r="Q2581" s="3">
        <v>500</v>
      </c>
    </row>
    <row r="2582" spans="1:17" hidden="1" x14ac:dyDescent="0.3">
      <c r="A2582">
        <v>47</v>
      </c>
      <c r="B2582" t="str">
        <f>VLOOKUP($A2582,[1]LISTA!$B:$C,2,0)</f>
        <v>NOVIEMBRE</v>
      </c>
      <c r="C2582" s="1">
        <v>2025</v>
      </c>
      <c r="D2582" s="1" t="str">
        <f>IF($A2582&lt;=[1]RESULTADOS!$D$6,"YTD","YTG")</f>
        <v>YTG</v>
      </c>
      <c r="E2582" t="s">
        <v>399</v>
      </c>
      <c r="F2582" t="s">
        <v>667</v>
      </c>
      <c r="G2582" t="s">
        <v>667</v>
      </c>
      <c r="H2582" t="s">
        <v>668</v>
      </c>
      <c r="I2582" t="s">
        <v>162</v>
      </c>
      <c r="J2582" t="str">
        <f>IFERROR(VLOOKUP(I2582,[1]AUTOS!$C:$G,2,0),"")</f>
        <v>HYUNDAI</v>
      </c>
      <c r="K2582">
        <f>IFERROR(VLOOKUP(I2582,[1]AUTOS!$C:$G,3,0),"")</f>
        <v>2022</v>
      </c>
      <c r="L2582" t="str">
        <f>IFERROR(VLOOKUP(I2582,[1]AUTOS!$C:$G,4,0),"")</f>
        <v>PLATA</v>
      </c>
      <c r="N2582" s="3">
        <v>4807.0099999999993</v>
      </c>
      <c r="O2582" s="3">
        <v>2500</v>
      </c>
      <c r="P2582" s="3">
        <v>3500</v>
      </c>
      <c r="Q2582" s="3">
        <v>0</v>
      </c>
    </row>
    <row r="2583" spans="1:17" hidden="1" x14ac:dyDescent="0.3">
      <c r="A2583">
        <v>47</v>
      </c>
      <c r="B2583" t="str">
        <f>VLOOKUP($A2583,[1]LISTA!$B:$C,2,0)</f>
        <v>NOVIEMBRE</v>
      </c>
      <c r="C2583" s="1">
        <v>2025</v>
      </c>
      <c r="D2583" s="1" t="str">
        <f>IF($A2583&lt;=[1]RESULTADOS!$D$6,"YTD","YTG")</f>
        <v>YTG</v>
      </c>
      <c r="E2583" t="s">
        <v>709</v>
      </c>
      <c r="F2583" t="s">
        <v>667</v>
      </c>
      <c r="G2583" t="s">
        <v>667</v>
      </c>
      <c r="H2583" t="s">
        <v>668</v>
      </c>
      <c r="I2583" t="s">
        <v>178</v>
      </c>
      <c r="J2583" t="str">
        <f>IFERROR(VLOOKUP(I2583,[1]AUTOS!$C:$G,2,0),"")</f>
        <v>VERSA</v>
      </c>
      <c r="K2583">
        <f>IFERROR(VLOOKUP(I2583,[1]AUTOS!$C:$G,3,0),"")</f>
        <v>2020</v>
      </c>
      <c r="L2583" t="str">
        <f>IFERROR(VLOOKUP(I2583,[1]AUTOS!$C:$G,4,0),"")</f>
        <v>BLANCO</v>
      </c>
      <c r="N2583" s="3">
        <v>2762.87</v>
      </c>
      <c r="O2583" s="3">
        <v>2500</v>
      </c>
      <c r="P2583" s="3">
        <v>2500</v>
      </c>
      <c r="Q2583" s="3">
        <v>0</v>
      </c>
    </row>
    <row r="2584" spans="1:17" x14ac:dyDescent="0.3">
      <c r="A2584">
        <v>47</v>
      </c>
      <c r="B2584" t="str">
        <f>VLOOKUP($A2584,[1]LISTA!$B:$C,2,0)</f>
        <v>NOVIEMBRE</v>
      </c>
      <c r="C2584" s="1">
        <v>2025</v>
      </c>
      <c r="D2584" s="1" t="str">
        <f>IF($A2584&lt;=[1]RESULTADOS!$D$6,"YTD","YTG")</f>
        <v>YTG</v>
      </c>
      <c r="E2584" t="s">
        <v>403</v>
      </c>
      <c r="F2584" t="s">
        <v>667</v>
      </c>
      <c r="G2584" t="s">
        <v>667</v>
      </c>
      <c r="H2584" t="s">
        <v>668</v>
      </c>
      <c r="I2584" t="s">
        <v>72</v>
      </c>
      <c r="J2584" t="str">
        <f>IFERROR(VLOOKUP(I2584,[1]AUTOS!$C:$G,2,0),"")</f>
        <v>VENTO</v>
      </c>
      <c r="K2584">
        <f>IFERROR(VLOOKUP(I2584,[1]AUTOS!$C:$G,3,0),"")</f>
        <v>2020</v>
      </c>
      <c r="L2584" t="str">
        <f>IFERROR(VLOOKUP(I2584,[1]AUTOS!$C:$G,4,0),"")</f>
        <v>GRIS</v>
      </c>
      <c r="N2584" s="3">
        <v>1550.77</v>
      </c>
      <c r="O2584" s="3">
        <v>2143</v>
      </c>
      <c r="P2584" s="3">
        <v>1550.77</v>
      </c>
      <c r="Q2584" s="3">
        <v>0</v>
      </c>
    </row>
    <row r="2585" spans="1:17" hidden="1" x14ac:dyDescent="0.3">
      <c r="A2585">
        <v>47</v>
      </c>
      <c r="B2585" t="str">
        <f>VLOOKUP($A2585,[1]LISTA!$B:$C,2,0)</f>
        <v>NOVIEMBRE</v>
      </c>
      <c r="C2585" s="1">
        <v>2025</v>
      </c>
      <c r="D2585" s="1" t="str">
        <f>IF($A2585&lt;=[1]RESULTADOS!$D$6,"YTD","YTG")</f>
        <v>YTG</v>
      </c>
      <c r="E2585" t="s">
        <v>719</v>
      </c>
      <c r="F2585" t="s">
        <v>667</v>
      </c>
      <c r="G2585" t="s">
        <v>667</v>
      </c>
      <c r="H2585" t="s">
        <v>668</v>
      </c>
      <c r="I2585" t="s">
        <v>82</v>
      </c>
      <c r="J2585" t="str">
        <f>IFERROR(VLOOKUP(I2585,[1]AUTOS!$C:$G,2,0),"")</f>
        <v>AVEO</v>
      </c>
      <c r="K2585">
        <f>IFERROR(VLOOKUP(I2585,[1]AUTOS!$C:$G,3,0),"")</f>
        <v>2019</v>
      </c>
      <c r="L2585" t="str">
        <f>IFERROR(VLOOKUP(I2585,[1]AUTOS!$C:$G,4,0),"")</f>
        <v>PLATA</v>
      </c>
      <c r="N2585" s="3">
        <v>1359.0500000000002</v>
      </c>
      <c r="O2585" s="3">
        <v>2500</v>
      </c>
      <c r="P2585" s="3">
        <v>2479.0500000000002</v>
      </c>
      <c r="Q2585" s="3">
        <v>0</v>
      </c>
    </row>
    <row r="2586" spans="1:17" hidden="1" x14ac:dyDescent="0.3">
      <c r="A2586">
        <v>47</v>
      </c>
      <c r="B2586" t="str">
        <f>VLOOKUP($A2586,[1]LISTA!$B:$C,2,0)</f>
        <v>NOVIEMBRE</v>
      </c>
      <c r="C2586" s="1">
        <v>2025</v>
      </c>
      <c r="D2586" s="1" t="str">
        <f>IF($A2586&lt;=[1]RESULTADOS!$D$6,"YTD","YTG")</f>
        <v>YTG</v>
      </c>
      <c r="E2586" t="s">
        <v>622</v>
      </c>
      <c r="F2586" t="s">
        <v>667</v>
      </c>
      <c r="G2586" t="s">
        <v>667</v>
      </c>
      <c r="H2586" t="s">
        <v>668</v>
      </c>
      <c r="I2586" t="s">
        <v>76</v>
      </c>
      <c r="J2586" t="str">
        <f>IFERROR(VLOOKUP(I2586,[1]AUTOS!$C:$G,2,0),"")</f>
        <v>AVEO</v>
      </c>
      <c r="K2586">
        <f>IFERROR(VLOOKUP(I2586,[1]AUTOS!$C:$G,3,0),"")</f>
        <v>2018</v>
      </c>
      <c r="L2586" t="str">
        <f>IFERROR(VLOOKUP(I2586,[1]AUTOS!$C:$G,4,0),"")</f>
        <v>GRIS</v>
      </c>
      <c r="N2586" s="3">
        <v>2280.5700000000002</v>
      </c>
      <c r="O2586" s="3">
        <v>2500</v>
      </c>
      <c r="P2586" s="3">
        <v>2730.57</v>
      </c>
      <c r="Q2586" s="3">
        <v>0</v>
      </c>
    </row>
    <row r="2587" spans="1:17" hidden="1" x14ac:dyDescent="0.3">
      <c r="A2587">
        <v>47</v>
      </c>
      <c r="B2587" t="str">
        <f>VLOOKUP($A2587,[1]LISTA!$B:$C,2,0)</f>
        <v>NOVIEMBRE</v>
      </c>
      <c r="C2587" s="1">
        <v>2025</v>
      </c>
      <c r="D2587" s="1" t="str">
        <f>IF($A2587&lt;=[1]RESULTADOS!$D$6,"YTD","YTG")</f>
        <v>YTG</v>
      </c>
      <c r="E2587" t="s">
        <v>706</v>
      </c>
      <c r="F2587" t="s">
        <v>667</v>
      </c>
      <c r="G2587" t="s">
        <v>667</v>
      </c>
      <c r="H2587" t="s">
        <v>668</v>
      </c>
      <c r="I2587" t="s">
        <v>131</v>
      </c>
      <c r="J2587" t="str">
        <f>IFERROR(VLOOKUP(I2587,[1]AUTOS!$C:$G,2,0),"")</f>
        <v>AVEO</v>
      </c>
      <c r="K2587">
        <f>IFERROR(VLOOKUP(I2587,[1]AUTOS!$C:$G,3,0),"")</f>
        <v>2024</v>
      </c>
      <c r="L2587" t="str">
        <f>IFERROR(VLOOKUP(I2587,[1]AUTOS!$C:$G,4,0),"")</f>
        <v>GRIS</v>
      </c>
      <c r="N2587" s="3">
        <v>-307.23999999999978</v>
      </c>
      <c r="O2587" s="3">
        <v>1250</v>
      </c>
      <c r="P2587" s="3">
        <v>1249.7600000000002</v>
      </c>
      <c r="Q2587" s="3">
        <v>0</v>
      </c>
    </row>
    <row r="2588" spans="1:17" hidden="1" x14ac:dyDescent="0.3">
      <c r="A2588">
        <v>47</v>
      </c>
      <c r="B2588" t="str">
        <f>VLOOKUP($A2588,[1]LISTA!$B:$C,2,0)</f>
        <v>NOVIEMBRE</v>
      </c>
      <c r="C2588" s="1">
        <v>2025</v>
      </c>
      <c r="D2588" s="1" t="str">
        <f>IF($A2588&lt;=[1]RESULTADOS!$D$6,"YTD","YTG")</f>
        <v>YTG</v>
      </c>
      <c r="E2588" t="s">
        <v>706</v>
      </c>
      <c r="F2588" t="s">
        <v>667</v>
      </c>
      <c r="G2588" t="s">
        <v>667</v>
      </c>
      <c r="H2588" t="s">
        <v>668</v>
      </c>
      <c r="I2588" t="s">
        <v>131</v>
      </c>
      <c r="J2588" t="str">
        <f>IFERROR(VLOOKUP(I2588,[1]AUTOS!$C:$G,2,0),"")</f>
        <v>AVEO</v>
      </c>
      <c r="K2588">
        <f>IFERROR(VLOOKUP(I2588,[1]AUTOS!$C:$G,3,0),"")</f>
        <v>2024</v>
      </c>
      <c r="L2588" t="str">
        <f>IFERROR(VLOOKUP(I2588,[1]AUTOS!$C:$G,4,0),"")</f>
        <v>GRIS</v>
      </c>
      <c r="N2588" s="3">
        <v>1701.33</v>
      </c>
      <c r="O2588" s="3">
        <v>1250</v>
      </c>
      <c r="P2588" s="3">
        <v>1250</v>
      </c>
      <c r="Q2588" s="3">
        <v>0</v>
      </c>
    </row>
    <row r="2589" spans="1:17" hidden="1" x14ac:dyDescent="0.3">
      <c r="A2589">
        <v>47</v>
      </c>
      <c r="B2589" t="str">
        <f>VLOOKUP($A2589,[1]LISTA!$B:$C,2,0)</f>
        <v>NOVIEMBRE</v>
      </c>
      <c r="C2589" s="1">
        <v>2025</v>
      </c>
      <c r="D2589" s="1" t="str">
        <f>IF($A2589&lt;=[1]RESULTADOS!$D$6,"YTD","YTG")</f>
        <v>YTG</v>
      </c>
      <c r="E2589" t="s">
        <v>723</v>
      </c>
      <c r="F2589" t="s">
        <v>667</v>
      </c>
      <c r="G2589" t="s">
        <v>667</v>
      </c>
      <c r="H2589" t="s">
        <v>668</v>
      </c>
      <c r="I2589" t="s">
        <v>59</v>
      </c>
      <c r="J2589" t="str">
        <f>IFERROR(VLOOKUP(I2589,[1]AUTOS!$C:$G,2,0),"")</f>
        <v>AVEO</v>
      </c>
      <c r="K2589">
        <f>IFERROR(VLOOKUP(I2589,[1]AUTOS!$C:$G,3,0),"")</f>
        <v>2019</v>
      </c>
      <c r="L2589" t="str">
        <f>IFERROR(VLOOKUP(I2589,[1]AUTOS!$C:$G,4,0),"")</f>
        <v>BLANCO</v>
      </c>
      <c r="N2589" s="3">
        <v>486.51000000000022</v>
      </c>
      <c r="O2589" s="3">
        <v>2600</v>
      </c>
      <c r="P2589" s="3">
        <v>1786.5100000000002</v>
      </c>
      <c r="Q2589" s="3">
        <v>500</v>
      </c>
    </row>
    <row r="2590" spans="1:17" hidden="1" x14ac:dyDescent="0.3">
      <c r="A2590">
        <v>47</v>
      </c>
      <c r="B2590" t="str">
        <f>VLOOKUP($A2590,[1]LISTA!$B:$C,2,0)</f>
        <v>NOVIEMBRE</v>
      </c>
      <c r="C2590" s="1">
        <v>2025</v>
      </c>
      <c r="D2590" s="1" t="str">
        <f>IF($A2590&lt;=[1]RESULTADOS!$D$6,"YTD","YTG")</f>
        <v>YTG</v>
      </c>
      <c r="E2590" t="s">
        <v>715</v>
      </c>
      <c r="F2590" t="s">
        <v>667</v>
      </c>
      <c r="G2590" t="s">
        <v>667</v>
      </c>
      <c r="H2590" t="s">
        <v>668</v>
      </c>
      <c r="I2590" t="s">
        <v>51</v>
      </c>
      <c r="J2590" t="str">
        <f>IFERROR(VLOOKUP(I2590,[1]AUTOS!$C:$G,2,0),"")</f>
        <v>VENTO</v>
      </c>
      <c r="K2590">
        <f>IFERROR(VLOOKUP(I2590,[1]AUTOS!$C:$G,3,0),"")</f>
        <v>2017</v>
      </c>
      <c r="L2590" t="str">
        <f>IFERROR(VLOOKUP(I2590,[1]AUTOS!$C:$G,4,0),"")</f>
        <v>GRIS</v>
      </c>
      <c r="N2590" s="3">
        <v>0</v>
      </c>
      <c r="O2590" s="3">
        <v>2500</v>
      </c>
      <c r="P2590" s="3">
        <v>3000</v>
      </c>
      <c r="Q2590" s="3">
        <v>0</v>
      </c>
    </row>
    <row r="2591" spans="1:17" hidden="1" x14ac:dyDescent="0.3">
      <c r="A2591">
        <v>47</v>
      </c>
      <c r="B2591" t="str">
        <f>VLOOKUP($A2591,[1]LISTA!$B:$C,2,0)</f>
        <v>NOVIEMBRE</v>
      </c>
      <c r="C2591" s="1">
        <v>2025</v>
      </c>
      <c r="D2591" s="1" t="str">
        <f>IF($A2591&lt;=[1]RESULTADOS!$D$6,"YTD","YTG")</f>
        <v>YTG</v>
      </c>
      <c r="E2591" t="s">
        <v>718</v>
      </c>
      <c r="F2591" t="s">
        <v>667</v>
      </c>
      <c r="G2591" t="s">
        <v>667</v>
      </c>
      <c r="H2591" t="s">
        <v>668</v>
      </c>
      <c r="I2591" t="s">
        <v>42</v>
      </c>
      <c r="J2591" t="str">
        <f>IFERROR(VLOOKUP(I2591,[1]AUTOS!$C:$G,2,0),"")</f>
        <v>VENTO</v>
      </c>
      <c r="K2591">
        <f>IFERROR(VLOOKUP(I2591,[1]AUTOS!$C:$G,3,0),"")</f>
        <v>2018</v>
      </c>
      <c r="L2591" t="str">
        <f>IFERROR(VLOOKUP(I2591,[1]AUTOS!$C:$G,4,0),"")</f>
        <v>AMARILLO</v>
      </c>
      <c r="N2591" s="3">
        <v>0</v>
      </c>
      <c r="O2591" s="3">
        <v>2500</v>
      </c>
      <c r="P2591" s="3">
        <v>2799</v>
      </c>
      <c r="Q2591" s="3">
        <v>0</v>
      </c>
    </row>
    <row r="2592" spans="1:17" hidden="1" x14ac:dyDescent="0.3">
      <c r="A2592">
        <v>47</v>
      </c>
      <c r="B2592" t="str">
        <f>VLOOKUP($A2592,[1]LISTA!$B:$C,2,0)</f>
        <v>NOVIEMBRE</v>
      </c>
      <c r="C2592" s="1">
        <v>2025</v>
      </c>
      <c r="D2592" s="1" t="str">
        <f>IF($A2592&lt;=[1]RESULTADOS!$D$6,"YTD","YTG")</f>
        <v>YTG</v>
      </c>
      <c r="E2592" t="s">
        <v>492</v>
      </c>
      <c r="F2592" t="s">
        <v>667</v>
      </c>
      <c r="G2592" t="s">
        <v>667</v>
      </c>
      <c r="H2592" t="s">
        <v>668</v>
      </c>
      <c r="I2592" t="s">
        <v>144</v>
      </c>
      <c r="J2592" t="str">
        <f>IFERROR(VLOOKUP(I2592,[1]AUTOS!$C:$G,2,0),"")</f>
        <v>VERSA</v>
      </c>
      <c r="K2592">
        <f>IFERROR(VLOOKUP(I2592,[1]AUTOS!$C:$G,3,0),"")</f>
        <v>2020</v>
      </c>
      <c r="L2592" t="str">
        <f>IFERROR(VLOOKUP(I2592,[1]AUTOS!$C:$G,4,0),"")</f>
        <v>ROJO</v>
      </c>
      <c r="N2592" s="3">
        <v>0</v>
      </c>
      <c r="O2592" s="3">
        <v>2500</v>
      </c>
      <c r="P2592" s="3">
        <v>2500</v>
      </c>
      <c r="Q2592" s="3">
        <v>0</v>
      </c>
    </row>
    <row r="2593" spans="1:17" hidden="1" x14ac:dyDescent="0.3">
      <c r="A2593">
        <v>47</v>
      </c>
      <c r="B2593" t="str">
        <f>VLOOKUP($A2593,[1]LISTA!$B:$C,2,0)</f>
        <v>NOVIEMBRE</v>
      </c>
      <c r="C2593" s="1">
        <v>2025</v>
      </c>
      <c r="D2593" s="1" t="str">
        <f>IF($A2593&lt;=[1]RESULTADOS!$D$6,"YTD","YTG")</f>
        <v>YTG</v>
      </c>
      <c r="E2593" t="s">
        <v>478</v>
      </c>
      <c r="F2593" t="s">
        <v>667</v>
      </c>
      <c r="G2593" t="s">
        <v>667</v>
      </c>
      <c r="H2593" t="s">
        <v>668</v>
      </c>
      <c r="I2593" t="s">
        <v>102</v>
      </c>
      <c r="J2593" t="str">
        <f>IFERROR(VLOOKUP(I2593,[1]AUTOS!$C:$G,2,0),"")</f>
        <v>AVEO</v>
      </c>
      <c r="K2593">
        <f>IFERROR(VLOOKUP(I2593,[1]AUTOS!$C:$G,3,0),"")</f>
        <v>2022</v>
      </c>
      <c r="L2593" t="str">
        <f>IFERROR(VLOOKUP(I2593,[1]AUTOS!$C:$G,4,0),"")</f>
        <v>AZUL</v>
      </c>
      <c r="N2593" s="3">
        <v>474.85000000000036</v>
      </c>
      <c r="O2593" s="3">
        <v>2500</v>
      </c>
      <c r="P2593" s="3">
        <v>2474.8500000000004</v>
      </c>
      <c r="Q2593" s="3">
        <v>0</v>
      </c>
    </row>
    <row r="2594" spans="1:17" hidden="1" x14ac:dyDescent="0.3">
      <c r="A2594">
        <v>47</v>
      </c>
      <c r="B2594" t="str">
        <f>VLOOKUP($A2594,[1]LISTA!$B:$C,2,0)</f>
        <v>NOVIEMBRE</v>
      </c>
      <c r="C2594" s="1">
        <v>2025</v>
      </c>
      <c r="D2594" s="1" t="str">
        <f>IF($A2594&lt;=[1]RESULTADOS!$D$6,"YTD","YTG")</f>
        <v>YTG</v>
      </c>
      <c r="E2594" t="s">
        <v>411</v>
      </c>
      <c r="F2594" t="s">
        <v>667</v>
      </c>
      <c r="G2594" t="s">
        <v>667</v>
      </c>
      <c r="H2594" t="s">
        <v>668</v>
      </c>
      <c r="I2594" t="s">
        <v>178</v>
      </c>
      <c r="J2594" t="str">
        <f>IFERROR(VLOOKUP(I2594,[1]AUTOS!$C:$G,2,0),"")</f>
        <v>VERSA</v>
      </c>
      <c r="K2594">
        <f>IFERROR(VLOOKUP(I2594,[1]AUTOS!$C:$G,3,0),"")</f>
        <v>2020</v>
      </c>
      <c r="L2594" t="str">
        <f>IFERROR(VLOOKUP(I2594,[1]AUTOS!$C:$G,4,0),"")</f>
        <v>BLANCO</v>
      </c>
      <c r="N2594" s="3">
        <v>0</v>
      </c>
      <c r="O2594" s="3">
        <v>0</v>
      </c>
      <c r="P2594" s="3">
        <v>-500</v>
      </c>
      <c r="Q2594" s="3">
        <v>-500</v>
      </c>
    </row>
    <row r="2595" spans="1:17" hidden="1" x14ac:dyDescent="0.3">
      <c r="A2595">
        <v>47</v>
      </c>
      <c r="B2595" t="str">
        <f>VLOOKUP($A2595,[1]LISTA!$B:$C,2,0)</f>
        <v>NOVIEMBRE</v>
      </c>
      <c r="C2595" s="1">
        <v>2025</v>
      </c>
      <c r="D2595" s="1" t="str">
        <f>IF($A2595&lt;=[1]RESULTADOS!$D$6,"YTD","YTG")</f>
        <v>YTG</v>
      </c>
      <c r="E2595" t="s">
        <v>716</v>
      </c>
      <c r="F2595" t="s">
        <v>667</v>
      </c>
      <c r="G2595" t="s">
        <v>667</v>
      </c>
      <c r="H2595" t="s">
        <v>668</v>
      </c>
      <c r="I2595" t="s">
        <v>59</v>
      </c>
      <c r="J2595" t="str">
        <f>IFERROR(VLOOKUP(I2595,[1]AUTOS!$C:$G,2,0),"")</f>
        <v>AVEO</v>
      </c>
      <c r="K2595">
        <f>IFERROR(VLOOKUP(I2595,[1]AUTOS!$C:$G,3,0),"")</f>
        <v>2019</v>
      </c>
      <c r="L2595" t="str">
        <f>IFERROR(VLOOKUP(I2595,[1]AUTOS!$C:$G,4,0),"")</f>
        <v>BLANCO</v>
      </c>
      <c r="N2595" s="3">
        <v>0</v>
      </c>
      <c r="O2595" s="3">
        <v>0</v>
      </c>
      <c r="P2595" s="3">
        <v>-500</v>
      </c>
      <c r="Q2595" s="3">
        <v>-500</v>
      </c>
    </row>
    <row r="2596" spans="1:17" hidden="1" x14ac:dyDescent="0.3">
      <c r="A2596">
        <v>47</v>
      </c>
      <c r="B2596" t="str">
        <f>VLOOKUP($A2596,[1]LISTA!$B:$C,2,0)</f>
        <v>NOVIEMBRE</v>
      </c>
      <c r="C2596" s="1">
        <v>2025</v>
      </c>
      <c r="D2596" s="1" t="str">
        <f>IF($A2596&lt;=[1]RESULTADOS!$D$6,"YTD","YTG")</f>
        <v>YTG</v>
      </c>
      <c r="E2596" t="s">
        <v>642</v>
      </c>
      <c r="F2596" t="s">
        <v>667</v>
      </c>
      <c r="G2596" t="s">
        <v>667</v>
      </c>
      <c r="H2596" t="s">
        <v>668</v>
      </c>
      <c r="I2596" t="s">
        <v>370</v>
      </c>
      <c r="J2596" t="str">
        <f>IFERROR(VLOOKUP(I2596,[1]AUTOS!$C:$G,2,0),"")</f>
        <v>KIA RIO</v>
      </c>
      <c r="K2596">
        <f>IFERROR(VLOOKUP(I2596,[1]AUTOS!$C:$G,3,0),"")</f>
        <v>2020</v>
      </c>
      <c r="L2596" t="str">
        <f>IFERROR(VLOOKUP(I2596,[1]AUTOS!$C:$G,4,0),"")</f>
        <v>AZUL</v>
      </c>
      <c r="N2596" s="3">
        <v>3538.92</v>
      </c>
      <c r="O2596" s="3">
        <v>2600</v>
      </c>
      <c r="P2596" s="3">
        <v>3100</v>
      </c>
      <c r="Q2596" s="3">
        <v>500</v>
      </c>
    </row>
    <row r="2597" spans="1:17" hidden="1" x14ac:dyDescent="0.3">
      <c r="A2597">
        <v>47</v>
      </c>
      <c r="B2597" t="str">
        <f>VLOOKUP($A2597,[1]LISTA!$B:$C,2,0)</f>
        <v>NOVIEMBRE</v>
      </c>
      <c r="C2597" s="1">
        <v>2025</v>
      </c>
      <c r="D2597" s="1" t="str">
        <f>IF($A2597&lt;=[1]RESULTADOS!$D$6,"YTD","YTG")</f>
        <v>YTG</v>
      </c>
      <c r="E2597" t="s">
        <v>518</v>
      </c>
      <c r="F2597" t="s">
        <v>667</v>
      </c>
      <c r="G2597" t="s">
        <v>667</v>
      </c>
      <c r="H2597" t="s">
        <v>668</v>
      </c>
      <c r="I2597" t="s">
        <v>384</v>
      </c>
      <c r="J2597" t="str">
        <f>IFERROR(VLOOKUP(I2597,[1]AUTOS!$C:$G,2,0),"")</f>
        <v>MARCH</v>
      </c>
      <c r="K2597">
        <f>IFERROR(VLOOKUP(I2597,[1]AUTOS!$C:$G,3,0),"")</f>
        <v>2022</v>
      </c>
      <c r="L2597" t="str">
        <f>IFERROR(VLOOKUP(I2597,[1]AUTOS!$C:$G,4,0),"")</f>
        <v>BLANCO</v>
      </c>
      <c r="N2597" s="3">
        <v>0</v>
      </c>
      <c r="O2597" s="3">
        <v>2500</v>
      </c>
      <c r="P2597" s="3">
        <v>2500</v>
      </c>
      <c r="Q2597" s="3">
        <v>0</v>
      </c>
    </row>
    <row r="2598" spans="1:17" hidden="1" x14ac:dyDescent="0.3">
      <c r="A2598">
        <v>47</v>
      </c>
      <c r="B2598" t="str">
        <f>VLOOKUP($A2598,[1]LISTA!$B:$C,2,0)</f>
        <v>NOVIEMBRE</v>
      </c>
      <c r="C2598" s="1">
        <v>2025</v>
      </c>
      <c r="D2598" s="1" t="str">
        <f>IF($A2598&lt;=[1]RESULTADOS!$D$6,"YTD","YTG")</f>
        <v>YTG</v>
      </c>
      <c r="E2598" t="s">
        <v>707</v>
      </c>
      <c r="F2598" t="s">
        <v>667</v>
      </c>
      <c r="G2598" t="s">
        <v>667</v>
      </c>
      <c r="H2598" t="s">
        <v>668</v>
      </c>
      <c r="I2598" t="s">
        <v>383</v>
      </c>
      <c r="J2598" t="str">
        <f>IFERROR(VLOOKUP(I2598,[1]AUTOS!$C:$G,2,0),"")</f>
        <v>VENTO</v>
      </c>
      <c r="K2598">
        <f>IFERROR(VLOOKUP(I2598,[1]AUTOS!$C:$G,3,0),"")</f>
        <v>2020</v>
      </c>
      <c r="L2598" t="str">
        <f>IFERROR(VLOOKUP(I2598,[1]AUTOS!$C:$G,4,0),"")</f>
        <v>GRIS</v>
      </c>
      <c r="N2598" s="3">
        <v>1597.28</v>
      </c>
      <c r="O2598" s="3">
        <v>2500</v>
      </c>
      <c r="P2598" s="3">
        <v>2500.2799999999997</v>
      </c>
      <c r="Q2598" s="3">
        <v>0</v>
      </c>
    </row>
    <row r="2599" spans="1:17" hidden="1" x14ac:dyDescent="0.3">
      <c r="A2599">
        <v>47</v>
      </c>
      <c r="B2599" t="str">
        <f>VLOOKUP($A2599,[1]LISTA!$B:$C,2,0)</f>
        <v>NOVIEMBRE</v>
      </c>
      <c r="C2599" s="1">
        <v>2025</v>
      </c>
      <c r="D2599" s="1" t="str">
        <f>IF($A2599&lt;=[1]RESULTADOS!$D$6,"YTD","YTG")</f>
        <v>YTG</v>
      </c>
      <c r="E2599" t="s">
        <v>725</v>
      </c>
      <c r="F2599" t="s">
        <v>667</v>
      </c>
      <c r="G2599" t="s">
        <v>667</v>
      </c>
      <c r="H2599" t="s">
        <v>668</v>
      </c>
      <c r="I2599" t="s">
        <v>67</v>
      </c>
      <c r="J2599" t="str">
        <f>IFERROR(VLOOKUP(I2599,[1]AUTOS!$C:$G,2,0),"")</f>
        <v>KIA RIO</v>
      </c>
      <c r="K2599">
        <f>IFERROR(VLOOKUP(I2599,[1]AUTOS!$C:$G,3,0),"")</f>
        <v>2020</v>
      </c>
      <c r="L2599" t="str">
        <f>IFERROR(VLOOKUP(I2599,[1]AUTOS!$C:$G,4,0),"")</f>
        <v>GRIS</v>
      </c>
      <c r="N2599" s="3">
        <v>-11.719999999999999</v>
      </c>
      <c r="O2599" s="3">
        <v>1071.42</v>
      </c>
      <c r="P2599" s="3">
        <v>1288.28</v>
      </c>
      <c r="Q2599" s="3">
        <v>214</v>
      </c>
    </row>
    <row r="2600" spans="1:17" hidden="1" x14ac:dyDescent="0.3">
      <c r="A2600">
        <v>47</v>
      </c>
      <c r="B2600" t="str">
        <f>VLOOKUP($A2600,[1]LISTA!$B:$C,2,0)</f>
        <v>NOVIEMBRE</v>
      </c>
      <c r="C2600" s="1">
        <v>2025</v>
      </c>
      <c r="D2600" s="1" t="str">
        <f>IF($A2600&lt;=[1]RESULTADOS!$D$6,"YTD","YTG")</f>
        <v>YTG</v>
      </c>
      <c r="E2600" t="s">
        <v>726</v>
      </c>
      <c r="F2600" t="s">
        <v>667</v>
      </c>
      <c r="G2600" t="s">
        <v>667</v>
      </c>
      <c r="H2600" t="s">
        <v>668</v>
      </c>
      <c r="I2600" t="s">
        <v>182</v>
      </c>
      <c r="J2600" t="str">
        <f>IFERROR(VLOOKUP(I2600,[1]AUTOS!$C:$G,2,0),"")</f>
        <v>AVEO</v>
      </c>
      <c r="K2600">
        <f>IFERROR(VLOOKUP(I2600,[1]AUTOS!$C:$G,3,0),"")</f>
        <v>2020</v>
      </c>
      <c r="L2600" t="str">
        <f>IFERROR(VLOOKUP(I2600,[1]AUTOS!$C:$G,4,0),"")</f>
        <v>AZUL</v>
      </c>
      <c r="N2600" s="3">
        <v>1253.71</v>
      </c>
      <c r="O2600" s="3">
        <v>1428.57</v>
      </c>
      <c r="P2600" s="3">
        <v>1713.71</v>
      </c>
      <c r="Q2600" s="3">
        <v>286</v>
      </c>
    </row>
    <row r="2601" spans="1:17" hidden="1" x14ac:dyDescent="0.3">
      <c r="A2601">
        <v>47</v>
      </c>
      <c r="B2601" t="str">
        <f>VLOOKUP($A2601,[1]LISTA!$B:$C,2,0)</f>
        <v>NOVIEMBRE</v>
      </c>
      <c r="C2601" s="1">
        <v>2025</v>
      </c>
      <c r="D2601" s="1" t="str">
        <f>IF($A2601&lt;=[1]RESULTADOS!$D$6,"YTD","YTG")</f>
        <v>YTG</v>
      </c>
      <c r="E2601" t="s">
        <v>727</v>
      </c>
      <c r="F2601" t="s">
        <v>667</v>
      </c>
      <c r="G2601" t="s">
        <v>667</v>
      </c>
      <c r="H2601" t="s">
        <v>668</v>
      </c>
      <c r="I2601" t="s">
        <v>560</v>
      </c>
      <c r="J2601" t="str">
        <f>IFERROR(VLOOKUP(I2601,[1]AUTOS!$C:$G,2,0),"")</f>
        <v>AVEO</v>
      </c>
      <c r="K2601">
        <f>IFERROR(VLOOKUP(I2601,[1]AUTOS!$C:$G,3,0),"")</f>
        <v>2023</v>
      </c>
      <c r="L2601" t="str">
        <f>IFERROR(VLOOKUP(I2601,[1]AUTOS!$C:$G,4,0),"")</f>
        <v>VINO</v>
      </c>
      <c r="N2601" s="3">
        <v>668.07999999999993</v>
      </c>
      <c r="O2601" s="3">
        <v>1250</v>
      </c>
      <c r="P2601" s="3">
        <v>1500.08</v>
      </c>
      <c r="Q2601" s="3">
        <v>250</v>
      </c>
    </row>
    <row r="2602" spans="1:17" hidden="1" x14ac:dyDescent="0.3">
      <c r="A2602">
        <v>47</v>
      </c>
      <c r="B2602" t="str">
        <f>VLOOKUP($A2602,[1]LISTA!$B:$C,2,0)</f>
        <v>NOVIEMBRE</v>
      </c>
      <c r="C2602" s="1">
        <v>2025</v>
      </c>
      <c r="D2602" s="1" t="str">
        <f>IF($A2602&lt;=[1]RESULTADOS!$D$6,"YTD","YTG")</f>
        <v>YTG</v>
      </c>
      <c r="E2602" t="s">
        <v>705</v>
      </c>
      <c r="F2602" t="s">
        <v>667</v>
      </c>
      <c r="G2602" t="s">
        <v>667</v>
      </c>
      <c r="H2602" t="s">
        <v>668</v>
      </c>
      <c r="I2602" t="s">
        <v>440</v>
      </c>
      <c r="J2602" t="str">
        <f>IFERROR(VLOOKUP(I2602,[1]AUTOS!$C:$G,2,0),"")</f>
        <v>AVEO</v>
      </c>
      <c r="K2602">
        <f>IFERROR(VLOOKUP(I2602,[1]AUTOS!$C:$G,3,0),"")</f>
        <v>2021</v>
      </c>
      <c r="L2602" t="str">
        <f>IFERROR(VLOOKUP(I2602,[1]AUTOS!$C:$G,4,0),"")</f>
        <v>GRIS</v>
      </c>
      <c r="N2602" s="3">
        <v>3302.04</v>
      </c>
      <c r="O2602" s="3">
        <v>1071</v>
      </c>
      <c r="P2602" s="3">
        <v>1071</v>
      </c>
      <c r="Q2602" s="3">
        <v>0</v>
      </c>
    </row>
    <row r="2603" spans="1:17" hidden="1" x14ac:dyDescent="0.3">
      <c r="A2603">
        <v>47</v>
      </c>
      <c r="B2603" t="str">
        <f>VLOOKUP($A2603,[1]LISTA!$B:$C,2,0)</f>
        <v>NOVIEMBRE</v>
      </c>
      <c r="C2603" s="1">
        <v>2025</v>
      </c>
      <c r="D2603" s="1" t="str">
        <f>IF($A2603&lt;=[1]RESULTADOS!$D$6,"YTD","YTG")</f>
        <v>YTG</v>
      </c>
      <c r="E2603" t="s">
        <v>714</v>
      </c>
      <c r="F2603" t="s">
        <v>667</v>
      </c>
      <c r="G2603" t="s">
        <v>667</v>
      </c>
      <c r="H2603" t="s">
        <v>668</v>
      </c>
      <c r="I2603" t="s">
        <v>510</v>
      </c>
      <c r="J2603" t="str">
        <f>IFERROR(VLOOKUP(I2603,[1]AUTOS!$C:$G,2,0),"")</f>
        <v>AVEO</v>
      </c>
      <c r="K2603">
        <f>IFERROR(VLOOKUP(I2603,[1]AUTOS!$C:$G,3,0),"")</f>
        <v>2023</v>
      </c>
      <c r="L2603" t="str">
        <f>IFERROR(VLOOKUP(I2603,[1]AUTOS!$C:$G,4,0),"")</f>
        <v>GRIS</v>
      </c>
      <c r="M2603" t="s">
        <v>43</v>
      </c>
      <c r="N2603" s="3">
        <v>2005.7300000000009</v>
      </c>
      <c r="O2603" s="3">
        <v>1071</v>
      </c>
      <c r="P2603" s="3">
        <v>1071</v>
      </c>
      <c r="Q2603" s="3">
        <v>0</v>
      </c>
    </row>
    <row r="2604" spans="1:17" hidden="1" x14ac:dyDescent="0.3">
      <c r="A2604">
        <v>47</v>
      </c>
      <c r="B2604" t="str">
        <f>VLOOKUP($A2604,[1]LISTA!$B:$C,2,0)</f>
        <v>NOVIEMBRE</v>
      </c>
      <c r="C2604" s="1">
        <v>2025</v>
      </c>
      <c r="D2604" s="1" t="str">
        <f>IF($A2604&lt;=[1]RESULTADOS!$D$6,"YTD","YTG")</f>
        <v>YTG</v>
      </c>
      <c r="E2604" t="s">
        <v>497</v>
      </c>
      <c r="F2604" t="s">
        <v>667</v>
      </c>
      <c r="G2604" t="s">
        <v>667</v>
      </c>
      <c r="H2604" t="s">
        <v>668</v>
      </c>
      <c r="I2604" t="s">
        <v>547</v>
      </c>
      <c r="J2604" t="str">
        <f>IFERROR(VLOOKUP(I2604,[1]AUTOS!$C:$G,2,0),"")</f>
        <v>AVEO</v>
      </c>
      <c r="K2604">
        <f>IFERROR(VLOOKUP(I2604,[1]AUTOS!$C:$G,3,0),"")</f>
        <v>2022</v>
      </c>
      <c r="L2604" t="str">
        <f>IFERROR(VLOOKUP(I2604,[1]AUTOS!$C:$G,4,0),"")</f>
        <v>VINO</v>
      </c>
      <c r="N2604" s="3">
        <v>1006.06</v>
      </c>
      <c r="O2604" s="3">
        <v>1071</v>
      </c>
      <c r="P2604" s="3">
        <v>1071.06</v>
      </c>
      <c r="Q2604" s="3">
        <v>0</v>
      </c>
    </row>
    <row r="2605" spans="1:17" hidden="1" x14ac:dyDescent="0.3">
      <c r="A2605">
        <v>47</v>
      </c>
      <c r="B2605" t="str">
        <f>VLOOKUP($A2605,[1]LISTA!$B:$C,2,0)</f>
        <v>NOVIEMBRE</v>
      </c>
      <c r="C2605" s="1">
        <v>2025</v>
      </c>
      <c r="D2605" s="1" t="str">
        <f>IF($A2605&lt;=[1]RESULTADOS!$D$6,"YTD","YTG")</f>
        <v>YTG</v>
      </c>
      <c r="E2605" t="s">
        <v>436</v>
      </c>
      <c r="F2605" t="s">
        <v>667</v>
      </c>
      <c r="G2605" t="s">
        <v>667</v>
      </c>
      <c r="H2605" t="s">
        <v>668</v>
      </c>
      <c r="I2605" t="s">
        <v>112</v>
      </c>
      <c r="J2605" t="str">
        <f>IFERROR(VLOOKUP(I2605,[1]AUTOS!$C:$G,2,0),"")</f>
        <v>KIA RIO</v>
      </c>
      <c r="K2605">
        <f>IFERROR(VLOOKUP(I2605,[1]AUTOS!$C:$G,3,0),"")</f>
        <v>2020</v>
      </c>
      <c r="L2605" t="str">
        <f>IFERROR(VLOOKUP(I2605,[1]AUTOS!$C:$G,4,0),"")</f>
        <v>ROJO</v>
      </c>
      <c r="N2605" s="3">
        <v>1785.1799999999998</v>
      </c>
      <c r="O2605" s="3">
        <v>1071</v>
      </c>
      <c r="P2605" s="3">
        <v>1071</v>
      </c>
      <c r="Q2605" s="3">
        <v>0</v>
      </c>
    </row>
    <row r="2606" spans="1:17" hidden="1" x14ac:dyDescent="0.3">
      <c r="A2606">
        <v>47</v>
      </c>
      <c r="B2606" t="str">
        <f>VLOOKUP($A2606,[1]LISTA!$B:$C,2,0)</f>
        <v>NOVIEMBRE</v>
      </c>
      <c r="C2606" s="1">
        <v>2025</v>
      </c>
      <c r="D2606" s="1" t="str">
        <f>IF($A2606&lt;=[1]RESULTADOS!$D$6,"YTD","YTG")</f>
        <v>YTG</v>
      </c>
      <c r="E2606" t="s">
        <v>496</v>
      </c>
      <c r="F2606" t="s">
        <v>667</v>
      </c>
      <c r="G2606" t="s">
        <v>667</v>
      </c>
      <c r="H2606" t="s">
        <v>668</v>
      </c>
      <c r="I2606" t="s">
        <v>547</v>
      </c>
      <c r="J2606" t="str">
        <f>IFERROR(VLOOKUP(I2606,[1]AUTOS!$C:$G,2,0),"")</f>
        <v>AVEO</v>
      </c>
      <c r="K2606">
        <f>IFERROR(VLOOKUP(I2606,[1]AUTOS!$C:$G,3,0),"")</f>
        <v>2022</v>
      </c>
      <c r="L2606" t="str">
        <f>IFERROR(VLOOKUP(I2606,[1]AUTOS!$C:$G,4,0),"")</f>
        <v>VINO</v>
      </c>
      <c r="N2606" s="3">
        <v>0</v>
      </c>
      <c r="O2606" s="3">
        <v>0</v>
      </c>
      <c r="P2606" s="3">
        <v>-2000</v>
      </c>
      <c r="Q2606" s="3">
        <v>-2000</v>
      </c>
    </row>
    <row r="2607" spans="1:17" hidden="1" x14ac:dyDescent="0.3">
      <c r="A2607">
        <v>47</v>
      </c>
      <c r="B2607" t="str">
        <f>VLOOKUP($A2607,[1]LISTA!$B:$C,2,0)</f>
        <v>NOVIEMBRE</v>
      </c>
      <c r="C2607" s="1">
        <v>2025</v>
      </c>
      <c r="D2607" s="1" t="str">
        <f>IF($A2607&lt;=[1]RESULTADOS!$D$6,"YTD","YTG")</f>
        <v>YTG</v>
      </c>
      <c r="E2607" t="s">
        <v>417</v>
      </c>
      <c r="F2607" t="s">
        <v>667</v>
      </c>
      <c r="G2607" t="s">
        <v>667</v>
      </c>
      <c r="H2607" t="s">
        <v>668</v>
      </c>
      <c r="I2607" t="s">
        <v>21</v>
      </c>
      <c r="J2607" t="str">
        <f>IFERROR(VLOOKUP(I2607,[1]AUTOS!$C:$G,2,0),"")</f>
        <v/>
      </c>
      <c r="K2607" t="str">
        <f>IFERROR(VLOOKUP(I2607,[1]AUTOS!$C:$G,3,0),"")</f>
        <v/>
      </c>
      <c r="L2607" t="str">
        <f>IFERROR(VLOOKUP(I2607,[1]AUTOS!$C:$G,4,0),"")</f>
        <v/>
      </c>
      <c r="N2607" s="3">
        <v>-141.58000000000001</v>
      </c>
      <c r="O2607" s="3">
        <v>714</v>
      </c>
      <c r="P2607" s="3">
        <v>714.42</v>
      </c>
      <c r="Q2607" s="3">
        <v>0</v>
      </c>
    </row>
    <row r="2608" spans="1:17" hidden="1" x14ac:dyDescent="0.3">
      <c r="A2608">
        <v>48</v>
      </c>
      <c r="B2608" t="str">
        <f>VLOOKUP($A2608,[1]LISTA!$B:$C,2,0)</f>
        <v>NOVIEMBRE</v>
      </c>
      <c r="C2608" s="1">
        <v>2025</v>
      </c>
      <c r="D2608" s="1" t="str">
        <f>IF($A2608&lt;=[1]RESULTADOS!$D$6,"YTD","YTG")</f>
        <v>YTG</v>
      </c>
      <c r="E2608" t="s">
        <v>705</v>
      </c>
      <c r="F2608" t="s">
        <v>667</v>
      </c>
      <c r="G2608" t="s">
        <v>667</v>
      </c>
      <c r="H2608" t="s">
        <v>668</v>
      </c>
      <c r="I2608" t="s">
        <v>728</v>
      </c>
      <c r="J2608" t="str">
        <f>IFERROR(VLOOKUP(I2608,[1]AUTOS!$C:$G,2,0),"")</f>
        <v>AVEO</v>
      </c>
      <c r="K2608">
        <f>IFERROR(VLOOKUP(I2608,[1]AUTOS!$C:$G,3,0),"")</f>
        <v>2025</v>
      </c>
      <c r="L2608" t="str">
        <f>IFERROR(VLOOKUP(I2608,[1]AUTOS!$C:$G,4,0),"")</f>
        <v>PERSUASION</v>
      </c>
      <c r="N2608" s="3">
        <v>7026.27</v>
      </c>
      <c r="O2608" s="3">
        <v>2671</v>
      </c>
      <c r="P2608" s="3">
        <v>2671</v>
      </c>
      <c r="Q2608" s="3">
        <v>0</v>
      </c>
    </row>
    <row r="2609" spans="1:17" hidden="1" x14ac:dyDescent="0.3">
      <c r="A2609">
        <v>48</v>
      </c>
      <c r="B2609" t="str">
        <f>VLOOKUP($A2609,[1]LISTA!$B:$C,2,0)</f>
        <v>NOVIEMBRE</v>
      </c>
      <c r="C2609" s="1">
        <v>2025</v>
      </c>
      <c r="D2609" s="1" t="str">
        <f>IF($A2609&lt;=[1]RESULTADOS!$D$6,"YTD","YTG")</f>
        <v>YTG</v>
      </c>
      <c r="E2609" t="s">
        <v>705</v>
      </c>
      <c r="F2609" t="s">
        <v>667</v>
      </c>
      <c r="G2609" t="s">
        <v>667</v>
      </c>
      <c r="H2609" t="s">
        <v>668</v>
      </c>
      <c r="I2609" t="s">
        <v>440</v>
      </c>
      <c r="J2609" t="str">
        <f>IFERROR(VLOOKUP(I2609,[1]AUTOS!$C:$G,2,0),"")</f>
        <v>AVEO</v>
      </c>
      <c r="K2609">
        <f>IFERROR(VLOOKUP(I2609,[1]AUTOS!$C:$G,3,0),"")</f>
        <v>2021</v>
      </c>
      <c r="L2609" t="str">
        <f>IFERROR(VLOOKUP(I2609,[1]AUTOS!$C:$G,4,0),"")</f>
        <v>GRIS</v>
      </c>
      <c r="N2609" s="3">
        <v>-0.21000000000000085</v>
      </c>
      <c r="O2609" s="3">
        <v>0</v>
      </c>
      <c r="P2609" s="3">
        <v>-0.21000000000000085</v>
      </c>
      <c r="Q2609" s="3">
        <v>0</v>
      </c>
    </row>
    <row r="2610" spans="1:17" hidden="1" x14ac:dyDescent="0.3">
      <c r="A2610">
        <v>48</v>
      </c>
      <c r="B2610" t="str">
        <f>VLOOKUP($A2610,[1]LISTA!$B:$C,2,0)</f>
        <v>NOVIEMBRE</v>
      </c>
      <c r="C2610" s="1">
        <v>2025</v>
      </c>
      <c r="D2610" s="1" t="str">
        <f>IF($A2610&lt;=[1]RESULTADOS!$D$6,"YTD","YTG")</f>
        <v>YTG</v>
      </c>
      <c r="E2610" t="s">
        <v>497</v>
      </c>
      <c r="F2610" t="s">
        <v>667</v>
      </c>
      <c r="G2610" t="s">
        <v>667</v>
      </c>
      <c r="H2610" t="s">
        <v>668</v>
      </c>
      <c r="I2610" t="s">
        <v>560</v>
      </c>
      <c r="J2610" t="str">
        <f>IFERROR(VLOOKUP(I2610,[1]AUTOS!$C:$G,2,0),"")</f>
        <v>AVEO</v>
      </c>
      <c r="K2610">
        <f>IFERROR(VLOOKUP(I2610,[1]AUTOS!$C:$G,3,0),"")</f>
        <v>2023</v>
      </c>
      <c r="L2610" t="str">
        <f>IFERROR(VLOOKUP(I2610,[1]AUTOS!$C:$G,4,0),"")</f>
        <v>VINO</v>
      </c>
      <c r="N2610" s="3">
        <v>5356.26</v>
      </c>
      <c r="O2610" s="3">
        <v>2671</v>
      </c>
      <c r="P2610" s="3">
        <v>2671</v>
      </c>
      <c r="Q2610" s="3">
        <v>0</v>
      </c>
    </row>
    <row r="2611" spans="1:17" hidden="1" x14ac:dyDescent="0.3">
      <c r="A2611">
        <v>48</v>
      </c>
      <c r="B2611" t="str">
        <f>VLOOKUP($A2611,[1]LISTA!$B:$C,2,0)</f>
        <v>NOVIEMBRE</v>
      </c>
      <c r="C2611" s="1">
        <v>2025</v>
      </c>
      <c r="D2611" s="1" t="str">
        <f>IF($A2611&lt;=[1]RESULTADOS!$D$6,"YTD","YTG")</f>
        <v>YTG</v>
      </c>
      <c r="E2611" t="s">
        <v>714</v>
      </c>
      <c r="F2611" t="s">
        <v>667</v>
      </c>
      <c r="G2611" t="s">
        <v>667</v>
      </c>
      <c r="H2611" t="s">
        <v>668</v>
      </c>
      <c r="I2611" t="s">
        <v>510</v>
      </c>
      <c r="J2611" t="str">
        <f>IFERROR(VLOOKUP(I2611,[1]AUTOS!$C:$G,2,0),"")</f>
        <v>AVEO</v>
      </c>
      <c r="K2611">
        <f>IFERROR(VLOOKUP(I2611,[1]AUTOS!$C:$G,3,0),"")</f>
        <v>2023</v>
      </c>
      <c r="L2611" t="str">
        <f>IFERROR(VLOOKUP(I2611,[1]AUTOS!$C:$G,4,0),"")</f>
        <v>GRIS</v>
      </c>
      <c r="M2611" t="s">
        <v>43</v>
      </c>
      <c r="N2611" s="3">
        <v>4302.7699999999995</v>
      </c>
      <c r="O2611" s="3">
        <v>2500</v>
      </c>
      <c r="P2611" s="3">
        <v>3000</v>
      </c>
      <c r="Q2611" s="3">
        <v>0</v>
      </c>
    </row>
    <row r="2612" spans="1:17" hidden="1" x14ac:dyDescent="0.3">
      <c r="A2612">
        <v>48</v>
      </c>
      <c r="B2612" t="str">
        <f>VLOOKUP($A2612,[1]LISTA!$B:$C,2,0)</f>
        <v>NOVIEMBRE</v>
      </c>
      <c r="C2612" s="1">
        <v>2025</v>
      </c>
      <c r="D2612" s="1" t="str">
        <f>IF($A2612&lt;=[1]RESULTADOS!$D$6,"YTD","YTG")</f>
        <v>YTG</v>
      </c>
      <c r="E2612" t="s">
        <v>436</v>
      </c>
      <c r="F2612" t="s">
        <v>667</v>
      </c>
      <c r="G2612" t="s">
        <v>667</v>
      </c>
      <c r="H2612" t="s">
        <v>668</v>
      </c>
      <c r="I2612" t="s">
        <v>112</v>
      </c>
      <c r="J2612" t="str">
        <f>IFERROR(VLOOKUP(I2612,[1]AUTOS!$C:$G,2,0),"")</f>
        <v>KIA RIO</v>
      </c>
      <c r="K2612">
        <f>IFERROR(VLOOKUP(I2612,[1]AUTOS!$C:$G,3,0),"")</f>
        <v>2020</v>
      </c>
      <c r="L2612" t="str">
        <f>IFERROR(VLOOKUP(I2612,[1]AUTOS!$C:$G,4,0),"")</f>
        <v>ROJO</v>
      </c>
      <c r="N2612" s="3">
        <v>2458.7200000000003</v>
      </c>
      <c r="O2612" s="3">
        <v>2500</v>
      </c>
      <c r="P2612" s="3">
        <v>2858.7200000000003</v>
      </c>
      <c r="Q2612" s="3">
        <v>0</v>
      </c>
    </row>
    <row r="2613" spans="1:17" hidden="1" x14ac:dyDescent="0.3">
      <c r="A2613">
        <v>48</v>
      </c>
      <c r="B2613" t="str">
        <f>VLOOKUP($A2613,[1]LISTA!$B:$C,2,0)</f>
        <v>NOVIEMBRE</v>
      </c>
      <c r="C2613" s="1">
        <v>2025</v>
      </c>
      <c r="D2613" s="1" t="str">
        <f>IF($A2613&lt;=[1]RESULTADOS!$D$6,"YTD","YTG")</f>
        <v>YTG</v>
      </c>
      <c r="E2613" t="s">
        <v>704</v>
      </c>
      <c r="F2613" t="s">
        <v>667</v>
      </c>
      <c r="G2613" t="s">
        <v>667</v>
      </c>
      <c r="H2613" t="s">
        <v>668</v>
      </c>
      <c r="I2613" t="s">
        <v>37</v>
      </c>
      <c r="J2613" t="str">
        <f>IFERROR(VLOOKUP(I2613,[1]AUTOS!$C:$G,2,0),"")</f>
        <v>BEAT</v>
      </c>
      <c r="K2613">
        <f>IFERROR(VLOOKUP(I2613,[1]AUTOS!$C:$G,3,0),"")</f>
        <v>2020</v>
      </c>
      <c r="L2613" t="str">
        <f>IFERROR(VLOOKUP(I2613,[1]AUTOS!$C:$G,4,0),"")</f>
        <v>GRIS</v>
      </c>
      <c r="N2613" s="3">
        <v>0</v>
      </c>
      <c r="O2613" s="3">
        <v>0</v>
      </c>
      <c r="P2613" s="3">
        <v>-500</v>
      </c>
      <c r="Q2613" s="3">
        <v>-500</v>
      </c>
    </row>
    <row r="2614" spans="1:17" hidden="1" x14ac:dyDescent="0.3">
      <c r="A2614">
        <v>48</v>
      </c>
      <c r="B2614" t="str">
        <f>VLOOKUP($A2614,[1]LISTA!$B:$C,2,0)</f>
        <v>NOVIEMBRE</v>
      </c>
      <c r="C2614" s="1">
        <v>2025</v>
      </c>
      <c r="D2614" s="1" t="str">
        <f>IF($A2614&lt;=[1]RESULTADOS!$D$6,"YTD","YTG")</f>
        <v>YTG</v>
      </c>
      <c r="E2614" t="s">
        <v>720</v>
      </c>
      <c r="F2614" t="s">
        <v>667</v>
      </c>
      <c r="G2614" t="s">
        <v>667</v>
      </c>
      <c r="H2614" t="s">
        <v>668</v>
      </c>
      <c r="I2614" t="s">
        <v>59</v>
      </c>
      <c r="J2614" t="str">
        <f>IFERROR(VLOOKUP(I2614,[1]AUTOS!$C:$G,2,0),"")</f>
        <v>AVEO</v>
      </c>
      <c r="K2614">
        <f>IFERROR(VLOOKUP(I2614,[1]AUTOS!$C:$G,3,0),"")</f>
        <v>2019</v>
      </c>
      <c r="L2614" t="str">
        <f>IFERROR(VLOOKUP(I2614,[1]AUTOS!$C:$G,4,0),"")</f>
        <v>BLANCO</v>
      </c>
      <c r="N2614" s="3">
        <v>7891.66</v>
      </c>
      <c r="O2614" s="3">
        <v>2500</v>
      </c>
      <c r="P2614" s="3">
        <v>3700</v>
      </c>
      <c r="Q2614" s="3">
        <v>500</v>
      </c>
    </row>
    <row r="2615" spans="1:17" hidden="1" x14ac:dyDescent="0.3">
      <c r="A2615">
        <v>48</v>
      </c>
      <c r="B2615" t="str">
        <f>VLOOKUP($A2615,[1]LISTA!$B:$C,2,0)</f>
        <v>NOVIEMBRE</v>
      </c>
      <c r="C2615" s="1">
        <v>2025</v>
      </c>
      <c r="D2615" s="1" t="str">
        <f>IF($A2615&lt;=[1]RESULTADOS!$D$6,"YTD","YTG")</f>
        <v>YTG</v>
      </c>
      <c r="E2615" t="s">
        <v>722</v>
      </c>
      <c r="F2615" t="s">
        <v>667</v>
      </c>
      <c r="G2615" t="s">
        <v>667</v>
      </c>
      <c r="H2615" t="s">
        <v>668</v>
      </c>
      <c r="I2615" t="s">
        <v>185</v>
      </c>
      <c r="J2615" t="str">
        <f>IFERROR(VLOOKUP(I2615,[1]AUTOS!$C:$G,2,0),"")</f>
        <v>MARCH</v>
      </c>
      <c r="K2615">
        <f>IFERROR(VLOOKUP(I2615,[1]AUTOS!$C:$G,3,0),"")</f>
        <v>2021</v>
      </c>
      <c r="L2615" t="str">
        <f>IFERROR(VLOOKUP(I2615,[1]AUTOS!$C:$G,4,0),"")</f>
        <v>ROJO</v>
      </c>
      <c r="N2615" s="3">
        <v>2861.45</v>
      </c>
      <c r="O2615" s="3">
        <v>2500</v>
      </c>
      <c r="P2615" s="3">
        <v>3000.45</v>
      </c>
      <c r="Q2615" s="3">
        <v>500</v>
      </c>
    </row>
    <row r="2616" spans="1:17" hidden="1" x14ac:dyDescent="0.3">
      <c r="A2616">
        <v>48</v>
      </c>
      <c r="B2616" t="str">
        <f>VLOOKUP($A2616,[1]LISTA!$B:$C,2,0)</f>
        <v>NOVIEMBRE</v>
      </c>
      <c r="C2616" s="1">
        <v>2025</v>
      </c>
      <c r="D2616" s="1" t="str">
        <f>IF($A2616&lt;=[1]RESULTADOS!$D$6,"YTD","YTG")</f>
        <v>YTG</v>
      </c>
      <c r="E2616" t="s">
        <v>630</v>
      </c>
      <c r="F2616" t="s">
        <v>667</v>
      </c>
      <c r="G2616" t="s">
        <v>667</v>
      </c>
      <c r="H2616" t="s">
        <v>668</v>
      </c>
      <c r="I2616" t="s">
        <v>51</v>
      </c>
      <c r="J2616" t="str">
        <f>IFERROR(VLOOKUP(I2616,[1]AUTOS!$C:$G,2,0),"")</f>
        <v>VENTO</v>
      </c>
      <c r="K2616">
        <f>IFERROR(VLOOKUP(I2616,[1]AUTOS!$C:$G,3,0),"")</f>
        <v>2017</v>
      </c>
      <c r="L2616" t="str">
        <f>IFERROR(VLOOKUP(I2616,[1]AUTOS!$C:$G,4,0),"")</f>
        <v>GRIS</v>
      </c>
      <c r="N2616" s="3">
        <v>2670.3499999999995</v>
      </c>
      <c r="O2616" s="3">
        <v>2500</v>
      </c>
      <c r="P2616" s="3">
        <v>2500</v>
      </c>
      <c r="Q2616" s="3">
        <v>0</v>
      </c>
    </row>
    <row r="2617" spans="1:17" hidden="1" x14ac:dyDescent="0.3">
      <c r="A2617">
        <v>48</v>
      </c>
      <c r="B2617" t="str">
        <f>VLOOKUP($A2617,[1]LISTA!$B:$C,2,0)</f>
        <v>NOVIEMBRE</v>
      </c>
      <c r="C2617" s="1">
        <v>2025</v>
      </c>
      <c r="D2617" s="1" t="str">
        <f>IF($A2617&lt;=[1]RESULTADOS!$D$6,"YTD","YTG")</f>
        <v>YTG</v>
      </c>
      <c r="E2617" t="s">
        <v>399</v>
      </c>
      <c r="F2617" t="s">
        <v>667</v>
      </c>
      <c r="G2617" t="s">
        <v>667</v>
      </c>
      <c r="H2617" t="s">
        <v>668</v>
      </c>
      <c r="I2617" t="s">
        <v>162</v>
      </c>
      <c r="J2617" t="str">
        <f>IFERROR(VLOOKUP(I2617,[1]AUTOS!$C:$G,2,0),"")</f>
        <v>HYUNDAI</v>
      </c>
      <c r="K2617">
        <f>IFERROR(VLOOKUP(I2617,[1]AUTOS!$C:$G,3,0),"")</f>
        <v>2022</v>
      </c>
      <c r="L2617" t="str">
        <f>IFERROR(VLOOKUP(I2617,[1]AUTOS!$C:$G,4,0),"")</f>
        <v>PLATA</v>
      </c>
      <c r="N2617" s="3">
        <v>6631.46</v>
      </c>
      <c r="O2617" s="3">
        <v>2500</v>
      </c>
      <c r="P2617" s="3">
        <v>3500</v>
      </c>
      <c r="Q2617" s="3">
        <v>0</v>
      </c>
    </row>
    <row r="2618" spans="1:17" hidden="1" x14ac:dyDescent="0.3">
      <c r="A2618">
        <v>48</v>
      </c>
      <c r="B2618" t="str">
        <f>VLOOKUP($A2618,[1]LISTA!$B:$C,2,0)</f>
        <v>NOVIEMBRE</v>
      </c>
      <c r="C2618" s="1">
        <v>2025</v>
      </c>
      <c r="D2618" s="1" t="str">
        <f>IF($A2618&lt;=[1]RESULTADOS!$D$6,"YTD","YTG")</f>
        <v>YTG</v>
      </c>
      <c r="E2618" t="s">
        <v>709</v>
      </c>
      <c r="F2618" t="s">
        <v>667</v>
      </c>
      <c r="G2618" t="s">
        <v>667</v>
      </c>
      <c r="H2618" t="s">
        <v>668</v>
      </c>
      <c r="I2618" t="s">
        <v>178</v>
      </c>
      <c r="J2618" t="str">
        <f>IFERROR(VLOOKUP(I2618,[1]AUTOS!$C:$G,2,0),"")</f>
        <v>VERSA</v>
      </c>
      <c r="K2618">
        <f>IFERROR(VLOOKUP(I2618,[1]AUTOS!$C:$G,3,0),"")</f>
        <v>2020</v>
      </c>
      <c r="L2618" t="str">
        <f>IFERROR(VLOOKUP(I2618,[1]AUTOS!$C:$G,4,0),"")</f>
        <v>BLANCO</v>
      </c>
      <c r="N2618" s="3">
        <v>2588.4499999999998</v>
      </c>
      <c r="O2618" s="3">
        <v>2500</v>
      </c>
      <c r="P2618" s="3">
        <v>2500</v>
      </c>
      <c r="Q2618" s="3">
        <v>0</v>
      </c>
    </row>
    <row r="2619" spans="1:17" x14ac:dyDescent="0.3">
      <c r="A2619">
        <v>48</v>
      </c>
      <c r="B2619" t="str">
        <f>VLOOKUP($A2619,[1]LISTA!$B:$C,2,0)</f>
        <v>NOVIEMBRE</v>
      </c>
      <c r="C2619" s="1">
        <v>2025</v>
      </c>
      <c r="D2619" s="1" t="str">
        <f>IF($A2619&lt;=[1]RESULTADOS!$D$6,"YTD","YTG")</f>
        <v>YTG</v>
      </c>
      <c r="E2619" t="s">
        <v>403</v>
      </c>
      <c r="F2619" t="s">
        <v>667</v>
      </c>
      <c r="G2619" t="s">
        <v>667</v>
      </c>
      <c r="H2619" t="s">
        <v>668</v>
      </c>
      <c r="I2619" t="s">
        <v>72</v>
      </c>
      <c r="J2619" t="str">
        <f>IFERROR(VLOOKUP(I2619,[1]AUTOS!$C:$G,2,0),"")</f>
        <v>VENTO</v>
      </c>
      <c r="K2619">
        <f>IFERROR(VLOOKUP(I2619,[1]AUTOS!$C:$G,3,0),"")</f>
        <v>2020</v>
      </c>
      <c r="L2619" t="str">
        <f>IFERROR(VLOOKUP(I2619,[1]AUTOS!$C:$G,4,0),"")</f>
        <v>GRIS</v>
      </c>
      <c r="N2619" s="3">
        <v>1684.4599999999998</v>
      </c>
      <c r="O2619" s="3">
        <v>2500</v>
      </c>
      <c r="P2619" s="3">
        <v>2500.46</v>
      </c>
      <c r="Q2619" s="3">
        <v>0</v>
      </c>
    </row>
    <row r="2620" spans="1:17" hidden="1" x14ac:dyDescent="0.3">
      <c r="A2620">
        <v>48</v>
      </c>
      <c r="B2620" t="str">
        <f>VLOOKUP($A2620,[1]LISTA!$B:$C,2,0)</f>
        <v>NOVIEMBRE</v>
      </c>
      <c r="C2620" s="1">
        <v>2025</v>
      </c>
      <c r="D2620" s="1" t="str">
        <f>IF($A2620&lt;=[1]RESULTADOS!$D$6,"YTD","YTG")</f>
        <v>YTG</v>
      </c>
      <c r="E2620" t="s">
        <v>719</v>
      </c>
      <c r="F2620" t="s">
        <v>667</v>
      </c>
      <c r="G2620" t="s">
        <v>667</v>
      </c>
      <c r="H2620" t="s">
        <v>668</v>
      </c>
      <c r="I2620" t="s">
        <v>82</v>
      </c>
      <c r="J2620" t="str">
        <f>IFERROR(VLOOKUP(I2620,[1]AUTOS!$C:$G,2,0),"")</f>
        <v>AVEO</v>
      </c>
      <c r="K2620">
        <f>IFERROR(VLOOKUP(I2620,[1]AUTOS!$C:$G,3,0),"")</f>
        <v>2019</v>
      </c>
      <c r="L2620" t="str">
        <f>IFERROR(VLOOKUP(I2620,[1]AUTOS!$C:$G,4,0),"")</f>
        <v>PLATA</v>
      </c>
      <c r="N2620" s="3">
        <v>1035.83</v>
      </c>
      <c r="O2620" s="3">
        <v>2500</v>
      </c>
      <c r="P2620" s="3">
        <v>2435.83</v>
      </c>
      <c r="Q2620" s="3">
        <v>0</v>
      </c>
    </row>
    <row r="2621" spans="1:17" hidden="1" x14ac:dyDescent="0.3">
      <c r="A2621">
        <v>48</v>
      </c>
      <c r="B2621" t="str">
        <f>VLOOKUP($A2621,[1]LISTA!$B:$C,2,0)</f>
        <v>NOVIEMBRE</v>
      </c>
      <c r="C2621" s="1">
        <v>2025</v>
      </c>
      <c r="D2621" s="1" t="str">
        <f>IF($A2621&lt;=[1]RESULTADOS!$D$6,"YTD","YTG")</f>
        <v>YTG</v>
      </c>
      <c r="E2621" t="s">
        <v>622</v>
      </c>
      <c r="F2621" t="s">
        <v>667</v>
      </c>
      <c r="G2621" t="s">
        <v>667</v>
      </c>
      <c r="H2621" t="s">
        <v>668</v>
      </c>
      <c r="I2621" t="s">
        <v>76</v>
      </c>
      <c r="J2621" t="str">
        <f>IFERROR(VLOOKUP(I2621,[1]AUTOS!$C:$G,2,0),"")</f>
        <v>AVEO</v>
      </c>
      <c r="K2621">
        <f>IFERROR(VLOOKUP(I2621,[1]AUTOS!$C:$G,3,0),"")</f>
        <v>2018</v>
      </c>
      <c r="L2621" t="str">
        <f>IFERROR(VLOOKUP(I2621,[1]AUTOS!$C:$G,4,0),"")</f>
        <v>GRIS</v>
      </c>
      <c r="N2621" s="3">
        <v>3151.23</v>
      </c>
      <c r="O2621" s="3">
        <v>2500</v>
      </c>
      <c r="P2621" s="3">
        <v>3151.23</v>
      </c>
      <c r="Q2621" s="3">
        <v>0</v>
      </c>
    </row>
    <row r="2622" spans="1:17" hidden="1" x14ac:dyDescent="0.3">
      <c r="A2622">
        <v>48</v>
      </c>
      <c r="B2622" t="str">
        <f>VLOOKUP($A2622,[1]LISTA!$B:$C,2,0)</f>
        <v>NOVIEMBRE</v>
      </c>
      <c r="C2622" s="1">
        <v>2025</v>
      </c>
      <c r="D2622" s="1" t="str">
        <f>IF($A2622&lt;=[1]RESULTADOS!$D$6,"YTD","YTG")</f>
        <v>YTG</v>
      </c>
      <c r="E2622" t="s">
        <v>706</v>
      </c>
      <c r="F2622" t="s">
        <v>667</v>
      </c>
      <c r="G2622" t="s">
        <v>667</v>
      </c>
      <c r="H2622" t="s">
        <v>668</v>
      </c>
      <c r="I2622" t="s">
        <v>131</v>
      </c>
      <c r="J2622" t="str">
        <f>IFERROR(VLOOKUP(I2622,[1]AUTOS!$C:$G,2,0),"")</f>
        <v>AVEO</v>
      </c>
      <c r="K2622">
        <f>IFERROR(VLOOKUP(I2622,[1]AUTOS!$C:$G,3,0),"")</f>
        <v>2024</v>
      </c>
      <c r="L2622" t="str">
        <f>IFERROR(VLOOKUP(I2622,[1]AUTOS!$C:$G,4,0),"")</f>
        <v>GRIS</v>
      </c>
      <c r="N2622" s="3">
        <v>270.66000000000031</v>
      </c>
      <c r="O2622" s="3">
        <v>1250</v>
      </c>
      <c r="P2622" s="3">
        <v>1047.6600000000003</v>
      </c>
      <c r="Q2622" s="3">
        <v>0</v>
      </c>
    </row>
    <row r="2623" spans="1:17" hidden="1" x14ac:dyDescent="0.3">
      <c r="A2623">
        <v>48</v>
      </c>
      <c r="B2623" t="str">
        <f>VLOOKUP($A2623,[1]LISTA!$B:$C,2,0)</f>
        <v>NOVIEMBRE</v>
      </c>
      <c r="C2623" s="1">
        <v>2025</v>
      </c>
      <c r="D2623" s="1" t="str">
        <f>IF($A2623&lt;=[1]RESULTADOS!$D$6,"YTD","YTG")</f>
        <v>YTG</v>
      </c>
      <c r="E2623" t="s">
        <v>706</v>
      </c>
      <c r="F2623" t="s">
        <v>667</v>
      </c>
      <c r="G2623" t="s">
        <v>667</v>
      </c>
      <c r="H2623" t="s">
        <v>668</v>
      </c>
      <c r="I2623" t="s">
        <v>131</v>
      </c>
      <c r="J2623" t="str">
        <f>IFERROR(VLOOKUP(I2623,[1]AUTOS!$C:$G,2,0),"")</f>
        <v>AVEO</v>
      </c>
      <c r="K2623">
        <f>IFERROR(VLOOKUP(I2623,[1]AUTOS!$C:$G,3,0),"")</f>
        <v>2024</v>
      </c>
      <c r="L2623" t="str">
        <f>IFERROR(VLOOKUP(I2623,[1]AUTOS!$C:$G,4,0),"")</f>
        <v>GRIS</v>
      </c>
      <c r="N2623" s="3">
        <v>76.110000000000014</v>
      </c>
      <c r="O2623" s="3">
        <v>1250</v>
      </c>
      <c r="P2623" s="3">
        <v>1250.1100000000001</v>
      </c>
      <c r="Q2623" s="3">
        <v>0</v>
      </c>
    </row>
    <row r="2624" spans="1:17" hidden="1" x14ac:dyDescent="0.3">
      <c r="A2624">
        <v>48</v>
      </c>
      <c r="B2624" t="str">
        <f>VLOOKUP($A2624,[1]LISTA!$B:$C,2,0)</f>
        <v>NOVIEMBRE</v>
      </c>
      <c r="C2624" s="1">
        <v>2025</v>
      </c>
      <c r="D2624" s="1" t="str">
        <f>IF($A2624&lt;=[1]RESULTADOS!$D$6,"YTD","YTG")</f>
        <v>YTG</v>
      </c>
      <c r="E2624" t="s">
        <v>723</v>
      </c>
      <c r="F2624" t="s">
        <v>667</v>
      </c>
      <c r="G2624" t="s">
        <v>667</v>
      </c>
      <c r="H2624" t="s">
        <v>668</v>
      </c>
      <c r="I2624" t="s">
        <v>59</v>
      </c>
      <c r="J2624" t="str">
        <f>IFERROR(VLOOKUP(I2624,[1]AUTOS!$C:$G,2,0),"")</f>
        <v>AVEO</v>
      </c>
      <c r="K2624">
        <f>IFERROR(VLOOKUP(I2624,[1]AUTOS!$C:$G,3,0),"")</f>
        <v>2019</v>
      </c>
      <c r="L2624" t="str">
        <f>IFERROR(VLOOKUP(I2624,[1]AUTOS!$C:$G,4,0),"")</f>
        <v>BLANCO</v>
      </c>
      <c r="N2624" s="3">
        <v>-152.90000000000009</v>
      </c>
      <c r="O2624" s="3">
        <v>1486</v>
      </c>
      <c r="P2624" s="3">
        <v>447.09999999999991</v>
      </c>
      <c r="Q2624" s="3">
        <v>500</v>
      </c>
    </row>
    <row r="2625" spans="1:17" hidden="1" x14ac:dyDescent="0.3">
      <c r="A2625">
        <v>48</v>
      </c>
      <c r="B2625" t="str">
        <f>VLOOKUP($A2625,[1]LISTA!$B:$C,2,0)</f>
        <v>NOVIEMBRE</v>
      </c>
      <c r="C2625" s="1">
        <v>2025</v>
      </c>
      <c r="D2625" s="1" t="str">
        <f>IF($A2625&lt;=[1]RESULTADOS!$D$6,"YTD","YTG")</f>
        <v>YTG</v>
      </c>
      <c r="E2625" t="s">
        <v>715</v>
      </c>
      <c r="F2625" t="s">
        <v>667</v>
      </c>
      <c r="G2625" t="s">
        <v>667</v>
      </c>
      <c r="H2625" t="s">
        <v>668</v>
      </c>
      <c r="I2625" t="s">
        <v>51</v>
      </c>
      <c r="J2625" t="str">
        <f>IFERROR(VLOOKUP(I2625,[1]AUTOS!$C:$G,2,0),"")</f>
        <v>VENTO</v>
      </c>
      <c r="K2625">
        <f>IFERROR(VLOOKUP(I2625,[1]AUTOS!$C:$G,3,0),"")</f>
        <v>2017</v>
      </c>
      <c r="L2625" t="str">
        <f>IFERROR(VLOOKUP(I2625,[1]AUTOS!$C:$G,4,0),"")</f>
        <v>GRIS</v>
      </c>
      <c r="N2625" s="3">
        <v>0</v>
      </c>
      <c r="O2625" s="3">
        <v>2321.42</v>
      </c>
      <c r="P2625" s="3">
        <v>0</v>
      </c>
      <c r="Q2625" s="3">
        <v>0</v>
      </c>
    </row>
    <row r="2626" spans="1:17" hidden="1" x14ac:dyDescent="0.3">
      <c r="A2626">
        <v>48</v>
      </c>
      <c r="B2626" t="str">
        <f>VLOOKUP($A2626,[1]LISTA!$B:$C,2,0)</f>
        <v>NOVIEMBRE</v>
      </c>
      <c r="C2626" s="1">
        <v>2025</v>
      </c>
      <c r="D2626" s="1" t="str">
        <f>IF($A2626&lt;=[1]RESULTADOS!$D$6,"YTD","YTG")</f>
        <v>YTG</v>
      </c>
      <c r="E2626" t="s">
        <v>718</v>
      </c>
      <c r="F2626" t="s">
        <v>667</v>
      </c>
      <c r="G2626" t="s">
        <v>667</v>
      </c>
      <c r="H2626" t="s">
        <v>668</v>
      </c>
      <c r="I2626" t="s">
        <v>42</v>
      </c>
      <c r="J2626" t="str">
        <f>IFERROR(VLOOKUP(I2626,[1]AUTOS!$C:$G,2,0),"")</f>
        <v>VENTO</v>
      </c>
      <c r="K2626">
        <f>IFERROR(VLOOKUP(I2626,[1]AUTOS!$C:$G,3,0),"")</f>
        <v>2018</v>
      </c>
      <c r="L2626" t="str">
        <f>IFERROR(VLOOKUP(I2626,[1]AUTOS!$C:$G,4,0),"")</f>
        <v>AMARILLO</v>
      </c>
      <c r="N2626" s="3">
        <v>6329.07</v>
      </c>
      <c r="O2626" s="3">
        <v>2500</v>
      </c>
      <c r="P2626" s="3">
        <v>2500</v>
      </c>
      <c r="Q2626" s="3">
        <v>0</v>
      </c>
    </row>
    <row r="2627" spans="1:17" hidden="1" x14ac:dyDescent="0.3">
      <c r="A2627">
        <v>48</v>
      </c>
      <c r="B2627" t="str">
        <f>VLOOKUP($A2627,[1]LISTA!$B:$C,2,0)</f>
        <v>NOVIEMBRE</v>
      </c>
      <c r="C2627" s="1">
        <v>2025</v>
      </c>
      <c r="D2627" s="1" t="str">
        <f>IF($A2627&lt;=[1]RESULTADOS!$D$6,"YTD","YTG")</f>
        <v>YTG</v>
      </c>
      <c r="E2627" t="s">
        <v>492</v>
      </c>
      <c r="F2627" t="s">
        <v>667</v>
      </c>
      <c r="G2627" t="s">
        <v>667</v>
      </c>
      <c r="H2627" t="s">
        <v>668</v>
      </c>
      <c r="I2627" t="s">
        <v>144</v>
      </c>
      <c r="J2627" t="str">
        <f>IFERROR(VLOOKUP(I2627,[1]AUTOS!$C:$G,2,0),"")</f>
        <v>VERSA</v>
      </c>
      <c r="K2627">
        <f>IFERROR(VLOOKUP(I2627,[1]AUTOS!$C:$G,3,0),"")</f>
        <v>2020</v>
      </c>
      <c r="L2627" t="str">
        <f>IFERROR(VLOOKUP(I2627,[1]AUTOS!$C:$G,4,0),"")</f>
        <v>ROJO</v>
      </c>
      <c r="N2627" s="3">
        <v>0</v>
      </c>
      <c r="O2627" s="3">
        <v>2500</v>
      </c>
      <c r="P2627" s="3">
        <v>2500</v>
      </c>
      <c r="Q2627" s="3">
        <v>0</v>
      </c>
    </row>
    <row r="2628" spans="1:17" hidden="1" x14ac:dyDescent="0.3">
      <c r="A2628">
        <v>48</v>
      </c>
      <c r="B2628" t="str">
        <f>VLOOKUP($A2628,[1]LISTA!$B:$C,2,0)</f>
        <v>NOVIEMBRE</v>
      </c>
      <c r="C2628" s="1">
        <v>2025</v>
      </c>
      <c r="D2628" s="1" t="str">
        <f>IF($A2628&lt;=[1]RESULTADOS!$D$6,"YTD","YTG")</f>
        <v>YTG</v>
      </c>
      <c r="E2628" t="s">
        <v>478</v>
      </c>
      <c r="F2628" t="s">
        <v>667</v>
      </c>
      <c r="G2628" t="s">
        <v>667</v>
      </c>
      <c r="H2628" t="s">
        <v>668</v>
      </c>
      <c r="I2628" t="s">
        <v>102</v>
      </c>
      <c r="J2628" t="str">
        <f>IFERROR(VLOOKUP(I2628,[1]AUTOS!$C:$G,2,0),"")</f>
        <v>AVEO</v>
      </c>
      <c r="K2628">
        <f>IFERROR(VLOOKUP(I2628,[1]AUTOS!$C:$G,3,0),"")</f>
        <v>2022</v>
      </c>
      <c r="L2628" t="str">
        <f>IFERROR(VLOOKUP(I2628,[1]AUTOS!$C:$G,4,0),"")</f>
        <v>AZUL</v>
      </c>
      <c r="N2628" s="3">
        <v>-36.89999999999992</v>
      </c>
      <c r="O2628" s="3">
        <v>2643</v>
      </c>
      <c r="P2628" s="3">
        <v>3413.1</v>
      </c>
      <c r="Q2628" s="3">
        <v>0</v>
      </c>
    </row>
    <row r="2629" spans="1:17" hidden="1" x14ac:dyDescent="0.3">
      <c r="A2629">
        <v>48</v>
      </c>
      <c r="B2629" t="str">
        <f>VLOOKUP($A2629,[1]LISTA!$B:$C,2,0)</f>
        <v>NOVIEMBRE</v>
      </c>
      <c r="C2629" s="1">
        <v>2025</v>
      </c>
      <c r="D2629" s="1" t="str">
        <f>IF($A2629&lt;=[1]RESULTADOS!$D$6,"YTD","YTG")</f>
        <v>YTG</v>
      </c>
      <c r="E2629" t="s">
        <v>411</v>
      </c>
      <c r="F2629" t="s">
        <v>667</v>
      </c>
      <c r="G2629" t="s">
        <v>667</v>
      </c>
      <c r="H2629" t="s">
        <v>668</v>
      </c>
      <c r="I2629" t="s">
        <v>178</v>
      </c>
      <c r="J2629" t="str">
        <f>IFERROR(VLOOKUP(I2629,[1]AUTOS!$C:$G,2,0),"")</f>
        <v>VERSA</v>
      </c>
      <c r="K2629">
        <f>IFERROR(VLOOKUP(I2629,[1]AUTOS!$C:$G,3,0),"")</f>
        <v>2020</v>
      </c>
      <c r="L2629" t="str">
        <f>IFERROR(VLOOKUP(I2629,[1]AUTOS!$C:$G,4,0),"")</f>
        <v>BLANCO</v>
      </c>
      <c r="N2629" s="3">
        <v>0</v>
      </c>
      <c r="O2629" s="3">
        <v>0</v>
      </c>
      <c r="P2629" s="3">
        <v>-500</v>
      </c>
      <c r="Q2629" s="3">
        <v>-500</v>
      </c>
    </row>
    <row r="2630" spans="1:17" hidden="1" x14ac:dyDescent="0.3">
      <c r="A2630">
        <v>48</v>
      </c>
      <c r="B2630" t="str">
        <f>VLOOKUP($A2630,[1]LISTA!$B:$C,2,0)</f>
        <v>NOVIEMBRE</v>
      </c>
      <c r="C2630" s="1">
        <v>2025</v>
      </c>
      <c r="D2630" s="1" t="str">
        <f>IF($A2630&lt;=[1]RESULTADOS!$D$6,"YTD","YTG")</f>
        <v>YTG</v>
      </c>
      <c r="E2630" t="s">
        <v>716</v>
      </c>
      <c r="F2630" t="s">
        <v>667</v>
      </c>
      <c r="G2630" t="s">
        <v>667</v>
      </c>
      <c r="H2630" t="s">
        <v>668</v>
      </c>
      <c r="I2630" t="s">
        <v>59</v>
      </c>
      <c r="J2630" t="str">
        <f>IFERROR(VLOOKUP(I2630,[1]AUTOS!$C:$G,2,0),"")</f>
        <v>AVEO</v>
      </c>
      <c r="K2630">
        <f>IFERROR(VLOOKUP(I2630,[1]AUTOS!$C:$G,3,0),"")</f>
        <v>2019</v>
      </c>
      <c r="L2630" t="str">
        <f>IFERROR(VLOOKUP(I2630,[1]AUTOS!$C:$G,4,0),"")</f>
        <v>BLANCO</v>
      </c>
      <c r="N2630" s="3">
        <v>0</v>
      </c>
      <c r="O2630" s="3">
        <v>0</v>
      </c>
      <c r="P2630" s="3">
        <v>-500</v>
      </c>
      <c r="Q2630" s="3">
        <v>-500</v>
      </c>
    </row>
    <row r="2631" spans="1:17" hidden="1" x14ac:dyDescent="0.3">
      <c r="A2631">
        <v>48</v>
      </c>
      <c r="B2631" t="str">
        <f>VLOOKUP($A2631,[1]LISTA!$B:$C,2,0)</f>
        <v>NOVIEMBRE</v>
      </c>
      <c r="C2631" s="1">
        <v>2025</v>
      </c>
      <c r="D2631" s="1" t="str">
        <f>IF($A2631&lt;=[1]RESULTADOS!$D$6,"YTD","YTG")</f>
        <v>YTG</v>
      </c>
      <c r="E2631" t="s">
        <v>642</v>
      </c>
      <c r="F2631" t="s">
        <v>667</v>
      </c>
      <c r="G2631" t="s">
        <v>667</v>
      </c>
      <c r="H2631" t="s">
        <v>668</v>
      </c>
      <c r="I2631" t="s">
        <v>370</v>
      </c>
      <c r="J2631" t="str">
        <f>IFERROR(VLOOKUP(I2631,[1]AUTOS!$C:$G,2,0),"")</f>
        <v>KIA RIO</v>
      </c>
      <c r="K2631">
        <f>IFERROR(VLOOKUP(I2631,[1]AUTOS!$C:$G,3,0),"")</f>
        <v>2020</v>
      </c>
      <c r="L2631" t="str">
        <f>IFERROR(VLOOKUP(I2631,[1]AUTOS!$C:$G,4,0),"")</f>
        <v>AZUL</v>
      </c>
      <c r="N2631" s="3">
        <v>1471</v>
      </c>
      <c r="O2631" s="3">
        <v>2600</v>
      </c>
      <c r="P2631" s="3">
        <v>2600</v>
      </c>
      <c r="Q2631" s="3">
        <v>0</v>
      </c>
    </row>
    <row r="2632" spans="1:17" hidden="1" x14ac:dyDescent="0.3">
      <c r="A2632">
        <v>48</v>
      </c>
      <c r="B2632" t="str">
        <f>VLOOKUP($A2632,[1]LISTA!$B:$C,2,0)</f>
        <v>NOVIEMBRE</v>
      </c>
      <c r="C2632" s="1">
        <v>2025</v>
      </c>
      <c r="D2632" s="1" t="str">
        <f>IF($A2632&lt;=[1]RESULTADOS!$D$6,"YTD","YTG")</f>
        <v>YTG</v>
      </c>
      <c r="E2632" t="s">
        <v>518</v>
      </c>
      <c r="F2632" t="s">
        <v>667</v>
      </c>
      <c r="G2632" t="s">
        <v>667</v>
      </c>
      <c r="H2632" t="s">
        <v>668</v>
      </c>
      <c r="I2632" t="s">
        <v>384</v>
      </c>
      <c r="J2632" t="str">
        <f>IFERROR(VLOOKUP(I2632,[1]AUTOS!$C:$G,2,0),"")</f>
        <v>MARCH</v>
      </c>
      <c r="K2632">
        <f>IFERROR(VLOOKUP(I2632,[1]AUTOS!$C:$G,3,0),"")</f>
        <v>2022</v>
      </c>
      <c r="L2632" t="str">
        <f>IFERROR(VLOOKUP(I2632,[1]AUTOS!$C:$G,4,0),"")</f>
        <v>BLANCO</v>
      </c>
      <c r="N2632" s="3">
        <v>0</v>
      </c>
      <c r="O2632" s="3">
        <v>2500</v>
      </c>
      <c r="P2632" s="3">
        <v>2500</v>
      </c>
      <c r="Q2632" s="3">
        <v>0</v>
      </c>
    </row>
    <row r="2633" spans="1:17" hidden="1" x14ac:dyDescent="0.3">
      <c r="A2633">
        <v>48</v>
      </c>
      <c r="B2633" t="str">
        <f>VLOOKUP($A2633,[1]LISTA!$B:$C,2,0)</f>
        <v>NOVIEMBRE</v>
      </c>
      <c r="C2633" s="1">
        <v>2025</v>
      </c>
      <c r="D2633" s="1" t="str">
        <f>IF($A2633&lt;=[1]RESULTADOS!$D$6,"YTD","YTG")</f>
        <v>YTG</v>
      </c>
      <c r="E2633" t="s">
        <v>707</v>
      </c>
      <c r="F2633" t="s">
        <v>667</v>
      </c>
      <c r="G2633" t="s">
        <v>667</v>
      </c>
      <c r="H2633" t="s">
        <v>668</v>
      </c>
      <c r="I2633" t="s">
        <v>383</v>
      </c>
      <c r="J2633" t="str">
        <f>IFERROR(VLOOKUP(I2633,[1]AUTOS!$C:$G,2,0),"")</f>
        <v>VENTO</v>
      </c>
      <c r="K2633">
        <f>IFERROR(VLOOKUP(I2633,[1]AUTOS!$C:$G,3,0),"")</f>
        <v>2020</v>
      </c>
      <c r="L2633" t="str">
        <f>IFERROR(VLOOKUP(I2633,[1]AUTOS!$C:$G,4,0),"")</f>
        <v>GRIS</v>
      </c>
      <c r="N2633" s="3">
        <v>2648.72</v>
      </c>
      <c r="O2633" s="3">
        <v>2500</v>
      </c>
      <c r="P2633" s="3">
        <v>2648.72</v>
      </c>
      <c r="Q2633" s="3">
        <v>0</v>
      </c>
    </row>
    <row r="2634" spans="1:17" hidden="1" x14ac:dyDescent="0.3">
      <c r="A2634">
        <v>48</v>
      </c>
      <c r="B2634" t="str">
        <f>VLOOKUP($A2634,[1]LISTA!$B:$C,2,0)</f>
        <v>NOVIEMBRE</v>
      </c>
      <c r="C2634" s="1">
        <v>2025</v>
      </c>
      <c r="D2634" s="1" t="str">
        <f>IF($A2634&lt;=[1]RESULTADOS!$D$6,"YTD","YTG")</f>
        <v>YTG</v>
      </c>
      <c r="E2634" t="s">
        <v>725</v>
      </c>
      <c r="F2634" t="s">
        <v>667</v>
      </c>
      <c r="G2634" t="s">
        <v>667</v>
      </c>
      <c r="H2634" t="s">
        <v>668</v>
      </c>
      <c r="I2634" t="s">
        <v>67</v>
      </c>
      <c r="J2634" t="str">
        <f>IFERROR(VLOOKUP(I2634,[1]AUTOS!$C:$G,2,0),"")</f>
        <v>KIA RIO</v>
      </c>
      <c r="K2634">
        <f>IFERROR(VLOOKUP(I2634,[1]AUTOS!$C:$G,3,0),"")</f>
        <v>2020</v>
      </c>
      <c r="L2634" t="str">
        <f>IFERROR(VLOOKUP(I2634,[1]AUTOS!$C:$G,4,0),"")</f>
        <v>GRIS</v>
      </c>
      <c r="N2634" s="3">
        <v>118.91999999999999</v>
      </c>
      <c r="O2634" s="3">
        <v>2500</v>
      </c>
      <c r="P2634" s="3">
        <v>2999.92</v>
      </c>
      <c r="Q2634" s="3">
        <v>500</v>
      </c>
    </row>
    <row r="2635" spans="1:17" hidden="1" x14ac:dyDescent="0.3">
      <c r="A2635">
        <v>48</v>
      </c>
      <c r="B2635" t="str">
        <f>VLOOKUP($A2635,[1]LISTA!$B:$C,2,0)</f>
        <v>NOVIEMBRE</v>
      </c>
      <c r="C2635" s="1">
        <v>2025</v>
      </c>
      <c r="D2635" s="1" t="str">
        <f>IF($A2635&lt;=[1]RESULTADOS!$D$6,"YTD","YTG")</f>
        <v>YTG</v>
      </c>
      <c r="E2635" t="s">
        <v>726</v>
      </c>
      <c r="F2635" t="s">
        <v>667</v>
      </c>
      <c r="G2635" t="s">
        <v>667</v>
      </c>
      <c r="H2635" t="s">
        <v>668</v>
      </c>
      <c r="I2635" t="s">
        <v>182</v>
      </c>
      <c r="J2635" t="str">
        <f>IFERROR(VLOOKUP(I2635,[1]AUTOS!$C:$G,2,0),"")</f>
        <v>AVEO</v>
      </c>
      <c r="K2635">
        <f>IFERROR(VLOOKUP(I2635,[1]AUTOS!$C:$G,3,0),"")</f>
        <v>2020</v>
      </c>
      <c r="L2635" t="str">
        <f>IFERROR(VLOOKUP(I2635,[1]AUTOS!$C:$G,4,0),"")</f>
        <v>AZUL</v>
      </c>
      <c r="N2635" s="3">
        <v>1809.35</v>
      </c>
      <c r="O2635" s="3">
        <v>2500</v>
      </c>
      <c r="P2635" s="3">
        <v>2809.35</v>
      </c>
      <c r="Q2635" s="3">
        <v>500</v>
      </c>
    </row>
    <row r="2636" spans="1:17" hidden="1" x14ac:dyDescent="0.3">
      <c r="A2636">
        <v>48</v>
      </c>
      <c r="B2636" t="str">
        <f>VLOOKUP($A2636,[1]LISTA!$B:$C,2,0)</f>
        <v>NOVIEMBRE</v>
      </c>
      <c r="C2636" s="1">
        <v>2025</v>
      </c>
      <c r="D2636" s="1" t="str">
        <f>IF($A2636&lt;=[1]RESULTADOS!$D$6,"YTD","YTG")</f>
        <v>YTG</v>
      </c>
      <c r="E2636" t="s">
        <v>729</v>
      </c>
      <c r="F2636" t="s">
        <v>667</v>
      </c>
      <c r="G2636" t="s">
        <v>667</v>
      </c>
      <c r="H2636" t="s">
        <v>668</v>
      </c>
      <c r="I2636" t="s">
        <v>560</v>
      </c>
      <c r="J2636" t="str">
        <f>IFERROR(VLOOKUP(I2636,[1]AUTOS!$C:$G,2,0),"")</f>
        <v>AVEO</v>
      </c>
      <c r="K2636">
        <f>IFERROR(VLOOKUP(I2636,[1]AUTOS!$C:$G,3,0),"")</f>
        <v>2023</v>
      </c>
      <c r="L2636" t="str">
        <f>IFERROR(VLOOKUP(I2636,[1]AUTOS!$C:$G,4,0),"")</f>
        <v>VINO</v>
      </c>
      <c r="N2636" s="3">
        <v>-154.30000000000001</v>
      </c>
      <c r="O2636" s="3">
        <v>1785.71</v>
      </c>
      <c r="P2636" s="3">
        <v>2285.6999999999998</v>
      </c>
      <c r="Q2636" s="3">
        <v>500</v>
      </c>
    </row>
    <row r="2637" spans="1:17" hidden="1" x14ac:dyDescent="0.3">
      <c r="A2637">
        <v>48</v>
      </c>
      <c r="B2637" t="str">
        <f>VLOOKUP($A2637,[1]LISTA!$B:$C,2,0)</f>
        <v>NOVIEMBRE</v>
      </c>
      <c r="C2637" s="1">
        <v>2025</v>
      </c>
      <c r="D2637" s="1" t="str">
        <f>IF($A2637&lt;=[1]RESULTADOS!$D$6,"YTD","YTG")</f>
        <v>YTG</v>
      </c>
      <c r="E2637" t="s">
        <v>496</v>
      </c>
      <c r="F2637" t="s">
        <v>667</v>
      </c>
      <c r="G2637" t="s">
        <v>667</v>
      </c>
      <c r="H2637" t="s">
        <v>668</v>
      </c>
      <c r="I2637" t="s">
        <v>547</v>
      </c>
      <c r="J2637" t="str">
        <f>IFERROR(VLOOKUP(I2637,[1]AUTOS!$C:$G,2,0),"")</f>
        <v>AVEO</v>
      </c>
      <c r="K2637">
        <f>IFERROR(VLOOKUP(I2637,[1]AUTOS!$C:$G,3,0),"")</f>
        <v>2022</v>
      </c>
      <c r="L2637" t="str">
        <f>IFERROR(VLOOKUP(I2637,[1]AUTOS!$C:$G,4,0),"")</f>
        <v>VINO</v>
      </c>
      <c r="N2637" s="3">
        <v>0</v>
      </c>
      <c r="O2637" s="3">
        <v>0</v>
      </c>
      <c r="P2637" s="3">
        <v>-500</v>
      </c>
      <c r="Q2637" s="3">
        <v>-500</v>
      </c>
    </row>
    <row r="2638" spans="1:17" hidden="1" x14ac:dyDescent="0.3">
      <c r="A2638">
        <v>48</v>
      </c>
      <c r="B2638" t="str">
        <f>VLOOKUP($A2638,[1]LISTA!$B:$C,2,0)</f>
        <v>NOVIEMBRE</v>
      </c>
      <c r="C2638" s="1">
        <v>2025</v>
      </c>
      <c r="D2638" s="1" t="str">
        <f>IF($A2638&lt;=[1]RESULTADOS!$D$6,"YTD","YTG")</f>
        <v>YTG</v>
      </c>
      <c r="E2638" t="s">
        <v>730</v>
      </c>
      <c r="F2638" t="s">
        <v>667</v>
      </c>
      <c r="G2638" t="s">
        <v>667</v>
      </c>
      <c r="H2638" t="s">
        <v>668</v>
      </c>
      <c r="I2638" t="s">
        <v>547</v>
      </c>
      <c r="J2638" t="str">
        <f>IFERROR(VLOOKUP(I2638,[1]AUTOS!$C:$G,2,0),"")</f>
        <v>AVEO</v>
      </c>
      <c r="K2638">
        <f>IFERROR(VLOOKUP(I2638,[1]AUTOS!$C:$G,3,0),"")</f>
        <v>2022</v>
      </c>
      <c r="L2638" t="str">
        <f>IFERROR(VLOOKUP(I2638,[1]AUTOS!$C:$G,4,0),"")</f>
        <v>VINO</v>
      </c>
      <c r="N2638" s="3">
        <v>4059.2300000000005</v>
      </c>
      <c r="O2638" s="3">
        <v>1428.57</v>
      </c>
      <c r="P2638" s="3">
        <v>1714.5699999999997</v>
      </c>
      <c r="Q2638" s="3">
        <v>286</v>
      </c>
    </row>
    <row r="2639" spans="1:17" hidden="1" x14ac:dyDescent="0.3">
      <c r="A2639">
        <v>48</v>
      </c>
      <c r="B2639" t="str">
        <f>VLOOKUP($A2639,[1]LISTA!$B:$C,2,0)</f>
        <v>NOVIEMBRE</v>
      </c>
      <c r="C2639" s="1">
        <v>2025</v>
      </c>
      <c r="D2639" s="1" t="str">
        <f>IF($A2639&lt;=[1]RESULTADOS!$D$6,"YTD","YTG")</f>
        <v>YTG</v>
      </c>
      <c r="E2639" t="s">
        <v>731</v>
      </c>
      <c r="F2639" t="s">
        <v>667</v>
      </c>
      <c r="G2639" t="s">
        <v>667</v>
      </c>
      <c r="H2639" t="s">
        <v>668</v>
      </c>
      <c r="I2639" t="s">
        <v>116</v>
      </c>
      <c r="J2639" t="str">
        <f>IFERROR(VLOOKUP(I2639,[1]AUTOS!$C:$G,2,0),"")</f>
        <v>AVEO</v>
      </c>
      <c r="K2639">
        <f>IFERROR(VLOOKUP(I2639,[1]AUTOS!$C:$G,3,0),"")</f>
        <v>2022</v>
      </c>
      <c r="L2639" t="str">
        <f>IFERROR(VLOOKUP(I2639,[1]AUTOS!$C:$G,4,0),"")</f>
        <v>AZUL</v>
      </c>
      <c r="N2639" s="3">
        <v>864.8</v>
      </c>
      <c r="O2639" s="3">
        <v>357.14</v>
      </c>
      <c r="P2639" s="3">
        <v>428.56</v>
      </c>
      <c r="Q2639" s="3">
        <v>71.42</v>
      </c>
    </row>
    <row r="2640" spans="1:17" hidden="1" x14ac:dyDescent="0.3">
      <c r="A2640">
        <v>48</v>
      </c>
      <c r="B2640" t="str">
        <f>VLOOKUP($A2640,[1]LISTA!$B:$C,2,0)</f>
        <v>NOVIEMBRE</v>
      </c>
      <c r="C2640" s="1">
        <v>2025</v>
      </c>
      <c r="D2640" s="1" t="str">
        <f>IF($A2640&lt;=[1]RESULTADOS!$D$6,"YTD","YTG")</f>
        <v>YTG</v>
      </c>
      <c r="E2640" t="s">
        <v>732</v>
      </c>
      <c r="F2640" t="s">
        <v>667</v>
      </c>
      <c r="G2640" t="s">
        <v>667</v>
      </c>
      <c r="H2640" t="s">
        <v>668</v>
      </c>
      <c r="I2640" t="s">
        <v>440</v>
      </c>
      <c r="J2640" t="str">
        <f>IFERROR(VLOOKUP(I2640,[1]AUTOS!$C:$G,2,0),"")</f>
        <v>AVEO</v>
      </c>
      <c r="K2640">
        <f>IFERROR(VLOOKUP(I2640,[1]AUTOS!$C:$G,3,0),"")</f>
        <v>2021</v>
      </c>
      <c r="L2640" t="str">
        <f>IFERROR(VLOOKUP(I2640,[1]AUTOS!$C:$G,4,0),"")</f>
        <v>GRIS</v>
      </c>
      <c r="N2640" s="3">
        <v>3580.1400000000003</v>
      </c>
      <c r="O2640" s="3">
        <v>1785.71</v>
      </c>
      <c r="P2640" s="3">
        <v>2142.85</v>
      </c>
      <c r="Q2640" s="3">
        <v>357.14</v>
      </c>
    </row>
    <row r="2641" spans="1:17" hidden="1" x14ac:dyDescent="0.3">
      <c r="A2641">
        <v>48</v>
      </c>
      <c r="B2641" t="str">
        <f>VLOOKUP($A2641,[1]LISTA!$B:$C,2,0)</f>
        <v>NOVIEMBRE</v>
      </c>
      <c r="C2641" s="1">
        <v>2025</v>
      </c>
      <c r="D2641" s="1" t="str">
        <f>IF($A2641&lt;=[1]RESULTADOS!$D$6,"YTD","YTG")</f>
        <v>YTG</v>
      </c>
      <c r="E2641" t="s">
        <v>486</v>
      </c>
      <c r="F2641" t="s">
        <v>667</v>
      </c>
      <c r="G2641" t="s">
        <v>667</v>
      </c>
      <c r="H2641" t="s">
        <v>668</v>
      </c>
      <c r="I2641" t="s">
        <v>733</v>
      </c>
      <c r="J2641" t="str">
        <f>IFERROR(VLOOKUP(I2641,[1]AUTOS!$C:$G,2,0),"")</f>
        <v>AVEO</v>
      </c>
      <c r="K2641">
        <f>IFERROR(VLOOKUP(I2641,[1]AUTOS!$C:$G,3,0),"")</f>
        <v>2025</v>
      </c>
      <c r="L2641" t="str">
        <f>IFERROR(VLOOKUP(I2641,[1]AUTOS!$C:$G,4,0),"")</f>
        <v>PERSUASION</v>
      </c>
      <c r="N2641" s="3">
        <v>1273.07</v>
      </c>
      <c r="O2641" s="3">
        <v>1542.85</v>
      </c>
      <c r="P2641" s="3">
        <v>1793.07</v>
      </c>
      <c r="Q2641" s="3">
        <v>0</v>
      </c>
    </row>
    <row r="2642" spans="1:17" hidden="1" x14ac:dyDescent="0.3">
      <c r="A2642">
        <v>48</v>
      </c>
      <c r="B2642" t="str">
        <f>VLOOKUP($A2642,[1]LISTA!$B:$C,2,0)</f>
        <v>NOVIEMBRE</v>
      </c>
      <c r="C2642" s="1">
        <v>2025</v>
      </c>
      <c r="D2642" s="1" t="str">
        <f>IF($A2642&lt;=[1]RESULTADOS!$D$6,"YTD","YTG")</f>
        <v>YTG</v>
      </c>
      <c r="E2642" t="s">
        <v>486</v>
      </c>
      <c r="F2642" t="s">
        <v>667</v>
      </c>
      <c r="G2642" t="s">
        <v>667</v>
      </c>
      <c r="H2642" t="s">
        <v>668</v>
      </c>
      <c r="I2642" t="s">
        <v>34</v>
      </c>
      <c r="J2642" t="str">
        <f>IFERROR(VLOOKUP(I2642,[1]AUTOS!$C:$G,2,0),"")</f>
        <v>AVEO</v>
      </c>
      <c r="K2642">
        <f>IFERROR(VLOOKUP(I2642,[1]AUTOS!$C:$G,3,0),"")</f>
        <v>2018</v>
      </c>
      <c r="L2642" t="str">
        <f>IFERROR(VLOOKUP(I2642,[1]AUTOS!$C:$G,4,0),"")</f>
        <v>ROJO</v>
      </c>
      <c r="N2642" s="3">
        <v>1761.6200000000001</v>
      </c>
      <c r="O2642" s="3">
        <v>1071.42</v>
      </c>
      <c r="P2642" s="3">
        <v>1157.6600000000001</v>
      </c>
      <c r="Q2642" s="3">
        <v>0</v>
      </c>
    </row>
    <row r="2643" spans="1:17" hidden="1" x14ac:dyDescent="0.3">
      <c r="A2643">
        <v>48</v>
      </c>
      <c r="B2643" t="str">
        <f>VLOOKUP($A2643,[1]LISTA!$B:$C,2,0)</f>
        <v>NOVIEMBRE</v>
      </c>
      <c r="C2643" s="1">
        <v>2025</v>
      </c>
      <c r="D2643" s="1" t="str">
        <f>IF($A2643&lt;=[1]RESULTADOS!$D$6,"YTD","YTG")</f>
        <v>YTG</v>
      </c>
      <c r="E2643" t="s">
        <v>417</v>
      </c>
      <c r="F2643" t="s">
        <v>667</v>
      </c>
      <c r="G2643" t="s">
        <v>667</v>
      </c>
      <c r="H2643" t="s">
        <v>668</v>
      </c>
      <c r="I2643" t="s">
        <v>61</v>
      </c>
      <c r="J2643" t="str">
        <f>IFERROR(VLOOKUP(I2643,[1]AUTOS!$C:$G,2,0),"")</f>
        <v>KIA RIO</v>
      </c>
      <c r="K2643">
        <f>IFERROR(VLOOKUP(I2643,[1]AUTOS!$C:$G,3,0),"")</f>
        <v>2017</v>
      </c>
      <c r="L2643" t="str">
        <f>IFERROR(VLOOKUP(I2643,[1]AUTOS!$C:$G,4,0),"")</f>
        <v>ROJO</v>
      </c>
      <c r="N2643" s="3">
        <v>1985.6499999999996</v>
      </c>
      <c r="O2643" s="3">
        <v>2500</v>
      </c>
      <c r="P2643" s="3">
        <v>1985.6499999999996</v>
      </c>
      <c r="Q2643" s="3">
        <v>500</v>
      </c>
    </row>
    <row r="2644" spans="1:17" hidden="1" x14ac:dyDescent="0.3">
      <c r="A2644">
        <v>48</v>
      </c>
      <c r="B2644" t="str">
        <f>VLOOKUP($A2644,[1]LISTA!$B:$C,2,0)</f>
        <v>NOVIEMBRE</v>
      </c>
      <c r="C2644" s="1">
        <v>2025</v>
      </c>
      <c r="D2644" s="1" t="str">
        <f>IF($A2644&lt;=[1]RESULTADOS!$D$6,"YTD","YTG")</f>
        <v>YTG</v>
      </c>
      <c r="E2644" t="s">
        <v>717</v>
      </c>
      <c r="F2644" t="s">
        <v>667</v>
      </c>
      <c r="G2644" t="s">
        <v>667</v>
      </c>
      <c r="H2644" t="s">
        <v>668</v>
      </c>
      <c r="I2644" t="s">
        <v>37</v>
      </c>
      <c r="J2644" t="str">
        <f>IFERROR(VLOOKUP(I2644,[1]AUTOS!$C:$G,2,0),"")</f>
        <v>BEAT</v>
      </c>
      <c r="K2644">
        <f>IFERROR(VLOOKUP(I2644,[1]AUTOS!$C:$G,3,0),"")</f>
        <v>2020</v>
      </c>
      <c r="L2644" t="str">
        <f>IFERROR(VLOOKUP(I2644,[1]AUTOS!$C:$G,4,0),"")</f>
        <v>GRIS</v>
      </c>
      <c r="N2644" s="3">
        <v>2092.04</v>
      </c>
      <c r="O2644" s="3">
        <v>2500</v>
      </c>
      <c r="P2644" s="3">
        <v>2539.04</v>
      </c>
      <c r="Q2644" s="3">
        <v>0</v>
      </c>
    </row>
    <row r="2645" spans="1:17" hidden="1" x14ac:dyDescent="0.3">
      <c r="A2645">
        <v>48</v>
      </c>
      <c r="B2645" t="str">
        <f>VLOOKUP($A2645,[1]LISTA!$B:$C,2,0)</f>
        <v>NOVIEMBRE</v>
      </c>
      <c r="C2645" s="1">
        <v>2025</v>
      </c>
      <c r="D2645" s="1" t="str">
        <f>IF($A2645&lt;=[1]RESULTADOS!$D$6,"YTD","YTG")</f>
        <v>YTG</v>
      </c>
      <c r="E2645" t="s">
        <v>691</v>
      </c>
      <c r="F2645" t="s">
        <v>667</v>
      </c>
      <c r="G2645" t="s">
        <v>667</v>
      </c>
      <c r="H2645" t="s">
        <v>668</v>
      </c>
      <c r="I2645" t="s">
        <v>139</v>
      </c>
      <c r="J2645" t="str">
        <f>IFERROR(VLOOKUP(I2645,[1]AUTOS!$C:$G,2,0),"")</f>
        <v>SWIFT</v>
      </c>
      <c r="K2645">
        <f>IFERROR(VLOOKUP(I2645,[1]AUTOS!$C:$G,3,0),"")</f>
        <v>2017</v>
      </c>
      <c r="L2645" t="str">
        <f>IFERROR(VLOOKUP(I2645,[1]AUTOS!$C:$G,4,0),"")</f>
        <v>ROJO</v>
      </c>
      <c r="N2645" s="3">
        <v>3330.2100000000005</v>
      </c>
      <c r="O2645" s="3">
        <v>2500</v>
      </c>
      <c r="P2645" s="3">
        <v>2500</v>
      </c>
      <c r="Q2645" s="3">
        <v>0</v>
      </c>
    </row>
    <row r="2646" spans="1:17" hidden="1" x14ac:dyDescent="0.3">
      <c r="A2646">
        <v>48</v>
      </c>
      <c r="B2646" t="str">
        <f>VLOOKUP($A2646,[1]LISTA!$B:$C,2,0)</f>
        <v>NOVIEMBRE</v>
      </c>
      <c r="C2646" s="1">
        <v>2025</v>
      </c>
      <c r="D2646" s="1" t="str">
        <f>IF($A2646&lt;=[1]RESULTADOS!$D$6,"YTD","YTG")</f>
        <v>YTG</v>
      </c>
      <c r="E2646" t="s">
        <v>594</v>
      </c>
      <c r="F2646" t="s">
        <v>667</v>
      </c>
      <c r="G2646" t="s">
        <v>667</v>
      </c>
      <c r="H2646" t="s">
        <v>668</v>
      </c>
      <c r="I2646" t="s">
        <v>313</v>
      </c>
      <c r="J2646" t="str">
        <f>IFERROR(VLOOKUP(I2646,[1]AUTOS!$C:$G,2,0),"")</f>
        <v>MARCH</v>
      </c>
      <c r="K2646">
        <f>IFERROR(VLOOKUP(I2646,[1]AUTOS!$C:$G,3,0),"")</f>
        <v>2019</v>
      </c>
      <c r="L2646" t="str">
        <f>IFERROR(VLOOKUP(I2646,[1]AUTOS!$C:$G,4,0),"")</f>
        <v>TURQ</v>
      </c>
      <c r="M2646" t="s">
        <v>140</v>
      </c>
      <c r="N2646" s="3">
        <v>2309.2800000000002</v>
      </c>
      <c r="O2646" s="3">
        <v>2143</v>
      </c>
      <c r="P2646" s="3">
        <v>2643.28</v>
      </c>
      <c r="Q2646" s="3">
        <v>500</v>
      </c>
    </row>
    <row r="2647" spans="1:17" hidden="1" x14ac:dyDescent="0.3">
      <c r="A2647">
        <v>48</v>
      </c>
      <c r="B2647" t="str">
        <f>VLOOKUP($A2647,[1]LISTA!$B:$C,2,0)</f>
        <v>NOVIEMBRE</v>
      </c>
      <c r="C2647" s="1">
        <v>2025</v>
      </c>
      <c r="D2647" s="1" t="str">
        <f>IF($A2647&lt;=[1]RESULTADOS!$D$6,"YTD","YTG")</f>
        <v>YTG</v>
      </c>
      <c r="E2647" t="s">
        <v>734</v>
      </c>
      <c r="F2647" t="s">
        <v>667</v>
      </c>
      <c r="G2647" t="s">
        <v>667</v>
      </c>
      <c r="H2647" t="s">
        <v>668</v>
      </c>
      <c r="I2647" t="s">
        <v>34</v>
      </c>
      <c r="J2647" t="str">
        <f>IFERROR(VLOOKUP(I2647,[1]AUTOS!$C:$G,2,0),"")</f>
        <v>AVEO</v>
      </c>
      <c r="K2647">
        <f>IFERROR(VLOOKUP(I2647,[1]AUTOS!$C:$G,3,0),"")</f>
        <v>2018</v>
      </c>
      <c r="L2647" t="str">
        <f>IFERROR(VLOOKUP(I2647,[1]AUTOS!$C:$G,4,0),"")</f>
        <v>ROJO</v>
      </c>
      <c r="N2647" s="3">
        <v>1129.3699999999999</v>
      </c>
      <c r="O2647" s="3">
        <v>1249</v>
      </c>
      <c r="P2647" s="3">
        <v>3238.37</v>
      </c>
      <c r="Q2647" s="3">
        <v>2000</v>
      </c>
    </row>
    <row r="2648" spans="1:17" hidden="1" x14ac:dyDescent="0.3">
      <c r="A2648">
        <v>48</v>
      </c>
      <c r="B2648" t="str">
        <f>VLOOKUP($A2648,[1]LISTA!$B:$C,2,0)</f>
        <v>NOVIEMBRE</v>
      </c>
      <c r="C2648" s="1">
        <v>2025</v>
      </c>
      <c r="D2648" s="1" t="str">
        <f>IF($A2648&lt;=[1]RESULTADOS!$D$6,"YTD","YTG")</f>
        <v>YTG</v>
      </c>
      <c r="E2648" t="s">
        <v>456</v>
      </c>
      <c r="F2648" t="s">
        <v>667</v>
      </c>
      <c r="G2648" t="s">
        <v>667</v>
      </c>
      <c r="H2648" t="s">
        <v>668</v>
      </c>
      <c r="I2648" t="s">
        <v>146</v>
      </c>
      <c r="J2648" t="str">
        <f>IFERROR(VLOOKUP(I2648,[1]AUTOS!$C:$G,2,0),"")</f>
        <v>KIA RIO</v>
      </c>
      <c r="K2648">
        <f>IFERROR(VLOOKUP(I2648,[1]AUTOS!$C:$G,3,0),"")</f>
        <v>2023</v>
      </c>
      <c r="L2648" t="str">
        <f>IFERROR(VLOOKUP(I2648,[1]AUTOS!$C:$G,4,0),"")</f>
        <v>ROJO</v>
      </c>
      <c r="N2648" s="3">
        <v>5595.2399999999989</v>
      </c>
      <c r="O2648" s="3">
        <v>2500</v>
      </c>
      <c r="P2648" s="3">
        <v>3200</v>
      </c>
      <c r="Q2648" s="3">
        <v>0</v>
      </c>
    </row>
    <row r="2649" spans="1:17" hidden="1" x14ac:dyDescent="0.3">
      <c r="A2649">
        <v>48</v>
      </c>
      <c r="B2649" t="str">
        <f>VLOOKUP($A2649,[1]LISTA!$B:$C,2,0)</f>
        <v>NOVIEMBRE</v>
      </c>
      <c r="C2649" s="1">
        <v>2025</v>
      </c>
      <c r="D2649" s="1" t="str">
        <f>IF($A2649&lt;=[1]RESULTADOS!$D$6,"YTD","YTG")</f>
        <v>YTG</v>
      </c>
      <c r="E2649" t="s">
        <v>703</v>
      </c>
      <c r="F2649" t="s">
        <v>667</v>
      </c>
      <c r="G2649" t="s">
        <v>667</v>
      </c>
      <c r="H2649" t="s">
        <v>668</v>
      </c>
      <c r="I2649" t="s">
        <v>182</v>
      </c>
      <c r="J2649" t="str">
        <f>IFERROR(VLOOKUP(I2649,[1]AUTOS!$C:$G,2,0),"")</f>
        <v>AVEO</v>
      </c>
      <c r="K2649">
        <f>IFERROR(VLOOKUP(I2649,[1]AUTOS!$C:$G,3,0),"")</f>
        <v>2020</v>
      </c>
      <c r="L2649" t="str">
        <f>IFERROR(VLOOKUP(I2649,[1]AUTOS!$C:$G,4,0),"")</f>
        <v>AZUL</v>
      </c>
      <c r="N2649" s="3">
        <v>0</v>
      </c>
      <c r="O2649" s="3">
        <v>0</v>
      </c>
      <c r="P2649" s="3">
        <v>-500</v>
      </c>
      <c r="Q2649" s="3">
        <v>-500</v>
      </c>
    </row>
    <row r="2650" spans="1:17" hidden="1" x14ac:dyDescent="0.3">
      <c r="A2650">
        <v>48</v>
      </c>
      <c r="B2650" t="str">
        <f>VLOOKUP($A2650,[1]LISTA!$B:$C,2,0)</f>
        <v>NOVIEMBRE</v>
      </c>
      <c r="C2650" s="1">
        <v>2025</v>
      </c>
      <c r="D2650" s="1" t="str">
        <f>IF($A2650&lt;=[1]RESULTADOS!$D$6,"YTD","YTG")</f>
        <v>YTG</v>
      </c>
      <c r="E2650" t="s">
        <v>735</v>
      </c>
      <c r="F2650" t="s">
        <v>667</v>
      </c>
      <c r="G2650" t="s">
        <v>667</v>
      </c>
      <c r="H2650" t="s">
        <v>668</v>
      </c>
      <c r="I2650" t="s">
        <v>102</v>
      </c>
      <c r="J2650" t="str">
        <f>IFERROR(VLOOKUP(I2650,[1]AUTOS!$C:$G,2,0),"")</f>
        <v>AVEO</v>
      </c>
      <c r="K2650">
        <f>IFERROR(VLOOKUP(I2650,[1]AUTOS!$C:$G,3,0),"")</f>
        <v>2022</v>
      </c>
      <c r="L2650" t="str">
        <f>IFERROR(VLOOKUP(I2650,[1]AUTOS!$C:$G,4,0),"")</f>
        <v>AZUL</v>
      </c>
      <c r="N2650" s="3">
        <v>4229.07</v>
      </c>
      <c r="O2650" s="3">
        <v>1786</v>
      </c>
      <c r="P2650" s="3">
        <v>2143</v>
      </c>
      <c r="Q2650" s="3">
        <v>357</v>
      </c>
    </row>
    <row r="2651" spans="1:17" hidden="1" x14ac:dyDescent="0.3">
      <c r="A2651">
        <v>40</v>
      </c>
      <c r="B2651" t="str">
        <f>VLOOKUP($A2651,[1]LISTA!$B:$C,2,0)</f>
        <v>OCTUBRE</v>
      </c>
      <c r="C2651" s="1">
        <v>2025</v>
      </c>
      <c r="D2651" s="1" t="str">
        <f>IF($A2651&lt;=[1]RESULTADOS!$D$6,"YTD","YTG")</f>
        <v>YTG</v>
      </c>
      <c r="E2651" s="5" t="s">
        <v>633</v>
      </c>
      <c r="F2651" t="s">
        <v>18</v>
      </c>
      <c r="G2651" t="s">
        <v>87</v>
      </c>
      <c r="H2651" t="s">
        <v>521</v>
      </c>
      <c r="I2651" t="s">
        <v>46</v>
      </c>
      <c r="J2651" t="str">
        <f>IFERROR(VLOOKUP(I2651,[1]AUTOS!$C:$G,2,0),"")</f>
        <v>MARCH</v>
      </c>
      <c r="K2651">
        <f>IFERROR(VLOOKUP(I2651,[1]AUTOS!$C:$G,3,0),"")</f>
        <v>2020</v>
      </c>
      <c r="L2651" t="str">
        <f>IFERROR(VLOOKUP(I2651,[1]AUTOS!$C:$G,4,0),"")</f>
        <v>TURQ</v>
      </c>
      <c r="P2651" s="3">
        <v>-1750</v>
      </c>
    </row>
    <row r="2652" spans="1:17" hidden="1" x14ac:dyDescent="0.3">
      <c r="A2652">
        <v>40</v>
      </c>
      <c r="B2652" t="str">
        <f>VLOOKUP($A2652,[1]LISTA!$B:$C,2,0)</f>
        <v>OCTUBRE</v>
      </c>
      <c r="C2652" s="1">
        <v>2025</v>
      </c>
      <c r="D2652" s="1" t="str">
        <f>IF($A2652&lt;=[1]RESULTADOS!$D$6,"YTD","YTG")</f>
        <v>YTG</v>
      </c>
      <c r="E2652" t="s">
        <v>17</v>
      </c>
      <c r="F2652" t="s">
        <v>18</v>
      </c>
      <c r="G2652" t="s">
        <v>29</v>
      </c>
      <c r="H2652" t="s">
        <v>568</v>
      </c>
      <c r="I2652" t="s">
        <v>21</v>
      </c>
      <c r="J2652" t="str">
        <f>IFERROR(VLOOKUP(I2652,[1]AUTOS!$C:$G,2,0),"")</f>
        <v/>
      </c>
      <c r="K2652" t="str">
        <f>IFERROR(VLOOKUP(I2652,[1]AUTOS!$C:$G,3,0),"")</f>
        <v/>
      </c>
      <c r="L2652" t="str">
        <f>IFERROR(VLOOKUP(I2652,[1]AUTOS!$C:$G,4,0),"")</f>
        <v/>
      </c>
      <c r="P2652" s="3">
        <v>-2442</v>
      </c>
    </row>
    <row r="2653" spans="1:17" hidden="1" x14ac:dyDescent="0.3">
      <c r="A2653">
        <v>40</v>
      </c>
      <c r="B2653" t="str">
        <f>VLOOKUP($A2653,[1]LISTA!$B:$C,2,0)</f>
        <v>OCTUBRE</v>
      </c>
      <c r="C2653" s="1">
        <v>2025</v>
      </c>
      <c r="D2653" s="1" t="str">
        <f>IF($A2653&lt;=[1]RESULTADOS!$D$6,"YTD","YTG")</f>
        <v>YTG</v>
      </c>
      <c r="E2653" t="s">
        <v>17</v>
      </c>
      <c r="F2653" t="s">
        <v>18</v>
      </c>
      <c r="G2653" t="s">
        <v>29</v>
      </c>
      <c r="H2653" t="s">
        <v>569</v>
      </c>
      <c r="I2653" t="s">
        <v>21</v>
      </c>
      <c r="J2653" t="str">
        <f>IFERROR(VLOOKUP(I2653,[1]AUTOS!$C:$G,2,0),"")</f>
        <v/>
      </c>
      <c r="K2653" t="str">
        <f>IFERROR(VLOOKUP(I2653,[1]AUTOS!$C:$G,3,0),"")</f>
        <v/>
      </c>
      <c r="L2653" t="str">
        <f>IFERROR(VLOOKUP(I2653,[1]AUTOS!$C:$G,4,0),"")</f>
        <v/>
      </c>
      <c r="P2653" s="3">
        <v>-1500</v>
      </c>
    </row>
    <row r="2654" spans="1:17" hidden="1" x14ac:dyDescent="0.3">
      <c r="A2654">
        <v>42</v>
      </c>
      <c r="B2654" t="str">
        <f>VLOOKUP($A2654,[1]LISTA!$B:$C,2,0)</f>
        <v>OCTUBRE</v>
      </c>
      <c r="C2654" s="1">
        <v>2025</v>
      </c>
      <c r="D2654" s="1" t="str">
        <f>IF($A2654&lt;=[1]RESULTADOS!$D$6,"YTD","YTG")</f>
        <v>YTG</v>
      </c>
      <c r="E2654" t="s">
        <v>17</v>
      </c>
      <c r="F2654" t="s">
        <v>18</v>
      </c>
      <c r="G2654" t="s">
        <v>141</v>
      </c>
      <c r="H2654" t="s">
        <v>604</v>
      </c>
      <c r="I2654" t="s">
        <v>578</v>
      </c>
      <c r="J2654" t="str">
        <f>IFERROR(VLOOKUP(I2654,[1]AUTOS!$C:$G,2,0),"")</f>
        <v/>
      </c>
      <c r="K2654" t="str">
        <f>IFERROR(VLOOKUP(I2654,[1]AUTOS!$C:$G,3,0),"")</f>
        <v/>
      </c>
      <c r="L2654" t="str">
        <f>IFERROR(VLOOKUP(I2654,[1]AUTOS!$C:$G,4,0),"")</f>
        <v/>
      </c>
      <c r="P2654" s="3">
        <v>-1050</v>
      </c>
    </row>
    <row r="2655" spans="1:17" hidden="1" x14ac:dyDescent="0.3">
      <c r="A2655">
        <v>42</v>
      </c>
      <c r="B2655" t="str">
        <f>VLOOKUP($A2655,[1]LISTA!$B:$C,2,0)</f>
        <v>OCTUBRE</v>
      </c>
      <c r="C2655" s="1">
        <v>2025</v>
      </c>
      <c r="D2655" s="1" t="str">
        <f>IF($A2655&lt;=[1]RESULTADOS!$D$6,"YTD","YTG")</f>
        <v>YTG</v>
      </c>
      <c r="E2655" s="5" t="s">
        <v>633</v>
      </c>
      <c r="F2655" t="s">
        <v>18</v>
      </c>
      <c r="G2655" t="s">
        <v>176</v>
      </c>
      <c r="H2655" t="s">
        <v>629</v>
      </c>
      <c r="I2655" t="s">
        <v>46</v>
      </c>
      <c r="J2655" t="str">
        <f>IFERROR(VLOOKUP(I2655,[1]AUTOS!$C:$G,2,0),"")</f>
        <v>MARCH</v>
      </c>
      <c r="K2655">
        <f>IFERROR(VLOOKUP(I2655,[1]AUTOS!$C:$G,3,0),"")</f>
        <v>2020</v>
      </c>
      <c r="L2655" t="str">
        <f>IFERROR(VLOOKUP(I2655,[1]AUTOS!$C:$G,4,0),"")</f>
        <v>TURQ</v>
      </c>
      <c r="P2655" s="3">
        <v>-150</v>
      </c>
    </row>
    <row r="2656" spans="1:17" hidden="1" x14ac:dyDescent="0.3">
      <c r="A2656">
        <v>42</v>
      </c>
      <c r="B2656" t="str">
        <f>VLOOKUP($A2656,[1]LISTA!$B:$C,2,0)</f>
        <v>OCTUBRE</v>
      </c>
      <c r="C2656" s="1">
        <v>2025</v>
      </c>
      <c r="D2656" s="1" t="str">
        <f>IF($A2656&lt;=[1]RESULTADOS!$D$6,"YTD","YTG")</f>
        <v>YTG</v>
      </c>
      <c r="E2656" s="5" t="s">
        <v>633</v>
      </c>
      <c r="F2656" t="s">
        <v>18</v>
      </c>
      <c r="G2656" t="s">
        <v>176</v>
      </c>
      <c r="H2656" t="s">
        <v>634</v>
      </c>
      <c r="I2656" t="s">
        <v>46</v>
      </c>
      <c r="J2656" t="str">
        <f>IFERROR(VLOOKUP(I2656,[1]AUTOS!$C:$G,2,0),"")</f>
        <v>MARCH</v>
      </c>
      <c r="K2656">
        <f>IFERROR(VLOOKUP(I2656,[1]AUTOS!$C:$G,3,0),"")</f>
        <v>2020</v>
      </c>
      <c r="L2656" t="str">
        <f>IFERROR(VLOOKUP(I2656,[1]AUTOS!$C:$G,4,0),"")</f>
        <v>TURQ</v>
      </c>
      <c r="P2656" s="3">
        <v>-184</v>
      </c>
    </row>
    <row r="2657" spans="1:16" hidden="1" x14ac:dyDescent="0.3">
      <c r="A2657">
        <v>42</v>
      </c>
      <c r="B2657" t="str">
        <f>VLOOKUP($A2657,[1]LISTA!$B:$C,2,0)</f>
        <v>OCTUBRE</v>
      </c>
      <c r="C2657" s="1">
        <v>2025</v>
      </c>
      <c r="D2657" s="1" t="str">
        <f>IF($A2657&lt;=[1]RESULTADOS!$D$6,"YTD","YTG")</f>
        <v>YTG</v>
      </c>
      <c r="E2657" s="5" t="s">
        <v>721</v>
      </c>
      <c r="F2657" t="s">
        <v>18</v>
      </c>
      <c r="G2657" t="s">
        <v>29</v>
      </c>
      <c r="H2657" t="s">
        <v>736</v>
      </c>
      <c r="I2657" t="s">
        <v>46</v>
      </c>
      <c r="J2657" t="str">
        <f>IFERROR(VLOOKUP(I2657,[1]AUTOS!$C:$G,2,0),"")</f>
        <v>MARCH</v>
      </c>
      <c r="K2657">
        <f>IFERROR(VLOOKUP(I2657,[1]AUTOS!$C:$G,3,0),"")</f>
        <v>2020</v>
      </c>
      <c r="L2657" t="str">
        <f>IFERROR(VLOOKUP(I2657,[1]AUTOS!$C:$G,4,0),"")</f>
        <v>TURQ</v>
      </c>
      <c r="P2657" s="3">
        <v>-200</v>
      </c>
    </row>
    <row r="2658" spans="1:16" hidden="1" x14ac:dyDescent="0.3">
      <c r="A2658">
        <v>43</v>
      </c>
      <c r="B2658" t="str">
        <f>VLOOKUP($A2658,[1]LISTA!$B:$C,2,0)</f>
        <v>OCTUBRE</v>
      </c>
      <c r="C2658" s="1">
        <v>2025</v>
      </c>
      <c r="D2658" s="1" t="str">
        <f>IF($A2658&lt;=[1]RESULTADOS!$D$6,"YTD","YTG")</f>
        <v>YTG</v>
      </c>
      <c r="E2658" s="5" t="s">
        <v>721</v>
      </c>
      <c r="F2658" t="s">
        <v>18</v>
      </c>
      <c r="G2658" t="s">
        <v>29</v>
      </c>
      <c r="H2658" t="s">
        <v>113</v>
      </c>
      <c r="I2658" t="s">
        <v>46</v>
      </c>
      <c r="J2658" t="str">
        <f>IFERROR(VLOOKUP(I2658,[1]AUTOS!$C:$G,2,0),"")</f>
        <v>MARCH</v>
      </c>
      <c r="K2658">
        <f>IFERROR(VLOOKUP(I2658,[1]AUTOS!$C:$G,3,0),"")</f>
        <v>2020</v>
      </c>
      <c r="L2658" t="str">
        <f>IFERROR(VLOOKUP(I2658,[1]AUTOS!$C:$G,4,0),"")</f>
        <v>TURQ</v>
      </c>
      <c r="P2658" s="3">
        <v>-200</v>
      </c>
    </row>
    <row r="2659" spans="1:16" hidden="1" x14ac:dyDescent="0.3">
      <c r="A2659">
        <v>43</v>
      </c>
      <c r="B2659" t="str">
        <f>VLOOKUP($A2659,[1]LISTA!$B:$C,2,0)</f>
        <v>OCTUBRE</v>
      </c>
      <c r="C2659" s="1">
        <v>2025</v>
      </c>
      <c r="D2659" s="1" t="str">
        <f>IF($A2659&lt;=[1]RESULTADOS!$D$6,"YTD","YTG")</f>
        <v>YTG</v>
      </c>
      <c r="E2659" s="5" t="s">
        <v>715</v>
      </c>
      <c r="F2659" t="s">
        <v>18</v>
      </c>
      <c r="G2659" t="s">
        <v>57</v>
      </c>
      <c r="H2659" t="s">
        <v>737</v>
      </c>
      <c r="I2659" t="s">
        <v>73</v>
      </c>
      <c r="J2659" t="str">
        <f>IFERROR(VLOOKUP(I2659,[1]AUTOS!$C:$G,2,0),"")</f>
        <v>VERSA</v>
      </c>
      <c r="K2659">
        <f>IFERROR(VLOOKUP(I2659,[1]AUTOS!$C:$G,3,0),"")</f>
        <v>2023</v>
      </c>
      <c r="L2659" t="str">
        <f>IFERROR(VLOOKUP(I2659,[1]AUTOS!$C:$G,4,0),"")</f>
        <v>PLATA</v>
      </c>
      <c r="P2659" s="3">
        <v>-750</v>
      </c>
    </row>
    <row r="2660" spans="1:16" hidden="1" x14ac:dyDescent="0.3">
      <c r="A2660">
        <v>43</v>
      </c>
      <c r="B2660" t="str">
        <f>VLOOKUP($A2660,[1]LISTA!$B:$C,2,0)</f>
        <v>OCTUBRE</v>
      </c>
      <c r="C2660" s="1">
        <v>2025</v>
      </c>
      <c r="D2660" s="1" t="str">
        <f>IF($A2660&lt;=[1]RESULTADOS!$D$6,"YTD","YTG")</f>
        <v>YTG</v>
      </c>
      <c r="E2660" s="5" t="s">
        <v>715</v>
      </c>
      <c r="F2660" t="s">
        <v>18</v>
      </c>
      <c r="G2660" t="s">
        <v>57</v>
      </c>
      <c r="H2660" t="s">
        <v>289</v>
      </c>
      <c r="I2660" t="s">
        <v>73</v>
      </c>
      <c r="J2660" t="str">
        <f>IFERROR(VLOOKUP(I2660,[1]AUTOS!$C:$G,2,0),"")</f>
        <v>VERSA</v>
      </c>
      <c r="K2660">
        <f>IFERROR(VLOOKUP(I2660,[1]AUTOS!$C:$G,3,0),"")</f>
        <v>2023</v>
      </c>
      <c r="L2660" t="str">
        <f>IFERROR(VLOOKUP(I2660,[1]AUTOS!$C:$G,4,0),"")</f>
        <v>PLATA</v>
      </c>
      <c r="P2660" s="3">
        <v>-550</v>
      </c>
    </row>
    <row r="2661" spans="1:16" hidden="1" x14ac:dyDescent="0.3">
      <c r="A2661">
        <v>43</v>
      </c>
      <c r="B2661" t="str">
        <f>VLOOKUP($A2661,[1]LISTA!$B:$C,2,0)</f>
        <v>OCTUBRE</v>
      </c>
      <c r="C2661" s="1">
        <v>2025</v>
      </c>
      <c r="D2661" s="1" t="str">
        <f>IF($A2661&lt;=[1]RESULTADOS!$D$6,"YTD","YTG")</f>
        <v>YTG</v>
      </c>
      <c r="E2661" s="5" t="s">
        <v>715</v>
      </c>
      <c r="F2661" t="s">
        <v>18</v>
      </c>
      <c r="G2661" t="s">
        <v>57</v>
      </c>
      <c r="H2661" t="s">
        <v>586</v>
      </c>
      <c r="I2661" t="s">
        <v>73</v>
      </c>
      <c r="J2661" t="str">
        <f>IFERROR(VLOOKUP(I2661,[1]AUTOS!$C:$G,2,0),"")</f>
        <v>VERSA</v>
      </c>
      <c r="K2661">
        <f>IFERROR(VLOOKUP(I2661,[1]AUTOS!$C:$G,3,0),"")</f>
        <v>2023</v>
      </c>
      <c r="L2661" t="str">
        <f>IFERROR(VLOOKUP(I2661,[1]AUTOS!$C:$G,4,0),"")</f>
        <v>PLATA</v>
      </c>
      <c r="P2661" s="3">
        <v>-100</v>
      </c>
    </row>
    <row r="2662" spans="1:16" hidden="1" x14ac:dyDescent="0.3">
      <c r="A2662">
        <v>43</v>
      </c>
      <c r="B2662" t="str">
        <f>VLOOKUP($A2662,[1]LISTA!$B:$C,2,0)</f>
        <v>OCTUBRE</v>
      </c>
      <c r="C2662" s="1">
        <v>2025</v>
      </c>
      <c r="D2662" s="1" t="str">
        <f>IF($A2662&lt;=[1]RESULTADOS!$D$6,"YTD","YTG")</f>
        <v>YTG</v>
      </c>
      <c r="E2662" t="s">
        <v>17</v>
      </c>
      <c r="F2662" t="s">
        <v>18</v>
      </c>
      <c r="G2662" t="s">
        <v>29</v>
      </c>
      <c r="H2662" t="s">
        <v>738</v>
      </c>
      <c r="I2662" t="s">
        <v>21</v>
      </c>
      <c r="J2662" t="str">
        <f>IFERROR(VLOOKUP(I2662,[1]AUTOS!$C:$G,2,0),"")</f>
        <v/>
      </c>
      <c r="K2662" t="str">
        <f>IFERROR(VLOOKUP(I2662,[1]AUTOS!$C:$G,3,0),"")</f>
        <v/>
      </c>
      <c r="L2662" t="str">
        <f>IFERROR(VLOOKUP(I2662,[1]AUTOS!$C:$G,4,0),"")</f>
        <v/>
      </c>
      <c r="P2662" s="3">
        <v>-250</v>
      </c>
    </row>
    <row r="2663" spans="1:16" hidden="1" x14ac:dyDescent="0.3">
      <c r="A2663">
        <v>43</v>
      </c>
      <c r="B2663" t="str">
        <f>VLOOKUP($A2663,[1]LISTA!$B:$C,2,0)</f>
        <v>OCTUBRE</v>
      </c>
      <c r="C2663" s="1">
        <v>2025</v>
      </c>
      <c r="D2663" s="1" t="str">
        <f>IF($A2663&lt;=[1]RESULTADOS!$D$6,"YTD","YTG")</f>
        <v>YTG</v>
      </c>
      <c r="E2663" t="s">
        <v>17</v>
      </c>
      <c r="F2663" t="s">
        <v>18</v>
      </c>
      <c r="G2663" t="s">
        <v>27</v>
      </c>
      <c r="H2663" t="s">
        <v>551</v>
      </c>
      <c r="I2663" t="s">
        <v>21</v>
      </c>
      <c r="J2663" t="str">
        <f>IFERROR(VLOOKUP(I2663,[1]AUTOS!$C:$G,2,0),"")</f>
        <v/>
      </c>
      <c r="K2663" t="str">
        <f>IFERROR(VLOOKUP(I2663,[1]AUTOS!$C:$G,3,0),"")</f>
        <v/>
      </c>
      <c r="L2663" t="str">
        <f>IFERROR(VLOOKUP(I2663,[1]AUTOS!$C:$G,4,0),"")</f>
        <v/>
      </c>
      <c r="P2663" s="3">
        <v>-400</v>
      </c>
    </row>
    <row r="2664" spans="1:16" hidden="1" x14ac:dyDescent="0.3">
      <c r="A2664">
        <v>43</v>
      </c>
      <c r="B2664" t="str">
        <f>VLOOKUP($A2664,[1]LISTA!$B:$C,2,0)</f>
        <v>OCTUBRE</v>
      </c>
      <c r="C2664" s="1">
        <v>2025</v>
      </c>
      <c r="D2664" s="1" t="str">
        <f>IF($A2664&lt;=[1]RESULTADOS!$D$6,"YTD","YTG")</f>
        <v>YTG</v>
      </c>
      <c r="E2664" t="s">
        <v>17</v>
      </c>
      <c r="F2664" t="s">
        <v>18</v>
      </c>
      <c r="G2664" t="s">
        <v>23</v>
      </c>
      <c r="H2664" t="s">
        <v>739</v>
      </c>
      <c r="I2664" t="s">
        <v>21</v>
      </c>
      <c r="J2664" t="str">
        <f>IFERROR(VLOOKUP(I2664,[1]AUTOS!$C:$G,2,0),"")</f>
        <v/>
      </c>
      <c r="K2664" t="str">
        <f>IFERROR(VLOOKUP(I2664,[1]AUTOS!$C:$G,3,0),"")</f>
        <v/>
      </c>
      <c r="L2664" t="str">
        <f>IFERROR(VLOOKUP(I2664,[1]AUTOS!$C:$G,4,0),"")</f>
        <v/>
      </c>
      <c r="P2664" s="3">
        <v>-35</v>
      </c>
    </row>
    <row r="2665" spans="1:16" hidden="1" x14ac:dyDescent="0.3">
      <c r="A2665">
        <v>43</v>
      </c>
      <c r="B2665" t="str">
        <f>VLOOKUP($A2665,[1]LISTA!$B:$C,2,0)</f>
        <v>OCTUBRE</v>
      </c>
      <c r="C2665" s="1">
        <v>2025</v>
      </c>
      <c r="D2665" s="1" t="str">
        <f>IF($A2665&lt;=[1]RESULTADOS!$D$6,"YTD","YTG")</f>
        <v>YTG</v>
      </c>
      <c r="E2665" t="s">
        <v>17</v>
      </c>
      <c r="F2665" t="s">
        <v>18</v>
      </c>
      <c r="G2665" t="s">
        <v>158</v>
      </c>
      <c r="H2665" t="s">
        <v>740</v>
      </c>
      <c r="I2665" t="s">
        <v>728</v>
      </c>
      <c r="J2665" t="str">
        <f>IFERROR(VLOOKUP(I2665,[1]AUTOS!$C:$G,2,0),"")</f>
        <v>AVEO</v>
      </c>
      <c r="K2665">
        <f>IFERROR(VLOOKUP(I2665,[1]AUTOS!$C:$G,3,0),"")</f>
        <v>2025</v>
      </c>
      <c r="L2665" t="str">
        <f>IFERROR(VLOOKUP(I2665,[1]AUTOS!$C:$G,4,0),"")</f>
        <v>PERSUASION</v>
      </c>
      <c r="P2665" s="3">
        <v>-80</v>
      </c>
    </row>
    <row r="2666" spans="1:16" hidden="1" x14ac:dyDescent="0.3">
      <c r="A2666">
        <v>43</v>
      </c>
      <c r="B2666" t="str">
        <f>VLOOKUP($A2666,[1]LISTA!$B:$C,2,0)</f>
        <v>OCTUBRE</v>
      </c>
      <c r="C2666" s="1">
        <v>2025</v>
      </c>
      <c r="D2666" s="1" t="str">
        <f>IF($A2666&lt;=[1]RESULTADOS!$D$6,"YTD","YTG")</f>
        <v>YTG</v>
      </c>
      <c r="E2666" t="s">
        <v>17</v>
      </c>
      <c r="F2666" t="s">
        <v>18</v>
      </c>
      <c r="G2666" t="s">
        <v>158</v>
      </c>
      <c r="H2666" t="s">
        <v>740</v>
      </c>
      <c r="I2666" t="s">
        <v>741</v>
      </c>
      <c r="J2666" t="str">
        <f>IFERROR(VLOOKUP(I2666,[1]AUTOS!$C:$G,2,0),"")</f>
        <v>AVEO</v>
      </c>
      <c r="K2666">
        <f>IFERROR(VLOOKUP(I2666,[1]AUTOS!$C:$G,3,0),"")</f>
        <v>2025</v>
      </c>
      <c r="L2666" t="str">
        <f>IFERROR(VLOOKUP(I2666,[1]AUTOS!$C:$G,4,0),"")</f>
        <v>PERSUASION</v>
      </c>
      <c r="P2666" s="3">
        <v>-80</v>
      </c>
    </row>
    <row r="2667" spans="1:16" hidden="1" x14ac:dyDescent="0.3">
      <c r="A2667">
        <v>43</v>
      </c>
      <c r="B2667" t="str">
        <f>VLOOKUP($A2667,[1]LISTA!$B:$C,2,0)</f>
        <v>OCTUBRE</v>
      </c>
      <c r="C2667" s="1">
        <v>2025</v>
      </c>
      <c r="D2667" s="1" t="str">
        <f>IF($A2667&lt;=[1]RESULTADOS!$D$6,"YTD","YTG")</f>
        <v>YTG</v>
      </c>
      <c r="E2667" t="s">
        <v>17</v>
      </c>
      <c r="F2667" t="s">
        <v>18</v>
      </c>
      <c r="G2667" t="s">
        <v>158</v>
      </c>
      <c r="H2667" t="s">
        <v>740</v>
      </c>
      <c r="I2667" t="s">
        <v>742</v>
      </c>
      <c r="J2667" t="str">
        <f>IFERROR(VLOOKUP(I2667,[1]AUTOS!$C:$G,2,0),"")</f>
        <v>AVEO</v>
      </c>
      <c r="K2667">
        <f>IFERROR(VLOOKUP(I2667,[1]AUTOS!$C:$G,3,0),"")</f>
        <v>2025</v>
      </c>
      <c r="L2667" t="str">
        <f>IFERROR(VLOOKUP(I2667,[1]AUTOS!$C:$G,4,0),"")</f>
        <v>PERSUASION</v>
      </c>
      <c r="P2667" s="3">
        <v>-80</v>
      </c>
    </row>
    <row r="2668" spans="1:16" hidden="1" x14ac:dyDescent="0.3">
      <c r="A2668">
        <v>43</v>
      </c>
      <c r="B2668" t="str">
        <f>VLOOKUP($A2668,[1]LISTA!$B:$C,2,0)</f>
        <v>OCTUBRE</v>
      </c>
      <c r="C2668" s="1">
        <v>2025</v>
      </c>
      <c r="D2668" s="1" t="str">
        <f>IF($A2668&lt;=[1]RESULTADOS!$D$6,"YTD","YTG")</f>
        <v>YTG</v>
      </c>
      <c r="E2668" t="s">
        <v>17</v>
      </c>
      <c r="F2668" t="s">
        <v>18</v>
      </c>
      <c r="G2668" t="s">
        <v>57</v>
      </c>
      <c r="H2668" t="s">
        <v>585</v>
      </c>
      <c r="I2668" t="s">
        <v>61</v>
      </c>
      <c r="J2668" t="str">
        <f>IFERROR(VLOOKUP(I2668,[1]AUTOS!$C:$G,2,0),"")</f>
        <v>KIA RIO</v>
      </c>
      <c r="K2668">
        <f>IFERROR(VLOOKUP(I2668,[1]AUTOS!$C:$G,3,0),"")</f>
        <v>2017</v>
      </c>
      <c r="L2668" t="str">
        <f>IFERROR(VLOOKUP(I2668,[1]AUTOS!$C:$G,4,0),"")</f>
        <v>ROJO</v>
      </c>
      <c r="P2668" s="3">
        <v>-208</v>
      </c>
    </row>
    <row r="2669" spans="1:16" hidden="1" x14ac:dyDescent="0.3">
      <c r="A2669">
        <v>43</v>
      </c>
      <c r="B2669" t="str">
        <f>VLOOKUP($A2669,[1]LISTA!$B:$C,2,0)</f>
        <v>OCTUBRE</v>
      </c>
      <c r="C2669" s="1">
        <v>2025</v>
      </c>
      <c r="D2669" s="1" t="str">
        <f>IF($A2669&lt;=[1]RESULTADOS!$D$6,"YTD","YTG")</f>
        <v>YTG</v>
      </c>
      <c r="E2669" s="5" t="s">
        <v>721</v>
      </c>
      <c r="F2669" t="s">
        <v>18</v>
      </c>
      <c r="G2669" t="s">
        <v>29</v>
      </c>
      <c r="H2669" t="s">
        <v>113</v>
      </c>
      <c r="I2669" t="s">
        <v>46</v>
      </c>
      <c r="J2669" t="str">
        <f>IFERROR(VLOOKUP(I2669,[1]AUTOS!$C:$G,2,0),"")</f>
        <v>MARCH</v>
      </c>
      <c r="K2669">
        <f>IFERROR(VLOOKUP(I2669,[1]AUTOS!$C:$G,3,0),"")</f>
        <v>2020</v>
      </c>
      <c r="L2669" t="str">
        <f>IFERROR(VLOOKUP(I2669,[1]AUTOS!$C:$G,4,0),"")</f>
        <v>TURQ</v>
      </c>
      <c r="P2669" s="3">
        <v>-200</v>
      </c>
    </row>
    <row r="2670" spans="1:16" hidden="1" x14ac:dyDescent="0.3">
      <c r="A2670">
        <v>43</v>
      </c>
      <c r="B2670" t="str">
        <f>VLOOKUP($A2670,[1]LISTA!$B:$C,2,0)</f>
        <v>OCTUBRE</v>
      </c>
      <c r="C2670" s="1">
        <v>2025</v>
      </c>
      <c r="D2670" s="1" t="str">
        <f>IF($A2670&lt;=[1]RESULTADOS!$D$6,"YTD","YTG")</f>
        <v>YTG</v>
      </c>
      <c r="E2670" t="s">
        <v>17</v>
      </c>
      <c r="F2670" t="s">
        <v>18</v>
      </c>
      <c r="G2670" t="s">
        <v>19</v>
      </c>
      <c r="H2670" t="s">
        <v>743</v>
      </c>
      <c r="I2670" t="s">
        <v>21</v>
      </c>
      <c r="J2670" t="str">
        <f>IFERROR(VLOOKUP(I2670,[1]AUTOS!$C:$G,2,0),"")</f>
        <v/>
      </c>
      <c r="K2670" t="str">
        <f>IFERROR(VLOOKUP(I2670,[1]AUTOS!$C:$G,3,0),"")</f>
        <v/>
      </c>
      <c r="L2670" t="str">
        <f>IFERROR(VLOOKUP(I2670,[1]AUTOS!$C:$G,4,0),"")</f>
        <v/>
      </c>
      <c r="P2670" s="3">
        <v>-616</v>
      </c>
    </row>
    <row r="2671" spans="1:16" hidden="1" x14ac:dyDescent="0.3">
      <c r="A2671">
        <v>43</v>
      </c>
      <c r="B2671" t="str">
        <f>VLOOKUP($A2671,[1]LISTA!$B:$C,2,0)</f>
        <v>OCTUBRE</v>
      </c>
      <c r="C2671" s="1">
        <v>2025</v>
      </c>
      <c r="D2671" s="1" t="str">
        <f>IF($A2671&lt;=[1]RESULTADOS!$D$6,"YTD","YTG")</f>
        <v>YTG</v>
      </c>
      <c r="E2671" t="s">
        <v>17</v>
      </c>
      <c r="F2671" t="s">
        <v>18</v>
      </c>
      <c r="G2671" t="s">
        <v>29</v>
      </c>
      <c r="H2671" t="s">
        <v>575</v>
      </c>
      <c r="I2671" t="s">
        <v>61</v>
      </c>
      <c r="J2671" t="str">
        <f>IFERROR(VLOOKUP(I2671,[1]AUTOS!$C:$G,2,0),"")</f>
        <v>KIA RIO</v>
      </c>
      <c r="K2671">
        <f>IFERROR(VLOOKUP(I2671,[1]AUTOS!$C:$G,3,0),"")</f>
        <v>2017</v>
      </c>
      <c r="L2671" t="str">
        <f>IFERROR(VLOOKUP(I2671,[1]AUTOS!$C:$G,4,0),"")</f>
        <v>ROJO</v>
      </c>
      <c r="P2671" s="3">
        <v>-105</v>
      </c>
    </row>
    <row r="2672" spans="1:16" hidden="1" x14ac:dyDescent="0.3">
      <c r="A2672">
        <v>43</v>
      </c>
      <c r="B2672" t="str">
        <f>VLOOKUP($A2672,[1]LISTA!$B:$C,2,0)</f>
        <v>OCTUBRE</v>
      </c>
      <c r="C2672" s="1">
        <v>2025</v>
      </c>
      <c r="D2672" s="1" t="str">
        <f>IF($A2672&lt;=[1]RESULTADOS!$D$6,"YTD","YTG")</f>
        <v>YTG</v>
      </c>
      <c r="E2672" t="s">
        <v>17</v>
      </c>
      <c r="F2672" t="s">
        <v>18</v>
      </c>
      <c r="G2672" t="s">
        <v>176</v>
      </c>
      <c r="H2672" t="s">
        <v>744</v>
      </c>
      <c r="I2672" t="s">
        <v>61</v>
      </c>
      <c r="J2672" t="str">
        <f>IFERROR(VLOOKUP(I2672,[1]AUTOS!$C:$G,2,0),"")</f>
        <v>KIA RIO</v>
      </c>
      <c r="K2672">
        <f>IFERROR(VLOOKUP(I2672,[1]AUTOS!$C:$G,3,0),"")</f>
        <v>2017</v>
      </c>
      <c r="L2672" t="str">
        <f>IFERROR(VLOOKUP(I2672,[1]AUTOS!$C:$G,4,0),"")</f>
        <v>ROJO</v>
      </c>
      <c r="P2672" s="3">
        <v>-3000</v>
      </c>
    </row>
    <row r="2673" spans="1:16" hidden="1" x14ac:dyDescent="0.3">
      <c r="A2673">
        <v>43</v>
      </c>
      <c r="B2673" t="str">
        <f>VLOOKUP($A2673,[1]LISTA!$B:$C,2,0)</f>
        <v>OCTUBRE</v>
      </c>
      <c r="C2673" s="1">
        <v>2025</v>
      </c>
      <c r="D2673" s="1" t="str">
        <f>IF($A2673&lt;=[1]RESULTADOS!$D$6,"YTD","YTG")</f>
        <v>YTG</v>
      </c>
      <c r="E2673" t="s">
        <v>17</v>
      </c>
      <c r="F2673" t="s">
        <v>18</v>
      </c>
      <c r="G2673" t="s">
        <v>176</v>
      </c>
      <c r="H2673" t="s">
        <v>745</v>
      </c>
      <c r="I2673" t="s">
        <v>214</v>
      </c>
      <c r="J2673" t="str">
        <f>IFERROR(VLOOKUP(I2673,[1]AUTOS!$C:$G,2,0),"")</f>
        <v>VENTO</v>
      </c>
      <c r="K2673">
        <f>IFERROR(VLOOKUP(I2673,[1]AUTOS!$C:$G,3,0),"")</f>
        <v>2019</v>
      </c>
      <c r="L2673" t="str">
        <f>IFERROR(VLOOKUP(I2673,[1]AUTOS!$C:$G,4,0),"")</f>
        <v>BLANCO</v>
      </c>
      <c r="P2673" s="3">
        <v>-812</v>
      </c>
    </row>
    <row r="2674" spans="1:16" hidden="1" x14ac:dyDescent="0.3">
      <c r="A2674">
        <v>43</v>
      </c>
      <c r="B2674" t="str">
        <f>VLOOKUP($A2674,[1]LISTA!$B:$C,2,0)</f>
        <v>OCTUBRE</v>
      </c>
      <c r="C2674" s="1">
        <v>2025</v>
      </c>
      <c r="D2674" s="1" t="str">
        <f>IF($A2674&lt;=[1]RESULTADOS!$D$6,"YTD","YTG")</f>
        <v>YTG</v>
      </c>
      <c r="E2674" t="s">
        <v>17</v>
      </c>
      <c r="F2674" t="s">
        <v>18</v>
      </c>
      <c r="G2674" t="s">
        <v>53</v>
      </c>
      <c r="H2674" t="s">
        <v>746</v>
      </c>
      <c r="I2674" t="s">
        <v>21</v>
      </c>
      <c r="J2674" t="str">
        <f>IFERROR(VLOOKUP(I2674,[1]AUTOS!$C:$G,2,0),"")</f>
        <v/>
      </c>
      <c r="K2674" t="str">
        <f>IFERROR(VLOOKUP(I2674,[1]AUTOS!$C:$G,3,0),"")</f>
        <v/>
      </c>
      <c r="L2674" t="str">
        <f>IFERROR(VLOOKUP(I2674,[1]AUTOS!$C:$G,4,0),"")</f>
        <v/>
      </c>
      <c r="P2674" s="3">
        <v>-50</v>
      </c>
    </row>
    <row r="2675" spans="1:16" hidden="1" x14ac:dyDescent="0.3">
      <c r="A2675">
        <v>43</v>
      </c>
      <c r="B2675" t="str">
        <f>VLOOKUP($A2675,[1]LISTA!$B:$C,2,0)</f>
        <v>OCTUBRE</v>
      </c>
      <c r="C2675" s="1">
        <v>2025</v>
      </c>
      <c r="D2675" s="1" t="str">
        <f>IF($A2675&lt;=[1]RESULTADOS!$D$6,"YTD","YTG")</f>
        <v>YTG</v>
      </c>
      <c r="E2675" t="s">
        <v>17</v>
      </c>
      <c r="F2675" t="s">
        <v>18</v>
      </c>
      <c r="G2675" t="s">
        <v>53</v>
      </c>
      <c r="H2675" t="s">
        <v>747</v>
      </c>
      <c r="I2675" t="s">
        <v>21</v>
      </c>
      <c r="J2675" t="str">
        <f>IFERROR(VLOOKUP(I2675,[1]AUTOS!$C:$G,2,0),"")</f>
        <v/>
      </c>
      <c r="K2675" t="str">
        <f>IFERROR(VLOOKUP(I2675,[1]AUTOS!$C:$G,3,0),"")</f>
        <v/>
      </c>
      <c r="L2675" t="str">
        <f>IFERROR(VLOOKUP(I2675,[1]AUTOS!$C:$G,4,0),"")</f>
        <v/>
      </c>
      <c r="P2675" s="3">
        <v>-100</v>
      </c>
    </row>
    <row r="2676" spans="1:16" hidden="1" x14ac:dyDescent="0.3">
      <c r="A2676">
        <v>43</v>
      </c>
      <c r="B2676" t="str">
        <f>VLOOKUP($A2676,[1]LISTA!$B:$C,2,0)</f>
        <v>OCTUBRE</v>
      </c>
      <c r="C2676" s="1">
        <v>2025</v>
      </c>
      <c r="D2676" s="1" t="str">
        <f>IF($A2676&lt;=[1]RESULTADOS!$D$6,"YTD","YTG")</f>
        <v>YTG</v>
      </c>
      <c r="E2676" s="5" t="s">
        <v>526</v>
      </c>
      <c r="F2676" t="s">
        <v>18</v>
      </c>
      <c r="G2676" t="s">
        <v>57</v>
      </c>
      <c r="H2676" t="s">
        <v>649</v>
      </c>
      <c r="I2676" t="s">
        <v>67</v>
      </c>
      <c r="J2676" t="str">
        <f>IFERROR(VLOOKUP(I2676,[1]AUTOS!$C:$G,2,0),"")</f>
        <v>KIA RIO</v>
      </c>
      <c r="K2676">
        <f>IFERROR(VLOOKUP(I2676,[1]AUTOS!$C:$G,3,0),"")</f>
        <v>2020</v>
      </c>
      <c r="L2676" t="str">
        <f>IFERROR(VLOOKUP(I2676,[1]AUTOS!$C:$G,4,0),"")</f>
        <v>GRIS</v>
      </c>
      <c r="P2676" s="3">
        <v>-950</v>
      </c>
    </row>
    <row r="2677" spans="1:16" hidden="1" x14ac:dyDescent="0.3">
      <c r="A2677">
        <v>43</v>
      </c>
      <c r="B2677" t="str">
        <f>VLOOKUP($A2677,[1]LISTA!$B:$C,2,0)</f>
        <v>OCTUBRE</v>
      </c>
      <c r="C2677" s="1">
        <v>2025</v>
      </c>
      <c r="D2677" s="1" t="str">
        <f>IF($A2677&lt;=[1]RESULTADOS!$D$6,"YTD","YTG")</f>
        <v>YTG</v>
      </c>
      <c r="E2677" s="5" t="s">
        <v>526</v>
      </c>
      <c r="F2677" t="s">
        <v>18</v>
      </c>
      <c r="G2677" t="s">
        <v>176</v>
      </c>
      <c r="H2677" t="s">
        <v>748</v>
      </c>
      <c r="I2677" t="s">
        <v>67</v>
      </c>
      <c r="J2677" t="str">
        <f>IFERROR(VLOOKUP(I2677,[1]AUTOS!$C:$G,2,0),"")</f>
        <v>KIA RIO</v>
      </c>
      <c r="K2677">
        <f>IFERROR(VLOOKUP(I2677,[1]AUTOS!$C:$G,3,0),"")</f>
        <v>2020</v>
      </c>
      <c r="L2677" t="str">
        <f>IFERROR(VLOOKUP(I2677,[1]AUTOS!$C:$G,4,0),"")</f>
        <v>GRIS</v>
      </c>
      <c r="P2677" s="3">
        <v>-600</v>
      </c>
    </row>
    <row r="2678" spans="1:16" hidden="1" x14ac:dyDescent="0.3">
      <c r="A2678">
        <v>43</v>
      </c>
      <c r="B2678" t="str">
        <f>VLOOKUP($A2678,[1]LISTA!$B:$C,2,0)</f>
        <v>OCTUBRE</v>
      </c>
      <c r="C2678" s="1">
        <v>2025</v>
      </c>
      <c r="D2678" s="1" t="str">
        <f>IF($A2678&lt;=[1]RESULTADOS!$D$6,"YTD","YTG")</f>
        <v>YTG</v>
      </c>
      <c r="E2678" t="s">
        <v>17</v>
      </c>
      <c r="F2678" t="s">
        <v>18</v>
      </c>
      <c r="G2678" t="s">
        <v>38</v>
      </c>
      <c r="H2678" t="s">
        <v>749</v>
      </c>
      <c r="I2678" t="s">
        <v>21</v>
      </c>
      <c r="J2678" t="str">
        <f>IFERROR(VLOOKUP(I2678,[1]AUTOS!$C:$G,2,0),"")</f>
        <v/>
      </c>
      <c r="K2678" t="str">
        <f>IFERROR(VLOOKUP(I2678,[1]AUTOS!$C:$G,3,0),"")</f>
        <v/>
      </c>
      <c r="L2678" t="str">
        <f>IFERROR(VLOOKUP(I2678,[1]AUTOS!$C:$G,4,0),"")</f>
        <v/>
      </c>
      <c r="P2678" s="3">
        <v>-300</v>
      </c>
    </row>
    <row r="2679" spans="1:16" hidden="1" x14ac:dyDescent="0.3">
      <c r="A2679">
        <v>43</v>
      </c>
      <c r="B2679" t="str">
        <f>VLOOKUP($A2679,[1]LISTA!$B:$C,2,0)</f>
        <v>OCTUBRE</v>
      </c>
      <c r="C2679" s="1">
        <v>2025</v>
      </c>
      <c r="D2679" s="1" t="str">
        <f>IF($A2679&lt;=[1]RESULTADOS!$D$6,"YTD","YTG")</f>
        <v>YTG</v>
      </c>
      <c r="E2679" t="s">
        <v>721</v>
      </c>
      <c r="F2679" t="s">
        <v>18</v>
      </c>
      <c r="G2679" t="s">
        <v>57</v>
      </c>
      <c r="H2679" t="s">
        <v>750</v>
      </c>
      <c r="I2679" t="s">
        <v>76</v>
      </c>
      <c r="J2679" t="str">
        <f>IFERROR(VLOOKUP(I2679,[1]AUTOS!$C:$G,2,0),"")</f>
        <v>AVEO</v>
      </c>
      <c r="K2679">
        <f>IFERROR(VLOOKUP(I2679,[1]AUTOS!$C:$G,3,0),"")</f>
        <v>2018</v>
      </c>
      <c r="L2679" t="str">
        <f>IFERROR(VLOOKUP(I2679,[1]AUTOS!$C:$G,4,0),"")</f>
        <v>GRIS</v>
      </c>
      <c r="P2679" s="3">
        <v>-700</v>
      </c>
    </row>
    <row r="2680" spans="1:16" hidden="1" x14ac:dyDescent="0.3">
      <c r="A2680">
        <v>43</v>
      </c>
      <c r="B2680" t="str">
        <f>VLOOKUP($A2680,[1]LISTA!$B:$C,2,0)</f>
        <v>OCTUBRE</v>
      </c>
      <c r="C2680" s="1">
        <v>2025</v>
      </c>
      <c r="D2680" s="1" t="str">
        <f>IF($A2680&lt;=[1]RESULTADOS!$D$6,"YTD","YTG")</f>
        <v>YTG</v>
      </c>
      <c r="E2680" s="5" t="s">
        <v>411</v>
      </c>
      <c r="F2680" t="s">
        <v>18</v>
      </c>
      <c r="G2680" t="s">
        <v>327</v>
      </c>
      <c r="H2680" t="s">
        <v>751</v>
      </c>
      <c r="I2680" t="s">
        <v>178</v>
      </c>
      <c r="J2680" t="str">
        <f>IFERROR(VLOOKUP(I2680,[1]AUTOS!$C:$G,2,0),"")</f>
        <v>VERSA</v>
      </c>
      <c r="K2680">
        <f>IFERROR(VLOOKUP(I2680,[1]AUTOS!$C:$G,3,0),"")</f>
        <v>2020</v>
      </c>
      <c r="L2680" t="str">
        <f>IFERROR(VLOOKUP(I2680,[1]AUTOS!$C:$G,4,0),"")</f>
        <v>BLANCO</v>
      </c>
      <c r="P2680" s="3">
        <v>-60</v>
      </c>
    </row>
    <row r="2681" spans="1:16" hidden="1" x14ac:dyDescent="0.3">
      <c r="A2681">
        <v>43</v>
      </c>
      <c r="B2681" t="str">
        <f>VLOOKUP($A2681,[1]LISTA!$B:$C,2,0)</f>
        <v>OCTUBRE</v>
      </c>
      <c r="C2681" s="1">
        <v>2025</v>
      </c>
      <c r="D2681" s="1" t="str">
        <f>IF($A2681&lt;=[1]RESULTADOS!$D$6,"YTD","YTG")</f>
        <v>YTG</v>
      </c>
      <c r="E2681" t="s">
        <v>17</v>
      </c>
      <c r="F2681" t="s">
        <v>18</v>
      </c>
      <c r="G2681" t="s">
        <v>29</v>
      </c>
      <c r="H2681" t="s">
        <v>752</v>
      </c>
      <c r="I2681" t="s">
        <v>21</v>
      </c>
      <c r="J2681" t="str">
        <f>IFERROR(VLOOKUP(I2681,[1]AUTOS!$C:$G,2,0),"")</f>
        <v/>
      </c>
      <c r="K2681" t="str">
        <f>IFERROR(VLOOKUP(I2681,[1]AUTOS!$C:$G,3,0),"")</f>
        <v/>
      </c>
      <c r="L2681" t="str">
        <f>IFERROR(VLOOKUP(I2681,[1]AUTOS!$C:$G,4,0),"")</f>
        <v/>
      </c>
      <c r="P2681" s="3">
        <v>-195</v>
      </c>
    </row>
    <row r="2682" spans="1:16" hidden="1" x14ac:dyDescent="0.3">
      <c r="A2682">
        <v>43</v>
      </c>
      <c r="B2682" t="str">
        <f>VLOOKUP($A2682,[1]LISTA!$B:$C,2,0)</f>
        <v>OCTUBRE</v>
      </c>
      <c r="C2682" s="1">
        <v>2025</v>
      </c>
      <c r="D2682" s="1" t="str">
        <f>IF($A2682&lt;=[1]RESULTADOS!$D$6,"YTD","YTG")</f>
        <v>YTG</v>
      </c>
      <c r="E2682" t="s">
        <v>17</v>
      </c>
      <c r="F2682" t="s">
        <v>18</v>
      </c>
      <c r="G2682" t="s">
        <v>29</v>
      </c>
      <c r="H2682" t="s">
        <v>753</v>
      </c>
      <c r="I2682" t="s">
        <v>21</v>
      </c>
      <c r="J2682" t="str">
        <f>IFERROR(VLOOKUP(I2682,[1]AUTOS!$C:$G,2,0),"")</f>
        <v/>
      </c>
      <c r="K2682" t="str">
        <f>IFERROR(VLOOKUP(I2682,[1]AUTOS!$C:$G,3,0),"")</f>
        <v/>
      </c>
      <c r="L2682" t="str">
        <f>IFERROR(VLOOKUP(I2682,[1]AUTOS!$C:$G,4,0),"")</f>
        <v/>
      </c>
      <c r="P2682" s="3">
        <v>-250</v>
      </c>
    </row>
    <row r="2683" spans="1:16" hidden="1" x14ac:dyDescent="0.3">
      <c r="A2683">
        <v>43</v>
      </c>
      <c r="B2683" t="str">
        <f>VLOOKUP($A2683,[1]LISTA!$B:$C,2,0)</f>
        <v>OCTUBRE</v>
      </c>
      <c r="C2683" s="1">
        <v>2025</v>
      </c>
      <c r="D2683" s="1" t="str">
        <f>IF($A2683&lt;=[1]RESULTADOS!$D$6,"YTD","YTG")</f>
        <v>YTG</v>
      </c>
      <c r="E2683" t="s">
        <v>17</v>
      </c>
      <c r="F2683" t="s">
        <v>18</v>
      </c>
      <c r="G2683" t="s">
        <v>29</v>
      </c>
      <c r="H2683" t="s">
        <v>331</v>
      </c>
      <c r="I2683" t="s">
        <v>21</v>
      </c>
      <c r="J2683" t="str">
        <f>IFERROR(VLOOKUP(I2683,[1]AUTOS!$C:$G,2,0),"")</f>
        <v/>
      </c>
      <c r="K2683" t="str">
        <f>IFERROR(VLOOKUP(I2683,[1]AUTOS!$C:$G,3,0),"")</f>
        <v/>
      </c>
      <c r="L2683" t="str">
        <f>IFERROR(VLOOKUP(I2683,[1]AUTOS!$C:$G,4,0),"")</f>
        <v/>
      </c>
      <c r="P2683" s="3">
        <v>-1500</v>
      </c>
    </row>
    <row r="2684" spans="1:16" hidden="1" x14ac:dyDescent="0.3">
      <c r="A2684">
        <v>43</v>
      </c>
      <c r="B2684" t="str">
        <f>VLOOKUP($A2684,[1]LISTA!$B:$C,2,0)</f>
        <v>OCTUBRE</v>
      </c>
      <c r="C2684" s="1">
        <v>2025</v>
      </c>
      <c r="D2684" s="1" t="str">
        <f>IF($A2684&lt;=[1]RESULTADOS!$D$6,"YTD","YTG")</f>
        <v>YTG</v>
      </c>
      <c r="E2684" t="s">
        <v>17</v>
      </c>
      <c r="F2684" t="s">
        <v>18</v>
      </c>
      <c r="G2684" t="s">
        <v>158</v>
      </c>
      <c r="H2684" t="s">
        <v>754</v>
      </c>
      <c r="I2684" t="s">
        <v>21</v>
      </c>
      <c r="J2684" t="str">
        <f>IFERROR(VLOOKUP(I2684,[1]AUTOS!$C:$G,2,0),"")</f>
        <v/>
      </c>
      <c r="K2684" t="str">
        <f>IFERROR(VLOOKUP(I2684,[1]AUTOS!$C:$G,3,0),"")</f>
        <v/>
      </c>
      <c r="L2684" t="str">
        <f>IFERROR(VLOOKUP(I2684,[1]AUTOS!$C:$G,4,0),"")</f>
        <v/>
      </c>
      <c r="P2684" s="3">
        <v>-80</v>
      </c>
    </row>
    <row r="2685" spans="1:16" hidden="1" x14ac:dyDescent="0.3">
      <c r="A2685">
        <v>43</v>
      </c>
      <c r="B2685" t="str">
        <f>VLOOKUP($A2685,[1]LISTA!$B:$C,2,0)</f>
        <v>OCTUBRE</v>
      </c>
      <c r="C2685" s="1">
        <v>2025</v>
      </c>
      <c r="D2685" s="1" t="str">
        <f>IF($A2685&lt;=[1]RESULTADOS!$D$6,"YTD","YTG")</f>
        <v>YTG</v>
      </c>
      <c r="E2685" t="s">
        <v>17</v>
      </c>
      <c r="F2685" t="s">
        <v>18</v>
      </c>
      <c r="G2685" t="s">
        <v>142</v>
      </c>
      <c r="H2685" t="s">
        <v>755</v>
      </c>
      <c r="I2685" t="s">
        <v>21</v>
      </c>
      <c r="J2685" t="str">
        <f>IFERROR(VLOOKUP(I2685,[1]AUTOS!$C:$G,2,0),"")</f>
        <v/>
      </c>
      <c r="K2685" t="str">
        <f>IFERROR(VLOOKUP(I2685,[1]AUTOS!$C:$G,3,0),"")</f>
        <v/>
      </c>
      <c r="L2685" t="str">
        <f>IFERROR(VLOOKUP(I2685,[1]AUTOS!$C:$G,4,0),"")</f>
        <v/>
      </c>
      <c r="P2685" s="3">
        <v>-215</v>
      </c>
    </row>
    <row r="2686" spans="1:16" hidden="1" x14ac:dyDescent="0.3">
      <c r="A2686">
        <v>43</v>
      </c>
      <c r="B2686" t="str">
        <f>VLOOKUP($A2686,[1]LISTA!$B:$C,2,0)</f>
        <v>OCTUBRE</v>
      </c>
      <c r="C2686" s="1">
        <v>2025</v>
      </c>
      <c r="D2686" s="1" t="str">
        <f>IF($A2686&lt;=[1]RESULTADOS!$D$6,"YTD","YTG")</f>
        <v>YTG</v>
      </c>
      <c r="E2686" s="5" t="s">
        <v>411</v>
      </c>
      <c r="F2686" t="s">
        <v>18</v>
      </c>
      <c r="G2686" t="s">
        <v>87</v>
      </c>
      <c r="H2686" t="s">
        <v>756</v>
      </c>
      <c r="I2686" t="s">
        <v>178</v>
      </c>
      <c r="J2686" t="str">
        <f>IFERROR(VLOOKUP(I2686,[1]AUTOS!$C:$G,2,0),"")</f>
        <v>VERSA</v>
      </c>
      <c r="K2686">
        <f>IFERROR(VLOOKUP(I2686,[1]AUTOS!$C:$G,3,0),"")</f>
        <v>2020</v>
      </c>
      <c r="L2686" t="str">
        <f>IFERROR(VLOOKUP(I2686,[1]AUTOS!$C:$G,4,0),"")</f>
        <v>BLANCO</v>
      </c>
      <c r="P2686" s="3">
        <v>-790</v>
      </c>
    </row>
    <row r="2687" spans="1:16" hidden="1" x14ac:dyDescent="0.3">
      <c r="A2687">
        <v>43</v>
      </c>
      <c r="B2687" t="str">
        <f>VLOOKUP($A2687,[1]LISTA!$B:$C,2,0)</f>
        <v>OCTUBRE</v>
      </c>
      <c r="C2687" s="1">
        <v>2025</v>
      </c>
      <c r="D2687" s="1" t="str">
        <f>IF($A2687&lt;=[1]RESULTADOS!$D$6,"YTD","YTG")</f>
        <v>YTG</v>
      </c>
      <c r="E2687" s="5" t="s">
        <v>526</v>
      </c>
      <c r="F2687" t="s">
        <v>18</v>
      </c>
      <c r="G2687" t="s">
        <v>29</v>
      </c>
      <c r="H2687" t="s">
        <v>113</v>
      </c>
      <c r="I2687" t="s">
        <v>67</v>
      </c>
      <c r="J2687" t="str">
        <f>IFERROR(VLOOKUP(I2687,[1]AUTOS!$C:$G,2,0),"")</f>
        <v>KIA RIO</v>
      </c>
      <c r="K2687">
        <f>IFERROR(VLOOKUP(I2687,[1]AUTOS!$C:$G,3,0),"")</f>
        <v>2020</v>
      </c>
      <c r="L2687" t="str">
        <f>IFERROR(VLOOKUP(I2687,[1]AUTOS!$C:$G,4,0),"")</f>
        <v>GRIS</v>
      </c>
      <c r="P2687" s="3">
        <v>-200</v>
      </c>
    </row>
    <row r="2688" spans="1:16" hidden="1" x14ac:dyDescent="0.3">
      <c r="A2688">
        <v>43</v>
      </c>
      <c r="B2688" t="str">
        <f>VLOOKUP($A2688,[1]LISTA!$B:$C,2,0)</f>
        <v>OCTUBRE</v>
      </c>
      <c r="C2688" s="1">
        <v>2025</v>
      </c>
      <c r="D2688" s="1" t="str">
        <f>IF($A2688&lt;=[1]RESULTADOS!$D$6,"YTD","YTG")</f>
        <v>YTG</v>
      </c>
      <c r="E2688" s="5" t="s">
        <v>526</v>
      </c>
      <c r="F2688" t="s">
        <v>18</v>
      </c>
      <c r="G2688" t="s">
        <v>57</v>
      </c>
      <c r="H2688" t="s">
        <v>757</v>
      </c>
      <c r="I2688" t="s">
        <v>67</v>
      </c>
      <c r="J2688" t="str">
        <f>IFERROR(VLOOKUP(I2688,[1]AUTOS!$C:$G,2,0),"")</f>
        <v>KIA RIO</v>
      </c>
      <c r="K2688">
        <f>IFERROR(VLOOKUP(I2688,[1]AUTOS!$C:$G,3,0),"")</f>
        <v>2020</v>
      </c>
      <c r="L2688" t="str">
        <f>IFERROR(VLOOKUP(I2688,[1]AUTOS!$C:$G,4,0),"")</f>
        <v>GRIS</v>
      </c>
      <c r="P2688" s="3">
        <v>-500</v>
      </c>
    </row>
    <row r="2689" spans="1:16" hidden="1" x14ac:dyDescent="0.3">
      <c r="A2689">
        <v>43</v>
      </c>
      <c r="B2689" t="str">
        <f>VLOOKUP($A2689,[1]LISTA!$B:$C,2,0)</f>
        <v>OCTUBRE</v>
      </c>
      <c r="C2689" s="1">
        <v>2025</v>
      </c>
      <c r="D2689" s="1" t="str">
        <f>IF($A2689&lt;=[1]RESULTADOS!$D$6,"YTD","YTG")</f>
        <v>YTG</v>
      </c>
      <c r="E2689" s="5" t="s">
        <v>526</v>
      </c>
      <c r="F2689" t="s">
        <v>18</v>
      </c>
      <c r="G2689" t="s">
        <v>176</v>
      </c>
      <c r="H2689" t="s">
        <v>758</v>
      </c>
      <c r="I2689" t="s">
        <v>67</v>
      </c>
      <c r="J2689" t="str">
        <f>IFERROR(VLOOKUP(I2689,[1]AUTOS!$C:$G,2,0),"")</f>
        <v>KIA RIO</v>
      </c>
      <c r="K2689">
        <f>IFERROR(VLOOKUP(I2689,[1]AUTOS!$C:$G,3,0),"")</f>
        <v>2020</v>
      </c>
      <c r="L2689" t="str">
        <f>IFERROR(VLOOKUP(I2689,[1]AUTOS!$C:$G,4,0),"")</f>
        <v>GRIS</v>
      </c>
      <c r="P2689" s="3">
        <v>-361.92</v>
      </c>
    </row>
    <row r="2690" spans="1:16" hidden="1" x14ac:dyDescent="0.3">
      <c r="A2690">
        <v>43</v>
      </c>
      <c r="B2690" t="str">
        <f>VLOOKUP($A2690,[1]LISTA!$B:$C,2,0)</f>
        <v>OCTUBRE</v>
      </c>
      <c r="C2690" s="1">
        <v>2025</v>
      </c>
      <c r="D2690" s="1" t="str">
        <f>IF($A2690&lt;=[1]RESULTADOS!$D$6,"YTD","YTG")</f>
        <v>YTG</v>
      </c>
      <c r="E2690" s="5" t="s">
        <v>526</v>
      </c>
      <c r="F2690" t="s">
        <v>18</v>
      </c>
      <c r="G2690" t="s">
        <v>176</v>
      </c>
      <c r="H2690" t="s">
        <v>759</v>
      </c>
      <c r="I2690" t="s">
        <v>67</v>
      </c>
      <c r="J2690" t="str">
        <f>IFERROR(VLOOKUP(I2690,[1]AUTOS!$C:$G,2,0),"")</f>
        <v>KIA RIO</v>
      </c>
      <c r="K2690">
        <f>IFERROR(VLOOKUP(I2690,[1]AUTOS!$C:$G,3,0),"")</f>
        <v>2020</v>
      </c>
      <c r="L2690" t="str">
        <f>IFERROR(VLOOKUP(I2690,[1]AUTOS!$C:$G,4,0),"")</f>
        <v>GRIS</v>
      </c>
      <c r="P2690" s="3">
        <v>-455.88</v>
      </c>
    </row>
    <row r="2691" spans="1:16" hidden="1" x14ac:dyDescent="0.3">
      <c r="A2691">
        <v>43</v>
      </c>
      <c r="B2691" t="str">
        <f>VLOOKUP($A2691,[1]LISTA!$B:$C,2,0)</f>
        <v>OCTUBRE</v>
      </c>
      <c r="C2691" s="1">
        <v>2025</v>
      </c>
      <c r="D2691" s="1" t="str">
        <f>IF($A2691&lt;=[1]RESULTADOS!$D$6,"YTD","YTG")</f>
        <v>YTG</v>
      </c>
      <c r="E2691" s="5" t="s">
        <v>526</v>
      </c>
      <c r="F2691" t="s">
        <v>18</v>
      </c>
      <c r="G2691" t="s">
        <v>57</v>
      </c>
      <c r="H2691" t="s">
        <v>201</v>
      </c>
      <c r="I2691" t="s">
        <v>67</v>
      </c>
      <c r="J2691" t="str">
        <f>IFERROR(VLOOKUP(I2691,[1]AUTOS!$C:$G,2,0),"")</f>
        <v>KIA RIO</v>
      </c>
      <c r="K2691">
        <f>IFERROR(VLOOKUP(I2691,[1]AUTOS!$C:$G,3,0),"")</f>
        <v>2020</v>
      </c>
      <c r="L2691" t="str">
        <f>IFERROR(VLOOKUP(I2691,[1]AUTOS!$C:$G,4,0),"")</f>
        <v>GRIS</v>
      </c>
      <c r="P2691" s="3">
        <v>-1345.6</v>
      </c>
    </row>
    <row r="2692" spans="1:16" hidden="1" x14ac:dyDescent="0.3">
      <c r="A2692">
        <v>43</v>
      </c>
      <c r="B2692" t="str">
        <f>VLOOKUP($A2692,[1]LISTA!$B:$C,2,0)</f>
        <v>OCTUBRE</v>
      </c>
      <c r="C2692" s="1">
        <v>2025</v>
      </c>
      <c r="D2692" s="1" t="str">
        <f>IF($A2692&lt;=[1]RESULTADOS!$D$6,"YTD","YTG")</f>
        <v>YTG</v>
      </c>
      <c r="E2692" s="5" t="s">
        <v>718</v>
      </c>
      <c r="F2692" t="s">
        <v>18</v>
      </c>
      <c r="G2692" t="s">
        <v>57</v>
      </c>
      <c r="H2692" t="s">
        <v>120</v>
      </c>
      <c r="I2692" t="s">
        <v>42</v>
      </c>
      <c r="J2692" t="str">
        <f>IFERROR(VLOOKUP(I2692,[1]AUTOS!$C:$G,2,0),"")</f>
        <v>VENTO</v>
      </c>
      <c r="K2692">
        <f>IFERROR(VLOOKUP(I2692,[1]AUTOS!$C:$G,3,0),"")</f>
        <v>2018</v>
      </c>
      <c r="L2692" t="str">
        <f>IFERROR(VLOOKUP(I2692,[1]AUTOS!$C:$G,4,0),"")</f>
        <v>AMARILLO</v>
      </c>
      <c r="P2692" s="3">
        <v>-500</v>
      </c>
    </row>
    <row r="2693" spans="1:16" hidden="1" x14ac:dyDescent="0.3">
      <c r="A2693">
        <v>43</v>
      </c>
      <c r="B2693" t="str">
        <f>VLOOKUP($A2693,[1]LISTA!$B:$C,2,0)</f>
        <v>OCTUBRE</v>
      </c>
      <c r="C2693" s="1">
        <v>2025</v>
      </c>
      <c r="D2693" s="1" t="str">
        <f>IF($A2693&lt;=[1]RESULTADOS!$D$6,"YTD","YTG")</f>
        <v>YTG</v>
      </c>
      <c r="E2693" s="5" t="s">
        <v>411</v>
      </c>
      <c r="F2693" t="s">
        <v>18</v>
      </c>
      <c r="G2693" t="s">
        <v>87</v>
      </c>
      <c r="H2693" t="s">
        <v>760</v>
      </c>
      <c r="I2693" t="s">
        <v>178</v>
      </c>
      <c r="J2693" t="str">
        <f>IFERROR(VLOOKUP(I2693,[1]AUTOS!$C:$G,2,0),"")</f>
        <v>VERSA</v>
      </c>
      <c r="K2693">
        <f>IFERROR(VLOOKUP(I2693,[1]AUTOS!$C:$G,3,0),"")</f>
        <v>2020</v>
      </c>
      <c r="L2693" t="str">
        <f>IFERROR(VLOOKUP(I2693,[1]AUTOS!$C:$G,4,0),"")</f>
        <v>BLANCO</v>
      </c>
      <c r="P2693" s="3">
        <v>-500</v>
      </c>
    </row>
    <row r="2694" spans="1:16" hidden="1" x14ac:dyDescent="0.3">
      <c r="A2694">
        <v>43</v>
      </c>
      <c r="B2694" t="str">
        <f>VLOOKUP($A2694,[1]LISTA!$B:$C,2,0)</f>
        <v>OCTUBRE</v>
      </c>
      <c r="C2694" s="1">
        <v>2025</v>
      </c>
      <c r="D2694" s="1" t="str">
        <f>IF($A2694&lt;=[1]RESULTADOS!$D$6,"YTD","YTG")</f>
        <v>YTG</v>
      </c>
      <c r="E2694" t="s">
        <v>17</v>
      </c>
      <c r="F2694" t="s">
        <v>18</v>
      </c>
      <c r="G2694" t="s">
        <v>29</v>
      </c>
      <c r="H2694" t="s">
        <v>761</v>
      </c>
      <c r="I2694" t="s">
        <v>214</v>
      </c>
      <c r="J2694" t="str">
        <f>IFERROR(VLOOKUP(I2694,[1]AUTOS!$C:$G,2,0),"")</f>
        <v>VENTO</v>
      </c>
      <c r="K2694">
        <f>IFERROR(VLOOKUP(I2694,[1]AUTOS!$C:$G,3,0),"")</f>
        <v>2019</v>
      </c>
      <c r="L2694" t="str">
        <f>IFERROR(VLOOKUP(I2694,[1]AUTOS!$C:$G,4,0),"")</f>
        <v>BLANCO</v>
      </c>
      <c r="P2694" s="3">
        <v>-100</v>
      </c>
    </row>
    <row r="2695" spans="1:16" hidden="1" x14ac:dyDescent="0.3">
      <c r="A2695">
        <v>43</v>
      </c>
      <c r="B2695" t="str">
        <f>VLOOKUP($A2695,[1]LISTA!$B:$C,2,0)</f>
        <v>OCTUBRE</v>
      </c>
      <c r="C2695" s="1">
        <v>2025</v>
      </c>
      <c r="D2695" s="1" t="str">
        <f>IF($A2695&lt;=[1]RESULTADOS!$D$6,"YTD","YTG")</f>
        <v>YTG</v>
      </c>
      <c r="E2695" t="s">
        <v>17</v>
      </c>
      <c r="F2695" t="s">
        <v>18</v>
      </c>
      <c r="G2695" t="s">
        <v>57</v>
      </c>
      <c r="H2695" t="s">
        <v>141</v>
      </c>
      <c r="I2695" t="s">
        <v>440</v>
      </c>
      <c r="J2695" t="str">
        <f>IFERROR(VLOOKUP(I2695,[1]AUTOS!$C:$G,2,0),"")</f>
        <v>AVEO</v>
      </c>
      <c r="K2695">
        <f>IFERROR(VLOOKUP(I2695,[1]AUTOS!$C:$G,3,0),"")</f>
        <v>2021</v>
      </c>
      <c r="L2695" t="str">
        <f>IFERROR(VLOOKUP(I2695,[1]AUTOS!$C:$G,4,0),"")</f>
        <v>GRIS</v>
      </c>
      <c r="P2695" s="3">
        <v>-2150.86</v>
      </c>
    </row>
    <row r="2696" spans="1:16" hidden="1" x14ac:dyDescent="0.3">
      <c r="A2696">
        <v>43</v>
      </c>
      <c r="B2696" t="str">
        <f>VLOOKUP($A2696,[1]LISTA!$B:$C,2,0)</f>
        <v>OCTUBRE</v>
      </c>
      <c r="C2696" s="1">
        <v>2025</v>
      </c>
      <c r="D2696" s="1" t="str">
        <f>IF($A2696&lt;=[1]RESULTADOS!$D$6,"YTD","YTG")</f>
        <v>YTG</v>
      </c>
      <c r="E2696" t="s">
        <v>17</v>
      </c>
      <c r="F2696" t="s">
        <v>18</v>
      </c>
      <c r="G2696" t="s">
        <v>29</v>
      </c>
      <c r="H2696" t="s">
        <v>762</v>
      </c>
      <c r="I2696" t="s">
        <v>21</v>
      </c>
      <c r="J2696" t="str">
        <f>IFERROR(VLOOKUP(I2696,[1]AUTOS!$C:$G,2,0),"")</f>
        <v/>
      </c>
      <c r="K2696" t="str">
        <f>IFERROR(VLOOKUP(I2696,[1]AUTOS!$C:$G,3,0),"")</f>
        <v/>
      </c>
      <c r="L2696" t="str">
        <f>IFERROR(VLOOKUP(I2696,[1]AUTOS!$C:$G,4,0),"")</f>
        <v/>
      </c>
      <c r="P2696" s="3">
        <v>-200</v>
      </c>
    </row>
    <row r="2697" spans="1:16" hidden="1" x14ac:dyDescent="0.3">
      <c r="A2697">
        <v>43</v>
      </c>
      <c r="B2697" t="str">
        <f>VLOOKUP($A2697,[1]LISTA!$B:$C,2,0)</f>
        <v>OCTUBRE</v>
      </c>
      <c r="C2697" s="1">
        <v>2025</v>
      </c>
      <c r="D2697" s="1" t="str">
        <f>IF($A2697&lt;=[1]RESULTADOS!$D$6,"YTD","YTG")</f>
        <v>YTG</v>
      </c>
      <c r="E2697" t="s">
        <v>17</v>
      </c>
      <c r="F2697" t="s">
        <v>18</v>
      </c>
      <c r="G2697" t="s">
        <v>53</v>
      </c>
      <c r="H2697" t="s">
        <v>763</v>
      </c>
      <c r="I2697" t="s">
        <v>214</v>
      </c>
      <c r="J2697" t="str">
        <f>IFERROR(VLOOKUP(I2697,[1]AUTOS!$C:$G,2,0),"")</f>
        <v>VENTO</v>
      </c>
      <c r="K2697">
        <f>IFERROR(VLOOKUP(I2697,[1]AUTOS!$C:$G,3,0),"")</f>
        <v>2019</v>
      </c>
      <c r="L2697" t="str">
        <f>IFERROR(VLOOKUP(I2697,[1]AUTOS!$C:$G,4,0),"")</f>
        <v>BLANCO</v>
      </c>
      <c r="P2697" s="3">
        <v>-125</v>
      </c>
    </row>
    <row r="2698" spans="1:16" hidden="1" x14ac:dyDescent="0.3">
      <c r="A2698">
        <v>43</v>
      </c>
      <c r="B2698" t="str">
        <f>VLOOKUP($A2698,[1]LISTA!$B:$C,2,0)</f>
        <v>OCTUBRE</v>
      </c>
      <c r="C2698" s="1">
        <v>2025</v>
      </c>
      <c r="D2698" s="1" t="str">
        <f>IF($A2698&lt;=[1]RESULTADOS!$D$6,"YTD","YTG")</f>
        <v>YTG</v>
      </c>
      <c r="E2698" t="s">
        <v>722</v>
      </c>
      <c r="F2698" t="s">
        <v>18</v>
      </c>
      <c r="G2698" t="s">
        <v>53</v>
      </c>
      <c r="H2698" t="s">
        <v>763</v>
      </c>
      <c r="I2698" t="s">
        <v>185</v>
      </c>
      <c r="J2698" t="str">
        <f>IFERROR(VLOOKUP(I2698,[1]AUTOS!$C:$G,2,0),"")</f>
        <v>MARCH</v>
      </c>
      <c r="K2698">
        <f>IFERROR(VLOOKUP(I2698,[1]AUTOS!$C:$G,3,0),"")</f>
        <v>2021</v>
      </c>
      <c r="L2698" t="str">
        <f>IFERROR(VLOOKUP(I2698,[1]AUTOS!$C:$G,4,0),"")</f>
        <v>ROJO</v>
      </c>
      <c r="P2698" s="3">
        <v>-125</v>
      </c>
    </row>
    <row r="2699" spans="1:16" hidden="1" x14ac:dyDescent="0.3">
      <c r="A2699">
        <v>43</v>
      </c>
      <c r="B2699" t="str">
        <f>VLOOKUP($A2699,[1]LISTA!$B:$C,2,0)</f>
        <v>OCTUBRE</v>
      </c>
      <c r="C2699" s="1">
        <v>2025</v>
      </c>
      <c r="D2699" s="1" t="str">
        <f>IF($A2699&lt;=[1]RESULTADOS!$D$6,"YTD","YTG")</f>
        <v>YTG</v>
      </c>
      <c r="E2699" s="5" t="s">
        <v>411</v>
      </c>
      <c r="F2699" t="s">
        <v>18</v>
      </c>
      <c r="G2699" t="s">
        <v>53</v>
      </c>
      <c r="H2699" t="s">
        <v>763</v>
      </c>
      <c r="I2699" t="s">
        <v>178</v>
      </c>
      <c r="J2699" t="str">
        <f>IFERROR(VLOOKUP(I2699,[1]AUTOS!$C:$G,2,0),"")</f>
        <v>VERSA</v>
      </c>
      <c r="K2699">
        <f>IFERROR(VLOOKUP(I2699,[1]AUTOS!$C:$G,3,0),"")</f>
        <v>2020</v>
      </c>
      <c r="L2699" t="str">
        <f>IFERROR(VLOOKUP(I2699,[1]AUTOS!$C:$G,4,0),"")</f>
        <v>BLANCO</v>
      </c>
      <c r="P2699" s="3">
        <v>-125</v>
      </c>
    </row>
    <row r="2700" spans="1:16" hidden="1" x14ac:dyDescent="0.3">
      <c r="A2700">
        <v>43</v>
      </c>
      <c r="B2700" t="str">
        <f>VLOOKUP($A2700,[1]LISTA!$B:$C,2,0)</f>
        <v>OCTUBRE</v>
      </c>
      <c r="C2700" s="1">
        <v>2025</v>
      </c>
      <c r="D2700" s="1" t="str">
        <f>IF($A2700&lt;=[1]RESULTADOS!$D$6,"YTD","YTG")</f>
        <v>YTG</v>
      </c>
      <c r="E2700" t="s">
        <v>17</v>
      </c>
      <c r="F2700" t="s">
        <v>18</v>
      </c>
      <c r="G2700" t="s">
        <v>176</v>
      </c>
      <c r="H2700" t="s">
        <v>764</v>
      </c>
      <c r="I2700" t="s">
        <v>214</v>
      </c>
      <c r="J2700" t="str">
        <f>IFERROR(VLOOKUP(I2700,[1]AUTOS!$C:$G,2,0),"")</f>
        <v>VENTO</v>
      </c>
      <c r="K2700">
        <f>IFERROR(VLOOKUP(I2700,[1]AUTOS!$C:$G,3,0),"")</f>
        <v>2019</v>
      </c>
      <c r="L2700" t="str">
        <f>IFERROR(VLOOKUP(I2700,[1]AUTOS!$C:$G,4,0),"")</f>
        <v>BLANCO</v>
      </c>
      <c r="P2700" s="3">
        <v>-180</v>
      </c>
    </row>
    <row r="2701" spans="1:16" hidden="1" x14ac:dyDescent="0.3">
      <c r="A2701">
        <v>43</v>
      </c>
      <c r="B2701" t="str">
        <f>VLOOKUP($A2701,[1]LISTA!$B:$C,2,0)</f>
        <v>OCTUBRE</v>
      </c>
      <c r="C2701" s="1">
        <v>2025</v>
      </c>
      <c r="D2701" s="1" t="str">
        <f>IF($A2701&lt;=[1]RESULTADOS!$D$6,"YTD","YTG")</f>
        <v>YTG</v>
      </c>
      <c r="E2701" t="s">
        <v>17</v>
      </c>
      <c r="F2701" t="s">
        <v>18</v>
      </c>
      <c r="G2701" t="s">
        <v>142</v>
      </c>
      <c r="H2701" t="s">
        <v>143</v>
      </c>
      <c r="I2701" t="s">
        <v>214</v>
      </c>
      <c r="J2701" t="str">
        <f>IFERROR(VLOOKUP(I2701,[1]AUTOS!$C:$G,2,0),"")</f>
        <v>VENTO</v>
      </c>
      <c r="K2701">
        <f>IFERROR(VLOOKUP(I2701,[1]AUTOS!$C:$G,3,0),"")</f>
        <v>2019</v>
      </c>
      <c r="L2701" t="str">
        <f>IFERROR(VLOOKUP(I2701,[1]AUTOS!$C:$G,4,0),"")</f>
        <v>BLANCO</v>
      </c>
      <c r="P2701" s="3">
        <v>-6500</v>
      </c>
    </row>
    <row r="2702" spans="1:16" hidden="1" x14ac:dyDescent="0.3">
      <c r="A2702">
        <v>43</v>
      </c>
      <c r="B2702" t="str">
        <f>VLOOKUP($A2702,[1]LISTA!$B:$C,2,0)</f>
        <v>OCTUBRE</v>
      </c>
      <c r="C2702" s="1">
        <v>2025</v>
      </c>
      <c r="D2702" s="1" t="str">
        <f>IF($A2702&lt;=[1]RESULTADOS!$D$6,"YTD","YTG")</f>
        <v>YTG</v>
      </c>
      <c r="E2702" s="5" t="s">
        <v>526</v>
      </c>
      <c r="F2702" t="s">
        <v>18</v>
      </c>
      <c r="G2702" t="s">
        <v>142</v>
      </c>
      <c r="H2702" t="s">
        <v>143</v>
      </c>
      <c r="I2702" t="s">
        <v>67</v>
      </c>
      <c r="J2702" t="str">
        <f>IFERROR(VLOOKUP(I2702,[1]AUTOS!$C:$G,2,0),"")</f>
        <v>KIA RIO</v>
      </c>
      <c r="K2702">
        <f>IFERROR(VLOOKUP(I2702,[1]AUTOS!$C:$G,3,0),"")</f>
        <v>2020</v>
      </c>
      <c r="L2702" t="str">
        <f>IFERROR(VLOOKUP(I2702,[1]AUTOS!$C:$G,4,0),"")</f>
        <v>GRIS</v>
      </c>
      <c r="P2702" s="3">
        <v>-3000</v>
      </c>
    </row>
    <row r="2703" spans="1:16" hidden="1" x14ac:dyDescent="0.3">
      <c r="A2703">
        <v>43</v>
      </c>
      <c r="B2703" t="str">
        <f>VLOOKUP($A2703,[1]LISTA!$B:$C,2,0)</f>
        <v>OCTUBRE</v>
      </c>
      <c r="C2703" s="1">
        <v>2025</v>
      </c>
      <c r="D2703" s="1" t="str">
        <f>IF($A2703&lt;=[1]RESULTADOS!$D$6,"YTD","YTG")</f>
        <v>YTG</v>
      </c>
      <c r="E2703" s="5" t="s">
        <v>526</v>
      </c>
      <c r="F2703" t="s">
        <v>18</v>
      </c>
      <c r="G2703" t="s">
        <v>57</v>
      </c>
      <c r="H2703" t="s">
        <v>249</v>
      </c>
      <c r="I2703" t="s">
        <v>67</v>
      </c>
      <c r="J2703" t="str">
        <f>IFERROR(VLOOKUP(I2703,[1]AUTOS!$C:$G,2,0),"")</f>
        <v>KIA RIO</v>
      </c>
      <c r="K2703">
        <f>IFERROR(VLOOKUP(I2703,[1]AUTOS!$C:$G,3,0),"")</f>
        <v>2020</v>
      </c>
      <c r="L2703" t="str">
        <f>IFERROR(VLOOKUP(I2703,[1]AUTOS!$C:$G,4,0),"")</f>
        <v>GRIS</v>
      </c>
      <c r="P2703" s="3">
        <v>-50</v>
      </c>
    </row>
    <row r="2704" spans="1:16" hidden="1" x14ac:dyDescent="0.3">
      <c r="A2704">
        <v>44</v>
      </c>
      <c r="B2704" t="str">
        <f>VLOOKUP($A2704,[1]LISTA!$B:$C,2,0)</f>
        <v>OCTUBRE</v>
      </c>
      <c r="C2704" s="1">
        <v>2025</v>
      </c>
      <c r="D2704" s="1" t="str">
        <f>IF($A2704&lt;=[1]RESULTADOS!$D$6,"YTD","YTG")</f>
        <v>YTG</v>
      </c>
      <c r="E2704" s="5" t="s">
        <v>17</v>
      </c>
      <c r="F2704" t="s">
        <v>18</v>
      </c>
      <c r="G2704" t="s">
        <v>153</v>
      </c>
      <c r="H2704" t="s">
        <v>285</v>
      </c>
      <c r="I2704" t="s">
        <v>46</v>
      </c>
      <c r="J2704" t="str">
        <f>IFERROR(VLOOKUP(I2704,[1]AUTOS!$C:$G,2,0),"")</f>
        <v>MARCH</v>
      </c>
      <c r="K2704">
        <f>IFERROR(VLOOKUP(I2704,[1]AUTOS!$C:$G,3,0),"")</f>
        <v>2020</v>
      </c>
      <c r="L2704" t="str">
        <f>IFERROR(VLOOKUP(I2704,[1]AUTOS!$C:$G,4,0),"")</f>
        <v>TURQ</v>
      </c>
      <c r="P2704" s="3">
        <v>-450</v>
      </c>
    </row>
    <row r="2705" spans="1:16" hidden="1" x14ac:dyDescent="0.3">
      <c r="A2705">
        <v>44</v>
      </c>
      <c r="B2705" t="str">
        <f>VLOOKUP($A2705,[1]LISTA!$B:$C,2,0)</f>
        <v>OCTUBRE</v>
      </c>
      <c r="C2705" s="1">
        <v>2025</v>
      </c>
      <c r="D2705" s="1" t="str">
        <f>IF($A2705&lt;=[1]RESULTADOS!$D$6,"YTD","YTG")</f>
        <v>YTG</v>
      </c>
      <c r="E2705" s="5" t="s">
        <v>526</v>
      </c>
      <c r="F2705" t="s">
        <v>18</v>
      </c>
      <c r="G2705" t="s">
        <v>57</v>
      </c>
      <c r="H2705" t="s">
        <v>765</v>
      </c>
      <c r="I2705" t="s">
        <v>67</v>
      </c>
      <c r="J2705" t="str">
        <f>IFERROR(VLOOKUP(I2705,[1]AUTOS!$C:$G,2,0),"")</f>
        <v>KIA RIO</v>
      </c>
      <c r="K2705">
        <f>IFERROR(VLOOKUP(I2705,[1]AUTOS!$C:$G,3,0),"")</f>
        <v>2020</v>
      </c>
      <c r="L2705" t="str">
        <f>IFERROR(VLOOKUP(I2705,[1]AUTOS!$C:$G,4,0),"")</f>
        <v>GRIS</v>
      </c>
      <c r="P2705" s="3">
        <v>-150</v>
      </c>
    </row>
    <row r="2706" spans="1:16" hidden="1" x14ac:dyDescent="0.3">
      <c r="A2706">
        <v>44</v>
      </c>
      <c r="B2706" t="str">
        <f>VLOOKUP($A2706,[1]LISTA!$B:$C,2,0)</f>
        <v>OCTUBRE</v>
      </c>
      <c r="C2706" s="1">
        <v>2025</v>
      </c>
      <c r="D2706" s="1" t="str">
        <f>IF($A2706&lt;=[1]RESULTADOS!$D$6,"YTD","YTG")</f>
        <v>YTG</v>
      </c>
      <c r="E2706" t="s">
        <v>17</v>
      </c>
      <c r="F2706" t="s">
        <v>18</v>
      </c>
      <c r="G2706" t="s">
        <v>176</v>
      </c>
      <c r="H2706" t="s">
        <v>766</v>
      </c>
      <c r="I2706" t="s">
        <v>214</v>
      </c>
      <c r="J2706" t="str">
        <f>IFERROR(VLOOKUP(I2706,[1]AUTOS!$C:$G,2,0),"")</f>
        <v>VENTO</v>
      </c>
      <c r="K2706">
        <f>IFERROR(VLOOKUP(I2706,[1]AUTOS!$C:$G,3,0),"")</f>
        <v>2019</v>
      </c>
      <c r="L2706" t="str">
        <f>IFERROR(VLOOKUP(I2706,[1]AUTOS!$C:$G,4,0),"")</f>
        <v>BLANCO</v>
      </c>
      <c r="P2706" s="3">
        <v>-580</v>
      </c>
    </row>
    <row r="2707" spans="1:16" hidden="1" x14ac:dyDescent="0.3">
      <c r="A2707">
        <v>44</v>
      </c>
      <c r="B2707" t="str">
        <f>VLOOKUP($A2707,[1]LISTA!$B:$C,2,0)</f>
        <v>OCTUBRE</v>
      </c>
      <c r="C2707" s="1">
        <v>2025</v>
      </c>
      <c r="D2707" s="1" t="str">
        <f>IF($A2707&lt;=[1]RESULTADOS!$D$6,"YTD","YTG")</f>
        <v>YTG</v>
      </c>
      <c r="E2707" s="5" t="s">
        <v>526</v>
      </c>
      <c r="F2707" t="s">
        <v>18</v>
      </c>
      <c r="G2707" t="s">
        <v>57</v>
      </c>
      <c r="H2707" t="s">
        <v>767</v>
      </c>
      <c r="I2707" t="s">
        <v>67</v>
      </c>
      <c r="J2707" t="str">
        <f>IFERROR(VLOOKUP(I2707,[1]AUTOS!$C:$G,2,0),"")</f>
        <v>KIA RIO</v>
      </c>
      <c r="K2707">
        <f>IFERROR(VLOOKUP(I2707,[1]AUTOS!$C:$G,3,0),"")</f>
        <v>2020</v>
      </c>
      <c r="L2707" t="str">
        <f>IFERROR(VLOOKUP(I2707,[1]AUTOS!$C:$G,4,0),"")</f>
        <v>GRIS</v>
      </c>
      <c r="P2707" s="3">
        <v>-1100</v>
      </c>
    </row>
    <row r="2708" spans="1:16" hidden="1" x14ac:dyDescent="0.3">
      <c r="A2708">
        <v>44</v>
      </c>
      <c r="B2708" t="str">
        <f>VLOOKUP($A2708,[1]LISTA!$B:$C,2,0)</f>
        <v>OCTUBRE</v>
      </c>
      <c r="C2708" s="1">
        <v>2025</v>
      </c>
      <c r="D2708" s="1" t="str">
        <f>IF($A2708&lt;=[1]RESULTADOS!$D$6,"YTD","YTG")</f>
        <v>YTG</v>
      </c>
      <c r="E2708" t="s">
        <v>17</v>
      </c>
      <c r="F2708" t="s">
        <v>18</v>
      </c>
      <c r="G2708" t="s">
        <v>158</v>
      </c>
      <c r="H2708" t="s">
        <v>768</v>
      </c>
      <c r="I2708" t="s">
        <v>733</v>
      </c>
      <c r="J2708" t="str">
        <f>IFERROR(VLOOKUP(I2708,[1]AUTOS!$C:$G,2,0),"")</f>
        <v>AVEO</v>
      </c>
      <c r="K2708">
        <f>IFERROR(VLOOKUP(I2708,[1]AUTOS!$C:$G,3,0),"")</f>
        <v>2025</v>
      </c>
      <c r="L2708" t="str">
        <f>IFERROR(VLOOKUP(I2708,[1]AUTOS!$C:$G,4,0),"")</f>
        <v>PERSUASION</v>
      </c>
      <c r="P2708" s="3">
        <v>-160</v>
      </c>
    </row>
    <row r="2709" spans="1:16" hidden="1" x14ac:dyDescent="0.3">
      <c r="A2709">
        <v>44</v>
      </c>
      <c r="B2709" t="str">
        <f>VLOOKUP($A2709,[1]LISTA!$B:$C,2,0)</f>
        <v>OCTUBRE</v>
      </c>
      <c r="C2709" s="1">
        <v>2025</v>
      </c>
      <c r="D2709" s="1" t="str">
        <f>IF($A2709&lt;=[1]RESULTADOS!$D$6,"YTD","YTG")</f>
        <v>YTG</v>
      </c>
      <c r="E2709" t="s">
        <v>729</v>
      </c>
      <c r="F2709" t="s">
        <v>18</v>
      </c>
      <c r="G2709" t="s">
        <v>29</v>
      </c>
      <c r="H2709" t="s">
        <v>275</v>
      </c>
      <c r="I2709" t="s">
        <v>560</v>
      </c>
      <c r="J2709" t="str">
        <f>IFERROR(VLOOKUP(I2709,[1]AUTOS!$C:$G,2,0),"")</f>
        <v>AVEO</v>
      </c>
      <c r="K2709">
        <f>IFERROR(VLOOKUP(I2709,[1]AUTOS!$C:$G,3,0),"")</f>
        <v>2023</v>
      </c>
      <c r="L2709" t="str">
        <f>IFERROR(VLOOKUP(I2709,[1]AUTOS!$C:$G,4,0),"")</f>
        <v>VINO</v>
      </c>
      <c r="P2709" s="3">
        <v>-50</v>
      </c>
    </row>
    <row r="2710" spans="1:16" hidden="1" x14ac:dyDescent="0.3">
      <c r="A2710">
        <v>44</v>
      </c>
      <c r="B2710" t="str">
        <f>VLOOKUP($A2710,[1]LISTA!$B:$C,2,0)</f>
        <v>OCTUBRE</v>
      </c>
      <c r="C2710" s="1">
        <v>2025</v>
      </c>
      <c r="D2710" s="1" t="str">
        <f>IF($A2710&lt;=[1]RESULTADOS!$D$6,"YTD","YTG")</f>
        <v>YTG</v>
      </c>
      <c r="E2710" t="s">
        <v>17</v>
      </c>
      <c r="F2710" t="s">
        <v>18</v>
      </c>
      <c r="G2710" t="s">
        <v>57</v>
      </c>
      <c r="H2710" t="s">
        <v>769</v>
      </c>
      <c r="I2710" t="s">
        <v>59</v>
      </c>
      <c r="J2710" t="str">
        <f>IFERROR(VLOOKUP(I2710,[1]AUTOS!$C:$G,2,0),"")</f>
        <v>AVEO</v>
      </c>
      <c r="K2710">
        <f>IFERROR(VLOOKUP(I2710,[1]AUTOS!$C:$G,3,0),"")</f>
        <v>2019</v>
      </c>
      <c r="L2710" t="str">
        <f>IFERROR(VLOOKUP(I2710,[1]AUTOS!$C:$G,4,0),"")</f>
        <v>BLANCO</v>
      </c>
      <c r="P2710" s="3">
        <v>-140</v>
      </c>
    </row>
    <row r="2711" spans="1:16" hidden="1" x14ac:dyDescent="0.3">
      <c r="A2711">
        <v>44</v>
      </c>
      <c r="B2711" t="str">
        <f>VLOOKUP($A2711,[1]LISTA!$B:$C,2,0)</f>
        <v>OCTUBRE</v>
      </c>
      <c r="C2711" s="1">
        <v>2025</v>
      </c>
      <c r="D2711" s="1" t="str">
        <f>IF($A2711&lt;=[1]RESULTADOS!$D$6,"YTD","YTG")</f>
        <v>YTG</v>
      </c>
      <c r="E2711" s="5" t="s">
        <v>704</v>
      </c>
      <c r="F2711" t="s">
        <v>18</v>
      </c>
      <c r="G2711" t="s">
        <v>77</v>
      </c>
      <c r="H2711" t="s">
        <v>514</v>
      </c>
      <c r="I2711" t="s">
        <v>37</v>
      </c>
      <c r="J2711" t="str">
        <f>IFERROR(VLOOKUP(I2711,[1]AUTOS!$C:$G,2,0),"")</f>
        <v>BEAT</v>
      </c>
      <c r="K2711">
        <f>IFERROR(VLOOKUP(I2711,[1]AUTOS!$C:$G,3,0),"")</f>
        <v>2020</v>
      </c>
      <c r="L2711" t="str">
        <f>IFERROR(VLOOKUP(I2711,[1]AUTOS!$C:$G,4,0),"")</f>
        <v>GRIS</v>
      </c>
      <c r="P2711" s="3">
        <v>-720</v>
      </c>
    </row>
    <row r="2712" spans="1:16" hidden="1" x14ac:dyDescent="0.3">
      <c r="A2712">
        <v>44</v>
      </c>
      <c r="B2712" t="str">
        <f>VLOOKUP($A2712,[1]LISTA!$B:$C,2,0)</f>
        <v>OCTUBRE</v>
      </c>
      <c r="C2712" s="1">
        <v>2025</v>
      </c>
      <c r="D2712" s="1" t="str">
        <f>IF($A2712&lt;=[1]RESULTADOS!$D$6,"YTD","YTG")</f>
        <v>YTG</v>
      </c>
      <c r="E2712" s="5" t="s">
        <v>526</v>
      </c>
      <c r="F2712" t="s">
        <v>18</v>
      </c>
      <c r="G2712" t="s">
        <v>29</v>
      </c>
      <c r="H2712" t="s">
        <v>770</v>
      </c>
      <c r="I2712" t="s">
        <v>67</v>
      </c>
      <c r="J2712" t="str">
        <f>IFERROR(VLOOKUP(I2712,[1]AUTOS!$C:$G,2,0),"")</f>
        <v>KIA RIO</v>
      </c>
      <c r="K2712">
        <f>IFERROR(VLOOKUP(I2712,[1]AUTOS!$C:$G,3,0),"")</f>
        <v>2020</v>
      </c>
      <c r="L2712" t="str">
        <f>IFERROR(VLOOKUP(I2712,[1]AUTOS!$C:$G,4,0),"")</f>
        <v>GRIS</v>
      </c>
      <c r="P2712" s="3">
        <v>-500</v>
      </c>
    </row>
    <row r="2713" spans="1:16" hidden="1" x14ac:dyDescent="0.3">
      <c r="A2713">
        <v>44</v>
      </c>
      <c r="B2713" t="str">
        <f>VLOOKUP($A2713,[1]LISTA!$B:$C,2,0)</f>
        <v>OCTUBRE</v>
      </c>
      <c r="C2713" s="1">
        <v>2025</v>
      </c>
      <c r="D2713" s="1" t="str">
        <f>IF($A2713&lt;=[1]RESULTADOS!$D$6,"YTD","YTG")</f>
        <v>YTG</v>
      </c>
      <c r="E2713" t="s">
        <v>17</v>
      </c>
      <c r="F2713" t="s">
        <v>18</v>
      </c>
      <c r="G2713" t="s">
        <v>32</v>
      </c>
      <c r="H2713" t="s">
        <v>771</v>
      </c>
      <c r="I2713" t="s">
        <v>59</v>
      </c>
      <c r="J2713" t="str">
        <f>IFERROR(VLOOKUP(I2713,[1]AUTOS!$C:$G,2,0),"")</f>
        <v>AVEO</v>
      </c>
      <c r="K2713">
        <f>IFERROR(VLOOKUP(I2713,[1]AUTOS!$C:$G,3,0),"")</f>
        <v>2019</v>
      </c>
      <c r="L2713" t="str">
        <f>IFERROR(VLOOKUP(I2713,[1]AUTOS!$C:$G,4,0),"")</f>
        <v>BLANCO</v>
      </c>
      <c r="P2713" s="3">
        <v>-200</v>
      </c>
    </row>
    <row r="2714" spans="1:16" hidden="1" x14ac:dyDescent="0.3">
      <c r="A2714">
        <v>44</v>
      </c>
      <c r="B2714" t="str">
        <f>VLOOKUP($A2714,[1]LISTA!$B:$C,2,0)</f>
        <v>OCTUBRE</v>
      </c>
      <c r="C2714" s="1">
        <v>2025</v>
      </c>
      <c r="D2714" s="1" t="str">
        <f>IF($A2714&lt;=[1]RESULTADOS!$D$6,"YTD","YTG")</f>
        <v>YTG</v>
      </c>
      <c r="E2714" t="s">
        <v>17</v>
      </c>
      <c r="F2714" t="s">
        <v>18</v>
      </c>
      <c r="G2714" t="s">
        <v>41</v>
      </c>
      <c r="H2714" t="s">
        <v>772</v>
      </c>
      <c r="I2714" t="s">
        <v>366</v>
      </c>
      <c r="J2714" t="str">
        <f>IFERROR(VLOOKUP(I2714,[1]AUTOS!$C:$G,2,0),"")</f>
        <v>VENTO</v>
      </c>
      <c r="K2714">
        <f>IFERROR(VLOOKUP(I2714,[1]AUTOS!$C:$G,3,0),"")</f>
        <v>2019</v>
      </c>
      <c r="L2714" t="str">
        <f>IFERROR(VLOOKUP(I2714,[1]AUTOS!$C:$G,4,0),"")</f>
        <v>BLANCO</v>
      </c>
      <c r="P2714" s="3">
        <v>-100</v>
      </c>
    </row>
    <row r="2715" spans="1:16" hidden="1" x14ac:dyDescent="0.3">
      <c r="A2715">
        <v>44</v>
      </c>
      <c r="B2715" t="str">
        <f>VLOOKUP($A2715,[1]LISTA!$B:$C,2,0)</f>
        <v>OCTUBRE</v>
      </c>
      <c r="C2715" s="1">
        <v>2025</v>
      </c>
      <c r="D2715" s="1" t="str">
        <f>IF($A2715&lt;=[1]RESULTADOS!$D$6,"YTD","YTG")</f>
        <v>YTG</v>
      </c>
      <c r="E2715" t="s">
        <v>17</v>
      </c>
      <c r="F2715" t="s">
        <v>18</v>
      </c>
      <c r="G2715" t="s">
        <v>115</v>
      </c>
      <c r="H2715" t="s">
        <v>773</v>
      </c>
      <c r="I2715" t="s">
        <v>21</v>
      </c>
      <c r="J2715" t="str">
        <f>IFERROR(VLOOKUP(I2715,[1]AUTOS!$C:$G,2,0),"")</f>
        <v/>
      </c>
      <c r="K2715" t="str">
        <f>IFERROR(VLOOKUP(I2715,[1]AUTOS!$C:$G,3,0),"")</f>
        <v/>
      </c>
      <c r="L2715" t="str">
        <f>IFERROR(VLOOKUP(I2715,[1]AUTOS!$C:$G,4,0),"")</f>
        <v/>
      </c>
      <c r="P2715" s="3">
        <v>-2372</v>
      </c>
    </row>
    <row r="2716" spans="1:16" hidden="1" x14ac:dyDescent="0.3">
      <c r="A2716">
        <v>44</v>
      </c>
      <c r="B2716" t="str">
        <f>VLOOKUP($A2716,[1]LISTA!$B:$C,2,0)</f>
        <v>OCTUBRE</v>
      </c>
      <c r="C2716" s="1">
        <v>2025</v>
      </c>
      <c r="D2716" s="1" t="str">
        <f>IF($A2716&lt;=[1]RESULTADOS!$D$6,"YTD","YTG")</f>
        <v>YTG</v>
      </c>
      <c r="E2716" t="s">
        <v>17</v>
      </c>
      <c r="F2716" t="s">
        <v>18</v>
      </c>
      <c r="G2716" t="s">
        <v>115</v>
      </c>
      <c r="H2716" t="s">
        <v>773</v>
      </c>
      <c r="I2716" t="s">
        <v>21</v>
      </c>
      <c r="J2716" t="str">
        <f>IFERROR(VLOOKUP(I2716,[1]AUTOS!$C:$G,2,0),"")</f>
        <v/>
      </c>
      <c r="K2716" t="str">
        <f>IFERROR(VLOOKUP(I2716,[1]AUTOS!$C:$G,3,0),"")</f>
        <v/>
      </c>
      <c r="L2716" t="str">
        <f>IFERROR(VLOOKUP(I2716,[1]AUTOS!$C:$G,4,0),"")</f>
        <v/>
      </c>
      <c r="P2716" s="3">
        <v>-2372</v>
      </c>
    </row>
    <row r="2717" spans="1:16" hidden="1" x14ac:dyDescent="0.3">
      <c r="A2717">
        <v>44</v>
      </c>
      <c r="B2717" t="str">
        <f>VLOOKUP($A2717,[1]LISTA!$B:$C,2,0)</f>
        <v>OCTUBRE</v>
      </c>
      <c r="C2717" s="1">
        <v>2025</v>
      </c>
      <c r="D2717" s="1" t="str">
        <f>IF($A2717&lt;=[1]RESULTADOS!$D$6,"YTD","YTG")</f>
        <v>YTG</v>
      </c>
      <c r="E2717" s="5" t="s">
        <v>526</v>
      </c>
      <c r="F2717" t="s">
        <v>18</v>
      </c>
      <c r="G2717" t="s">
        <v>176</v>
      </c>
      <c r="H2717" t="s">
        <v>774</v>
      </c>
      <c r="I2717" t="s">
        <v>67</v>
      </c>
      <c r="J2717" t="str">
        <f>IFERROR(VLOOKUP(I2717,[1]AUTOS!$C:$G,2,0),"")</f>
        <v>KIA RIO</v>
      </c>
      <c r="K2717">
        <f>IFERROR(VLOOKUP(I2717,[1]AUTOS!$C:$G,3,0),"")</f>
        <v>2020</v>
      </c>
      <c r="L2717" t="str">
        <f>IFERROR(VLOOKUP(I2717,[1]AUTOS!$C:$G,4,0),"")</f>
        <v>GRIS</v>
      </c>
      <c r="P2717" s="3">
        <v>-100</v>
      </c>
    </row>
    <row r="2718" spans="1:16" hidden="1" x14ac:dyDescent="0.3">
      <c r="A2718">
        <v>44</v>
      </c>
      <c r="B2718" t="str">
        <f>VLOOKUP($A2718,[1]LISTA!$B:$C,2,0)</f>
        <v>OCTUBRE</v>
      </c>
      <c r="C2718" s="1">
        <v>2025</v>
      </c>
      <c r="D2718" s="1" t="str">
        <f>IF($A2718&lt;=[1]RESULTADOS!$D$6,"YTD","YTG")</f>
        <v>YTG</v>
      </c>
      <c r="E2718" t="s">
        <v>721</v>
      </c>
      <c r="F2718" t="s">
        <v>18</v>
      </c>
      <c r="G2718" t="s">
        <v>38</v>
      </c>
      <c r="H2718" t="s">
        <v>775</v>
      </c>
      <c r="I2718" t="s">
        <v>61</v>
      </c>
      <c r="J2718" t="str">
        <f>IFERROR(VLOOKUP(I2718,[1]AUTOS!$C:$G,2,0),"")</f>
        <v>KIA RIO</v>
      </c>
      <c r="K2718">
        <f>IFERROR(VLOOKUP(I2718,[1]AUTOS!$C:$G,3,0),"")</f>
        <v>2017</v>
      </c>
      <c r="L2718" t="str">
        <f>IFERROR(VLOOKUP(I2718,[1]AUTOS!$C:$G,4,0),"")</f>
        <v>ROJO</v>
      </c>
      <c r="P2718" s="3">
        <v>-100</v>
      </c>
    </row>
    <row r="2719" spans="1:16" hidden="1" x14ac:dyDescent="0.3">
      <c r="A2719">
        <v>44</v>
      </c>
      <c r="B2719" t="str">
        <f>VLOOKUP($A2719,[1]LISTA!$B:$C,2,0)</f>
        <v>OCTUBRE</v>
      </c>
      <c r="C2719" s="1">
        <v>2025</v>
      </c>
      <c r="D2719" s="1" t="str">
        <f>IF($A2719&lt;=[1]RESULTADOS!$D$6,"YTD","YTG")</f>
        <v>YTG</v>
      </c>
      <c r="E2719" t="s">
        <v>17</v>
      </c>
      <c r="F2719" t="s">
        <v>18</v>
      </c>
      <c r="G2719" t="s">
        <v>29</v>
      </c>
      <c r="H2719" t="s">
        <v>113</v>
      </c>
      <c r="I2719" t="s">
        <v>728</v>
      </c>
      <c r="J2719" t="str">
        <f>IFERROR(VLOOKUP(I2719,[1]AUTOS!$C:$G,2,0),"")</f>
        <v>AVEO</v>
      </c>
      <c r="K2719">
        <f>IFERROR(VLOOKUP(I2719,[1]AUTOS!$C:$G,3,0),"")</f>
        <v>2025</v>
      </c>
      <c r="L2719" t="str">
        <f>IFERROR(VLOOKUP(I2719,[1]AUTOS!$C:$G,4,0),"")</f>
        <v>PERSUASION</v>
      </c>
      <c r="P2719" s="3">
        <v>-200</v>
      </c>
    </row>
    <row r="2720" spans="1:16" hidden="1" x14ac:dyDescent="0.3">
      <c r="A2720">
        <v>44</v>
      </c>
      <c r="B2720" t="str">
        <f>VLOOKUP($A2720,[1]LISTA!$B:$C,2,0)</f>
        <v>OCTUBRE</v>
      </c>
      <c r="C2720" s="1">
        <v>2025</v>
      </c>
      <c r="D2720" s="1" t="str">
        <f>IF($A2720&lt;=[1]RESULTADOS!$D$6,"YTD","YTG")</f>
        <v>YTG</v>
      </c>
      <c r="E2720" t="s">
        <v>17</v>
      </c>
      <c r="F2720" t="s">
        <v>18</v>
      </c>
      <c r="G2720" t="s">
        <v>29</v>
      </c>
      <c r="H2720" t="s">
        <v>113</v>
      </c>
      <c r="I2720" t="s">
        <v>741</v>
      </c>
      <c r="J2720" t="str">
        <f>IFERROR(VLOOKUP(I2720,[1]AUTOS!$C:$G,2,0),"")</f>
        <v>AVEO</v>
      </c>
      <c r="K2720">
        <f>IFERROR(VLOOKUP(I2720,[1]AUTOS!$C:$G,3,0),"")</f>
        <v>2025</v>
      </c>
      <c r="L2720" t="str">
        <f>IFERROR(VLOOKUP(I2720,[1]AUTOS!$C:$G,4,0),"")</f>
        <v>PERSUASION</v>
      </c>
      <c r="P2720" s="3">
        <v>-200</v>
      </c>
    </row>
    <row r="2721" spans="1:19" hidden="1" x14ac:dyDescent="0.3">
      <c r="A2721">
        <v>44</v>
      </c>
      <c r="B2721" t="str">
        <f>VLOOKUP($A2721,[1]LISTA!$B:$C,2,0)</f>
        <v>OCTUBRE</v>
      </c>
      <c r="C2721" s="1">
        <v>2025</v>
      </c>
      <c r="D2721" s="1" t="str">
        <f>IF($A2721&lt;=[1]RESULTADOS!$D$6,"YTD","YTG")</f>
        <v>YTG</v>
      </c>
      <c r="E2721" t="s">
        <v>17</v>
      </c>
      <c r="F2721" t="s">
        <v>18</v>
      </c>
      <c r="G2721" t="s">
        <v>29</v>
      </c>
      <c r="H2721" t="s">
        <v>113</v>
      </c>
      <c r="I2721" t="s">
        <v>742</v>
      </c>
      <c r="J2721" t="str">
        <f>IFERROR(VLOOKUP(I2721,[1]AUTOS!$C:$G,2,0),"")</f>
        <v>AVEO</v>
      </c>
      <c r="K2721">
        <f>IFERROR(VLOOKUP(I2721,[1]AUTOS!$C:$G,3,0),"")</f>
        <v>2025</v>
      </c>
      <c r="L2721" t="str">
        <f>IFERROR(VLOOKUP(I2721,[1]AUTOS!$C:$G,4,0),"")</f>
        <v>PERSUASION</v>
      </c>
      <c r="P2721" s="3">
        <v>-200</v>
      </c>
    </row>
    <row r="2722" spans="1:19" hidden="1" x14ac:dyDescent="0.3">
      <c r="A2722">
        <v>44</v>
      </c>
      <c r="B2722" t="str">
        <f>VLOOKUP($A2722,[1]LISTA!$B:$C,2,0)</f>
        <v>OCTUBRE</v>
      </c>
      <c r="C2722" s="1">
        <v>2025</v>
      </c>
      <c r="D2722" s="1" t="str">
        <f>IF($A2722&lt;=[1]RESULTADOS!$D$6,"YTD","YTG")</f>
        <v>YTG</v>
      </c>
      <c r="E2722" t="s">
        <v>17</v>
      </c>
      <c r="F2722" t="s">
        <v>18</v>
      </c>
      <c r="G2722" t="s">
        <v>147</v>
      </c>
      <c r="H2722" t="s">
        <v>776</v>
      </c>
      <c r="I2722" t="s">
        <v>34</v>
      </c>
      <c r="J2722" t="str">
        <f>IFERROR(VLOOKUP(I2722,[1]AUTOS!$C:$G,2,0),"")</f>
        <v>AVEO</v>
      </c>
      <c r="K2722">
        <f>IFERROR(VLOOKUP(I2722,[1]AUTOS!$C:$G,3,0),"")</f>
        <v>2018</v>
      </c>
      <c r="L2722" t="str">
        <f>IFERROR(VLOOKUP(I2722,[1]AUTOS!$C:$G,4,0),"")</f>
        <v>ROJO</v>
      </c>
      <c r="P2722" s="3">
        <v>-20</v>
      </c>
    </row>
    <row r="2723" spans="1:19" hidden="1" x14ac:dyDescent="0.3">
      <c r="A2723">
        <v>44</v>
      </c>
      <c r="B2723" t="str">
        <f>VLOOKUP($A2723,[1]LISTA!$B:$C,2,0)</f>
        <v>OCTUBRE</v>
      </c>
      <c r="C2723" s="1">
        <v>2025</v>
      </c>
      <c r="D2723" s="1" t="str">
        <f>IF($A2723&lt;=[1]RESULTADOS!$D$6,"YTD","YTG")</f>
        <v>YTG</v>
      </c>
      <c r="E2723" t="s">
        <v>17</v>
      </c>
      <c r="F2723" t="s">
        <v>18</v>
      </c>
      <c r="G2723" t="s">
        <v>23</v>
      </c>
      <c r="H2723" t="s">
        <v>777</v>
      </c>
      <c r="I2723" t="s">
        <v>21</v>
      </c>
      <c r="J2723" t="str">
        <f>IFERROR(VLOOKUP(I2723,[1]AUTOS!$C:$G,2,0),"")</f>
        <v/>
      </c>
      <c r="K2723" t="str">
        <f>IFERROR(VLOOKUP(I2723,[1]AUTOS!$C:$G,3,0),"")</f>
        <v/>
      </c>
      <c r="L2723" t="str">
        <f>IFERROR(VLOOKUP(I2723,[1]AUTOS!$C:$G,4,0),"")</f>
        <v/>
      </c>
      <c r="P2723" s="3">
        <v>-80</v>
      </c>
    </row>
    <row r="2724" spans="1:19" hidden="1" x14ac:dyDescent="0.3">
      <c r="A2724">
        <v>44</v>
      </c>
      <c r="B2724" t="str">
        <f>VLOOKUP($A2724,[1]LISTA!$B:$C,2,0)</f>
        <v>OCTUBRE</v>
      </c>
      <c r="C2724" s="1">
        <v>2025</v>
      </c>
      <c r="D2724" s="1" t="str">
        <f>IF($A2724&lt;=[1]RESULTADOS!$D$6,"YTD","YTG")</f>
        <v>YTG</v>
      </c>
      <c r="E2724" t="s">
        <v>399</v>
      </c>
      <c r="F2724" t="s">
        <v>18</v>
      </c>
      <c r="G2724" t="s">
        <v>87</v>
      </c>
      <c r="H2724" t="s">
        <v>335</v>
      </c>
      <c r="I2724" t="s">
        <v>162</v>
      </c>
      <c r="J2724" t="str">
        <f>IFERROR(VLOOKUP(I2724,[1]AUTOS!$C:$G,2,0),"")</f>
        <v>HYUNDAI</v>
      </c>
      <c r="K2724">
        <f>IFERROR(VLOOKUP(I2724,[1]AUTOS!$C:$G,3,0),"")</f>
        <v>2022</v>
      </c>
      <c r="L2724" t="str">
        <f>IFERROR(VLOOKUP(I2724,[1]AUTOS!$C:$G,4,0),"")</f>
        <v>PLATA</v>
      </c>
      <c r="P2724" s="3">
        <v>-500</v>
      </c>
    </row>
    <row r="2725" spans="1:19" hidden="1" x14ac:dyDescent="0.3">
      <c r="A2725">
        <v>44</v>
      </c>
      <c r="B2725" t="str">
        <f>VLOOKUP($A2725,[1]LISTA!$B:$C,2,0)</f>
        <v>OCTUBRE</v>
      </c>
      <c r="C2725" s="1">
        <v>2025</v>
      </c>
      <c r="D2725" s="1" t="str">
        <f>IF($A2725&lt;=[1]RESULTADOS!$D$6,"YTD","YTG")</f>
        <v>YTG</v>
      </c>
      <c r="E2725" s="5" t="s">
        <v>721</v>
      </c>
      <c r="F2725" t="s">
        <v>18</v>
      </c>
      <c r="G2725" t="s">
        <v>87</v>
      </c>
      <c r="H2725" t="s">
        <v>335</v>
      </c>
      <c r="I2725" t="s">
        <v>46</v>
      </c>
      <c r="J2725" t="str">
        <f>IFERROR(VLOOKUP(I2725,[1]AUTOS!$C:$G,2,0),"")</f>
        <v>MARCH</v>
      </c>
      <c r="K2725">
        <f>IFERROR(VLOOKUP(I2725,[1]AUTOS!$C:$G,3,0),"")</f>
        <v>2020</v>
      </c>
      <c r="L2725" t="str">
        <f>IFERROR(VLOOKUP(I2725,[1]AUTOS!$C:$G,4,0),"")</f>
        <v>TURQ</v>
      </c>
      <c r="P2725" s="3">
        <v>-200</v>
      </c>
    </row>
    <row r="2726" spans="1:19" hidden="1" x14ac:dyDescent="0.3">
      <c r="A2726">
        <v>44</v>
      </c>
      <c r="B2726" t="str">
        <f>VLOOKUP($A2726,[1]LISTA!$B:$C,2,0)</f>
        <v>OCTUBRE</v>
      </c>
      <c r="C2726" s="1">
        <v>2025</v>
      </c>
      <c r="D2726" s="1" t="str">
        <f>IF($A2726&lt;=[1]RESULTADOS!$D$6,"YTD","YTG")</f>
        <v>YTG</v>
      </c>
      <c r="E2726" t="s">
        <v>17</v>
      </c>
      <c r="F2726" t="s">
        <v>18</v>
      </c>
      <c r="G2726" t="s">
        <v>29</v>
      </c>
      <c r="H2726" t="s">
        <v>331</v>
      </c>
      <c r="I2726" t="s">
        <v>21</v>
      </c>
      <c r="J2726" t="str">
        <f>IFERROR(VLOOKUP(I2726,[1]AUTOS!$C:$G,2,0),"")</f>
        <v/>
      </c>
      <c r="K2726" t="str">
        <f>IFERROR(VLOOKUP(I2726,[1]AUTOS!$C:$G,3,0),"")</f>
        <v/>
      </c>
      <c r="L2726" t="str">
        <f>IFERROR(VLOOKUP(I2726,[1]AUTOS!$C:$G,4,0),"")</f>
        <v/>
      </c>
      <c r="P2726" s="3">
        <v>-1500</v>
      </c>
    </row>
    <row r="2727" spans="1:19" hidden="1" x14ac:dyDescent="0.3">
      <c r="A2727">
        <v>44</v>
      </c>
      <c r="B2727" t="str">
        <f>VLOOKUP($A2727,[1]LISTA!$B:$C,2,0)</f>
        <v>OCTUBRE</v>
      </c>
      <c r="C2727" s="1">
        <v>2025</v>
      </c>
      <c r="D2727" s="1" t="str">
        <f>IF($A2727&lt;=[1]RESULTADOS!$D$6,"YTD","YTG")</f>
        <v>YTG</v>
      </c>
      <c r="E2727" t="s">
        <v>17</v>
      </c>
      <c r="F2727" t="s">
        <v>18</v>
      </c>
      <c r="G2727" t="s">
        <v>778</v>
      </c>
      <c r="H2727" t="s">
        <v>779</v>
      </c>
      <c r="I2727" t="s">
        <v>21</v>
      </c>
      <c r="P2727" s="3">
        <v>-100</v>
      </c>
    </row>
    <row r="2728" spans="1:19" hidden="1" x14ac:dyDescent="0.3">
      <c r="A2728">
        <v>45</v>
      </c>
      <c r="B2728" t="str">
        <f>VLOOKUP($A2728,[1]LISTA!$B:$C,2,0)</f>
        <v>NOVIEMBRE</v>
      </c>
      <c r="C2728" s="1">
        <v>2025</v>
      </c>
      <c r="D2728" s="1" t="str">
        <f>IF($A2728&lt;=[1]RESULTADOS!$D$6,"YTD","YTG")</f>
        <v>YTG</v>
      </c>
      <c r="E2728" t="s">
        <v>691</v>
      </c>
      <c r="F2728" t="s">
        <v>18</v>
      </c>
      <c r="G2728" t="s">
        <v>780</v>
      </c>
      <c r="H2728" t="s">
        <v>260</v>
      </c>
      <c r="I2728" t="s">
        <v>139</v>
      </c>
      <c r="J2728" t="str">
        <f>IFERROR(VLOOKUP(I2728,[1]AUTOS!$C:$G,2,0),"")</f>
        <v>SWIFT</v>
      </c>
      <c r="K2728">
        <f>IFERROR(VLOOKUP(I2728,[1]AUTOS!$C:$G,3,0),"")</f>
        <v>2017</v>
      </c>
      <c r="L2728" t="str">
        <f>IFERROR(VLOOKUP(I2728,[1]AUTOS!$C:$G,4,0),"")</f>
        <v>ROJO</v>
      </c>
      <c r="P2728" s="3">
        <v>-328</v>
      </c>
      <c r="R2728" s="3" t="e">
        <f>SUMIFS([2]Gastos!$M:$M,[2]Gastos!$F:$F,H2728,[2]Gastos!$A:$A,A2728,[2]Gastos!$H:$H,I2728)</f>
        <v>#VALUE!</v>
      </c>
      <c r="S2728" s="3" t="e">
        <f>+P2728+R2728</f>
        <v>#VALUE!</v>
      </c>
    </row>
    <row r="2729" spans="1:19" hidden="1" x14ac:dyDescent="0.3">
      <c r="A2729">
        <v>45</v>
      </c>
      <c r="B2729" t="str">
        <f>VLOOKUP($A2729,[1]LISTA!$B:$C,2,0)</f>
        <v>NOVIEMBRE</v>
      </c>
      <c r="C2729" s="1">
        <v>2025</v>
      </c>
      <c r="D2729" s="1" t="str">
        <f>IF($A2729&lt;=[1]RESULTADOS!$D$6,"YTD","YTG")</f>
        <v>YTG</v>
      </c>
      <c r="E2729" t="s">
        <v>691</v>
      </c>
      <c r="F2729" t="s">
        <v>18</v>
      </c>
      <c r="G2729" t="s">
        <v>780</v>
      </c>
      <c r="H2729" t="s">
        <v>155</v>
      </c>
      <c r="I2729" t="s">
        <v>139</v>
      </c>
      <c r="J2729" t="str">
        <f>IFERROR(VLOOKUP(I2729,[1]AUTOS!$C:$G,2,0),"")</f>
        <v>SWIFT</v>
      </c>
      <c r="K2729">
        <f>IFERROR(VLOOKUP(I2729,[1]AUTOS!$C:$G,3,0),"")</f>
        <v>2017</v>
      </c>
      <c r="L2729" t="str">
        <f>IFERROR(VLOOKUP(I2729,[1]AUTOS!$C:$G,4,0),"")</f>
        <v>ROJO</v>
      </c>
      <c r="P2729" s="3">
        <v>-420</v>
      </c>
      <c r="R2729" s="3" t="e">
        <f>SUMIFS([2]Gastos!$M:$M,[2]Gastos!$F:$F,H2729,[2]Gastos!$A:$A,A2729,[2]Gastos!$H:$H,I2729)</f>
        <v>#VALUE!</v>
      </c>
    </row>
    <row r="2730" spans="1:19" hidden="1" x14ac:dyDescent="0.3">
      <c r="A2730">
        <v>45</v>
      </c>
      <c r="B2730" t="str">
        <f>VLOOKUP($A2730,[1]LISTA!$B:$C,2,0)</f>
        <v>NOVIEMBRE</v>
      </c>
      <c r="C2730" s="1">
        <v>2025</v>
      </c>
      <c r="D2730" s="1" t="str">
        <f>IF($A2730&lt;=[1]RESULTADOS!$D$6,"YTD","YTG")</f>
        <v>YTG</v>
      </c>
      <c r="E2730" t="s">
        <v>691</v>
      </c>
      <c r="F2730" t="s">
        <v>18</v>
      </c>
      <c r="G2730" t="s">
        <v>780</v>
      </c>
      <c r="H2730" t="s">
        <v>193</v>
      </c>
      <c r="I2730" t="s">
        <v>139</v>
      </c>
      <c r="J2730" t="str">
        <f>IFERROR(VLOOKUP(I2730,[1]AUTOS!$C:$G,2,0),"")</f>
        <v>SWIFT</v>
      </c>
      <c r="K2730">
        <f>IFERROR(VLOOKUP(I2730,[1]AUTOS!$C:$G,3,0),"")</f>
        <v>2017</v>
      </c>
      <c r="L2730" t="str">
        <f>IFERROR(VLOOKUP(I2730,[1]AUTOS!$C:$G,4,0),"")</f>
        <v>ROJO</v>
      </c>
      <c r="P2730" s="3">
        <v>-46</v>
      </c>
      <c r="R2730" s="3" t="e">
        <f>SUMIFS([2]Gastos!$M:$M,[2]Gastos!$F:$F,H2730,[2]Gastos!$A:$A,A2730,[2]Gastos!$H:$H,I2730)</f>
        <v>#VALUE!</v>
      </c>
    </row>
    <row r="2731" spans="1:19" hidden="1" x14ac:dyDescent="0.3">
      <c r="A2731">
        <v>45</v>
      </c>
      <c r="B2731" t="str">
        <f>VLOOKUP($A2731,[1]LISTA!$B:$C,2,0)</f>
        <v>NOVIEMBRE</v>
      </c>
      <c r="C2731" s="1">
        <v>2025</v>
      </c>
      <c r="D2731" s="1" t="str">
        <f>IF($A2731&lt;=[1]RESULTADOS!$D$6,"YTD","YTG")</f>
        <v>YTG</v>
      </c>
      <c r="E2731" t="s">
        <v>691</v>
      </c>
      <c r="F2731" t="s">
        <v>18</v>
      </c>
      <c r="G2731" t="s">
        <v>780</v>
      </c>
      <c r="H2731" t="s">
        <v>310</v>
      </c>
      <c r="I2731" t="s">
        <v>139</v>
      </c>
      <c r="J2731" t="str">
        <f>IFERROR(VLOOKUP(I2731,[1]AUTOS!$C:$G,2,0),"")</f>
        <v>SWIFT</v>
      </c>
      <c r="K2731">
        <f>IFERROR(VLOOKUP(I2731,[1]AUTOS!$C:$G,3,0),"")</f>
        <v>2017</v>
      </c>
      <c r="L2731" t="str">
        <f>IFERROR(VLOOKUP(I2731,[1]AUTOS!$C:$G,4,0),"")</f>
        <v>ROJO</v>
      </c>
      <c r="P2731" s="3">
        <v>-550</v>
      </c>
      <c r="R2731" s="3" t="e">
        <f>SUMIFS([2]Gastos!$M:$M,[2]Gastos!$F:$F,H2731,[2]Gastos!$A:$A,A2731,[2]Gastos!$H:$H,I2731)</f>
        <v>#VALUE!</v>
      </c>
    </row>
    <row r="2732" spans="1:19" hidden="1" x14ac:dyDescent="0.3">
      <c r="A2732">
        <v>45</v>
      </c>
      <c r="B2732" t="str">
        <f>VLOOKUP($A2732,[1]LISTA!$B:$C,2,0)</f>
        <v>NOVIEMBRE</v>
      </c>
      <c r="C2732" s="1">
        <v>2025</v>
      </c>
      <c r="D2732" s="1" t="str">
        <f>IF($A2732&lt;=[1]RESULTADOS!$D$6,"YTD","YTG")</f>
        <v>YTG</v>
      </c>
      <c r="E2732" t="s">
        <v>17</v>
      </c>
      <c r="F2732" t="s">
        <v>18</v>
      </c>
      <c r="G2732" t="s">
        <v>23</v>
      </c>
      <c r="H2732" t="s">
        <v>449</v>
      </c>
      <c r="I2732" t="s">
        <v>366</v>
      </c>
      <c r="J2732" t="str">
        <f>IFERROR(VLOOKUP(I2732,[1]AUTOS!$C:$G,2,0),"")</f>
        <v>VENTO</v>
      </c>
      <c r="K2732">
        <f>IFERROR(VLOOKUP(I2732,[1]AUTOS!$C:$G,3,0),"")</f>
        <v>2019</v>
      </c>
      <c r="L2732" t="str">
        <f>IFERROR(VLOOKUP(I2732,[1]AUTOS!$C:$G,4,0),"")</f>
        <v>BLANCO</v>
      </c>
      <c r="P2732" s="3">
        <v>-250</v>
      </c>
      <c r="R2732" s="3" t="e">
        <f>SUMIFS([2]Gastos!$M:$M,[2]Gastos!$F:$F,H2732,[2]Gastos!$A:$A,A2732,[2]Gastos!$H:$H,I2732)</f>
        <v>#VALUE!</v>
      </c>
    </row>
    <row r="2733" spans="1:19" hidden="1" x14ac:dyDescent="0.3">
      <c r="A2733">
        <v>45</v>
      </c>
      <c r="B2733" t="str">
        <f>VLOOKUP($A2733,[1]LISTA!$B:$C,2,0)</f>
        <v>NOVIEMBRE</v>
      </c>
      <c r="C2733" s="1">
        <v>2025</v>
      </c>
      <c r="D2733" s="1" t="str">
        <f>IF($A2733&lt;=[1]RESULTADOS!$D$6,"YTD","YTG")</f>
        <v>YTG</v>
      </c>
      <c r="E2733" t="s">
        <v>691</v>
      </c>
      <c r="F2733" t="s">
        <v>18</v>
      </c>
      <c r="G2733" t="s">
        <v>780</v>
      </c>
      <c r="H2733" t="s">
        <v>285</v>
      </c>
      <c r="I2733" t="s">
        <v>139</v>
      </c>
      <c r="J2733" t="str">
        <f>IFERROR(VLOOKUP(I2733,[1]AUTOS!$C:$G,2,0),"")</f>
        <v>SWIFT</v>
      </c>
      <c r="K2733">
        <f>IFERROR(VLOOKUP(I2733,[1]AUTOS!$C:$G,3,0),"")</f>
        <v>2017</v>
      </c>
      <c r="L2733" t="str">
        <f>IFERROR(VLOOKUP(I2733,[1]AUTOS!$C:$G,4,0),"")</f>
        <v>ROJO</v>
      </c>
      <c r="P2733" s="3">
        <v>-450</v>
      </c>
      <c r="R2733" s="3" t="e">
        <f>SUMIFS([2]Gastos!$M:$M,[2]Gastos!$F:$F,H2733,[2]Gastos!$A:$A,A2733,[2]Gastos!$H:$H,I2733)</f>
        <v>#VALUE!</v>
      </c>
    </row>
    <row r="2734" spans="1:19" hidden="1" x14ac:dyDescent="0.3">
      <c r="A2734">
        <v>45</v>
      </c>
      <c r="B2734" t="str">
        <f>VLOOKUP($A2734,[1]LISTA!$B:$C,2,0)</f>
        <v>NOVIEMBRE</v>
      </c>
      <c r="C2734" s="1">
        <v>2025</v>
      </c>
      <c r="D2734" s="1" t="str">
        <f>IF($A2734&lt;=[1]RESULTADOS!$D$6,"YTD","YTG")</f>
        <v>YTG</v>
      </c>
      <c r="E2734" s="5" t="s">
        <v>704</v>
      </c>
      <c r="F2734" t="s">
        <v>18</v>
      </c>
      <c r="G2734" t="s">
        <v>57</v>
      </c>
      <c r="H2734" t="s">
        <v>781</v>
      </c>
      <c r="I2734" t="s">
        <v>37</v>
      </c>
      <c r="J2734" t="str">
        <f>IFERROR(VLOOKUP(I2734,[1]AUTOS!$C:$G,2,0),"")</f>
        <v>BEAT</v>
      </c>
      <c r="K2734">
        <f>IFERROR(VLOOKUP(I2734,[1]AUTOS!$C:$G,3,0),"")</f>
        <v>2020</v>
      </c>
      <c r="L2734" t="str">
        <f>IFERROR(VLOOKUP(I2734,[1]AUTOS!$C:$G,4,0),"")</f>
        <v>GRIS</v>
      </c>
      <c r="P2734" s="3">
        <v>-430</v>
      </c>
      <c r="R2734" s="3" t="e">
        <f>SUMIFS([2]Gastos!$M:$M,[2]Gastos!$F:$F,H2734,[2]Gastos!$A:$A,A2734,[2]Gastos!$H:$H,I2734)</f>
        <v>#VALUE!</v>
      </c>
    </row>
    <row r="2735" spans="1:19" hidden="1" x14ac:dyDescent="0.3">
      <c r="A2735">
        <v>45</v>
      </c>
      <c r="B2735" t="str">
        <f>VLOOKUP($A2735,[1]LISTA!$B:$C,2,0)</f>
        <v>NOVIEMBRE</v>
      </c>
      <c r="C2735" s="1">
        <v>2025</v>
      </c>
      <c r="D2735" s="1" t="str">
        <f>IF($A2735&lt;=[1]RESULTADOS!$D$6,"YTD","YTG")</f>
        <v>YTG</v>
      </c>
      <c r="E2735" s="5" t="s">
        <v>704</v>
      </c>
      <c r="F2735" t="s">
        <v>18</v>
      </c>
      <c r="G2735" t="s">
        <v>57</v>
      </c>
      <c r="H2735" t="s">
        <v>530</v>
      </c>
      <c r="I2735" t="s">
        <v>37</v>
      </c>
      <c r="J2735" t="str">
        <f>IFERROR(VLOOKUP(I2735,[1]AUTOS!$C:$G,2,0),"")</f>
        <v>BEAT</v>
      </c>
      <c r="K2735">
        <f>IFERROR(VLOOKUP(I2735,[1]AUTOS!$C:$G,3,0),"")</f>
        <v>2020</v>
      </c>
      <c r="L2735" t="str">
        <f>IFERROR(VLOOKUP(I2735,[1]AUTOS!$C:$G,4,0),"")</f>
        <v>GRIS</v>
      </c>
      <c r="P2735" s="3">
        <v>-100</v>
      </c>
      <c r="R2735" s="3" t="e">
        <f>SUMIFS([2]Gastos!$M:$M,[2]Gastos!$F:$F,H2735,[2]Gastos!$A:$A,A2735,[2]Gastos!$H:$H,I2735)</f>
        <v>#VALUE!</v>
      </c>
    </row>
    <row r="2736" spans="1:19" hidden="1" x14ac:dyDescent="0.3">
      <c r="A2736">
        <v>45</v>
      </c>
      <c r="B2736" t="str">
        <f>VLOOKUP($A2736,[1]LISTA!$B:$C,2,0)</f>
        <v>NOVIEMBRE</v>
      </c>
      <c r="C2736" s="1">
        <v>2025</v>
      </c>
      <c r="D2736" s="1" t="str">
        <f>IF($A2736&lt;=[1]RESULTADOS!$D$6,"YTD","YTG")</f>
        <v>YTG</v>
      </c>
      <c r="E2736" s="5" t="s">
        <v>630</v>
      </c>
      <c r="F2736" t="s">
        <v>18</v>
      </c>
      <c r="G2736" t="s">
        <v>57</v>
      </c>
      <c r="H2736" t="s">
        <v>782</v>
      </c>
      <c r="I2736" t="s">
        <v>51</v>
      </c>
      <c r="J2736" t="str">
        <f>IFERROR(VLOOKUP(I2736,[1]AUTOS!$C:$G,2,0),"")</f>
        <v>VENTO</v>
      </c>
      <c r="K2736">
        <f>IFERROR(VLOOKUP(I2736,[1]AUTOS!$C:$G,3,0),"")</f>
        <v>2017</v>
      </c>
      <c r="L2736" t="str">
        <f>IFERROR(VLOOKUP(I2736,[1]AUTOS!$C:$G,4,0),"")</f>
        <v>GRIS</v>
      </c>
      <c r="P2736" s="3">
        <v>-375</v>
      </c>
      <c r="R2736" s="3" t="e">
        <f>SUMIFS([2]Gastos!$M:$M,[2]Gastos!$F:$F,H2736,[2]Gastos!$A:$A,A2736,[2]Gastos!$H:$H,I2736)</f>
        <v>#VALUE!</v>
      </c>
    </row>
    <row r="2737" spans="1:18" hidden="1" x14ac:dyDescent="0.3">
      <c r="A2737">
        <v>45</v>
      </c>
      <c r="B2737" t="str">
        <f>VLOOKUP($A2737,[1]LISTA!$B:$C,2,0)</f>
        <v>NOVIEMBRE</v>
      </c>
      <c r="C2737" s="1">
        <v>2025</v>
      </c>
      <c r="D2737" s="1" t="str">
        <f>IF($A2737&lt;=[1]RESULTADOS!$D$6,"YTD","YTG")</f>
        <v>YTG</v>
      </c>
      <c r="E2737" s="5" t="s">
        <v>630</v>
      </c>
      <c r="F2737" t="s">
        <v>18</v>
      </c>
      <c r="G2737" t="s">
        <v>57</v>
      </c>
      <c r="H2737" t="s">
        <v>783</v>
      </c>
      <c r="I2737" t="s">
        <v>51</v>
      </c>
      <c r="J2737" t="str">
        <f>IFERROR(VLOOKUP(I2737,[1]AUTOS!$C:$G,2,0),"")</f>
        <v>VENTO</v>
      </c>
      <c r="K2737">
        <f>IFERROR(VLOOKUP(I2737,[1]AUTOS!$C:$G,3,0),"")</f>
        <v>2017</v>
      </c>
      <c r="L2737" t="str">
        <f>IFERROR(VLOOKUP(I2737,[1]AUTOS!$C:$G,4,0),"")</f>
        <v>GRIS</v>
      </c>
      <c r="P2737" s="3">
        <v>-68</v>
      </c>
      <c r="R2737" s="3" t="e">
        <f>SUMIFS([2]Gastos!$M:$M,[2]Gastos!$F:$F,H2737,[2]Gastos!$A:$A,A2737,[2]Gastos!$H:$H,I2737)</f>
        <v>#VALUE!</v>
      </c>
    </row>
    <row r="2738" spans="1:18" hidden="1" x14ac:dyDescent="0.3">
      <c r="A2738">
        <v>45</v>
      </c>
      <c r="B2738" t="str">
        <f>VLOOKUP($A2738,[1]LISTA!$B:$C,2,0)</f>
        <v>NOVIEMBRE</v>
      </c>
      <c r="C2738" s="1">
        <v>2025</v>
      </c>
      <c r="D2738" s="1" t="str">
        <f>IF($A2738&lt;=[1]RESULTADOS!$D$6,"YTD","YTG")</f>
        <v>YTG</v>
      </c>
      <c r="E2738" s="5" t="s">
        <v>704</v>
      </c>
      <c r="F2738" t="s">
        <v>18</v>
      </c>
      <c r="G2738" t="s">
        <v>57</v>
      </c>
      <c r="H2738" t="s">
        <v>371</v>
      </c>
      <c r="I2738" t="s">
        <v>37</v>
      </c>
      <c r="J2738" t="str">
        <f>IFERROR(VLOOKUP(I2738,[1]AUTOS!$C:$G,2,0),"")</f>
        <v>BEAT</v>
      </c>
      <c r="K2738">
        <f>IFERROR(VLOOKUP(I2738,[1]AUTOS!$C:$G,3,0),"")</f>
        <v>2020</v>
      </c>
      <c r="L2738" t="str">
        <f>IFERROR(VLOOKUP(I2738,[1]AUTOS!$C:$G,4,0),"")</f>
        <v>GRIS</v>
      </c>
      <c r="P2738" s="3">
        <v>-875</v>
      </c>
      <c r="R2738" s="3" t="e">
        <f>SUMIFS([2]Gastos!$M:$M,[2]Gastos!$F:$F,H2738,[2]Gastos!$A:$A,A2738,[2]Gastos!$H:$H,I2738)</f>
        <v>#VALUE!</v>
      </c>
    </row>
    <row r="2739" spans="1:18" hidden="1" x14ac:dyDescent="0.3">
      <c r="A2739">
        <v>45</v>
      </c>
      <c r="B2739" t="str">
        <f>VLOOKUP($A2739,[1]LISTA!$B:$C,2,0)</f>
        <v>NOVIEMBRE</v>
      </c>
      <c r="C2739" s="1">
        <v>2025</v>
      </c>
      <c r="D2739" s="1" t="str">
        <f>IF($A2739&lt;=[1]RESULTADOS!$D$6,"YTD","YTG")</f>
        <v>YTG</v>
      </c>
      <c r="E2739" t="s">
        <v>496</v>
      </c>
      <c r="F2739" t="s">
        <v>18</v>
      </c>
      <c r="G2739" t="s">
        <v>57</v>
      </c>
      <c r="H2739" t="s">
        <v>784</v>
      </c>
      <c r="I2739" t="s">
        <v>547</v>
      </c>
      <c r="J2739" t="str">
        <f>IFERROR(VLOOKUP(I2739,[1]AUTOS!$C:$G,2,0),"")</f>
        <v>AVEO</v>
      </c>
      <c r="K2739">
        <f>IFERROR(VLOOKUP(I2739,[1]AUTOS!$C:$G,3,0),"")</f>
        <v>2022</v>
      </c>
      <c r="L2739" t="str">
        <f>IFERROR(VLOOKUP(I2739,[1]AUTOS!$C:$G,4,0),"")</f>
        <v>VINO</v>
      </c>
      <c r="P2739" s="3">
        <v>-45</v>
      </c>
      <c r="R2739" s="3" t="e">
        <f>SUMIFS([2]Gastos!$M:$M,[2]Gastos!$F:$F,H2739,[2]Gastos!$A:$A,A2739,[2]Gastos!$H:$H,I2739)</f>
        <v>#VALUE!</v>
      </c>
    </row>
    <row r="2740" spans="1:18" hidden="1" x14ac:dyDescent="0.3">
      <c r="A2740">
        <v>45</v>
      </c>
      <c r="B2740" t="str">
        <f>VLOOKUP($A2740,[1]LISTA!$B:$C,2,0)</f>
        <v>NOVIEMBRE</v>
      </c>
      <c r="C2740" s="1">
        <v>2025</v>
      </c>
      <c r="D2740" s="1" t="str">
        <f>IF($A2740&lt;=[1]RESULTADOS!$D$6,"YTD","YTG")</f>
        <v>YTG</v>
      </c>
      <c r="E2740" t="s">
        <v>17</v>
      </c>
      <c r="F2740" t="s">
        <v>18</v>
      </c>
      <c r="G2740" t="s">
        <v>23</v>
      </c>
      <c r="H2740" t="s">
        <v>113</v>
      </c>
      <c r="I2740" t="s">
        <v>333</v>
      </c>
      <c r="J2740" t="str">
        <f>IFERROR(VLOOKUP(I2740,[1]AUTOS!$C:$G,2,0),"")</f>
        <v>BEAT</v>
      </c>
      <c r="K2740">
        <f>IFERROR(VLOOKUP(I2740,[1]AUTOS!$C:$G,3,0),"")</f>
        <v>2019</v>
      </c>
      <c r="L2740" t="str">
        <f>IFERROR(VLOOKUP(I2740,[1]AUTOS!$C:$G,4,0),"")</f>
        <v>OCRE</v>
      </c>
      <c r="P2740" s="3">
        <v>-100</v>
      </c>
      <c r="R2740" s="3" t="e">
        <f>SUMIFS([2]Gastos!$M:$M,[2]Gastos!$F:$F,H2740,[2]Gastos!$A:$A,A2740,[2]Gastos!$H:$H,I2740)</f>
        <v>#VALUE!</v>
      </c>
    </row>
    <row r="2741" spans="1:18" hidden="1" x14ac:dyDescent="0.3">
      <c r="A2741">
        <v>45</v>
      </c>
      <c r="B2741" t="str">
        <f>VLOOKUP($A2741,[1]LISTA!$B:$C,2,0)</f>
        <v>NOVIEMBRE</v>
      </c>
      <c r="C2741" s="1">
        <v>2025</v>
      </c>
      <c r="D2741" s="1" t="str">
        <f>IF($A2741&lt;=[1]RESULTADOS!$D$6,"YTD","YTG")</f>
        <v>YTG</v>
      </c>
      <c r="E2741" s="5" t="s">
        <v>526</v>
      </c>
      <c r="F2741" t="s">
        <v>18</v>
      </c>
      <c r="G2741" t="s">
        <v>23</v>
      </c>
      <c r="H2741" t="s">
        <v>113</v>
      </c>
      <c r="I2741" t="s">
        <v>67</v>
      </c>
      <c r="J2741" t="str">
        <f>IFERROR(VLOOKUP(I2741,[1]AUTOS!$C:$G,2,0),"")</f>
        <v>KIA RIO</v>
      </c>
      <c r="K2741">
        <f>IFERROR(VLOOKUP(I2741,[1]AUTOS!$C:$G,3,0),"")</f>
        <v>2020</v>
      </c>
      <c r="L2741" t="str">
        <f>IFERROR(VLOOKUP(I2741,[1]AUTOS!$C:$G,4,0),"")</f>
        <v>GRIS</v>
      </c>
      <c r="P2741" s="3">
        <v>-200</v>
      </c>
      <c r="R2741" s="3" t="e">
        <f>SUMIFS([2]Gastos!$M:$M,[2]Gastos!$F:$F,H2741,[2]Gastos!$A:$A,A2741,[2]Gastos!$H:$H,I2741)</f>
        <v>#VALUE!</v>
      </c>
    </row>
    <row r="2742" spans="1:18" hidden="1" x14ac:dyDescent="0.3">
      <c r="A2742">
        <v>45</v>
      </c>
      <c r="B2742" t="str">
        <f>VLOOKUP($A2742,[1]LISTA!$B:$C,2,0)</f>
        <v>NOVIEMBRE</v>
      </c>
      <c r="C2742" s="1">
        <v>2025</v>
      </c>
      <c r="D2742" s="1" t="str">
        <f>IF($A2742&lt;=[1]RESULTADOS!$D$6,"YTD","YTG")</f>
        <v>YTG</v>
      </c>
      <c r="E2742" t="s">
        <v>703</v>
      </c>
      <c r="F2742" t="s">
        <v>18</v>
      </c>
      <c r="G2742" t="s">
        <v>23</v>
      </c>
      <c r="H2742" t="s">
        <v>113</v>
      </c>
      <c r="I2742" t="s">
        <v>182</v>
      </c>
      <c r="J2742" t="str">
        <f>IFERROR(VLOOKUP(I2742,[1]AUTOS!$C:$G,2,0),"")</f>
        <v>AVEO</v>
      </c>
      <c r="K2742">
        <f>IFERROR(VLOOKUP(I2742,[1]AUTOS!$C:$G,3,0),"")</f>
        <v>2020</v>
      </c>
      <c r="L2742" t="str">
        <f>IFERROR(VLOOKUP(I2742,[1]AUTOS!$C:$G,4,0),"")</f>
        <v>AZUL</v>
      </c>
      <c r="P2742" s="3">
        <v>-100</v>
      </c>
      <c r="R2742" s="3" t="e">
        <f>SUMIFS([2]Gastos!$M:$M,[2]Gastos!$F:$F,H2742,[2]Gastos!$A:$A,A2742,[2]Gastos!$H:$H,I2742)</f>
        <v>#VALUE!</v>
      </c>
    </row>
    <row r="2743" spans="1:18" hidden="1" x14ac:dyDescent="0.3">
      <c r="A2743">
        <v>45</v>
      </c>
      <c r="B2743" t="str">
        <f>VLOOKUP($A2743,[1]LISTA!$B:$C,2,0)</f>
        <v>NOVIEMBRE</v>
      </c>
      <c r="C2743" s="1">
        <v>2025</v>
      </c>
      <c r="D2743" s="1" t="str">
        <f>IF($A2743&lt;=[1]RESULTADOS!$D$6,"YTD","YTG")</f>
        <v>YTG</v>
      </c>
      <c r="E2743" s="5" t="s">
        <v>526</v>
      </c>
      <c r="F2743" t="s">
        <v>18</v>
      </c>
      <c r="G2743" t="s">
        <v>785</v>
      </c>
      <c r="H2743" t="s">
        <v>786</v>
      </c>
      <c r="I2743" t="s">
        <v>67</v>
      </c>
      <c r="J2743" t="str">
        <f>IFERROR(VLOOKUP(I2743,[1]AUTOS!$C:$G,2,0),"")</f>
        <v>KIA RIO</v>
      </c>
      <c r="K2743">
        <f>IFERROR(VLOOKUP(I2743,[1]AUTOS!$C:$G,3,0),"")</f>
        <v>2020</v>
      </c>
      <c r="L2743" t="str">
        <f>IFERROR(VLOOKUP(I2743,[1]AUTOS!$C:$G,4,0),"")</f>
        <v>GRIS</v>
      </c>
      <c r="P2743" s="3">
        <v>-1130</v>
      </c>
      <c r="R2743" s="3" t="e">
        <f>SUMIFS([2]Gastos!$M:$M,[2]Gastos!$F:$F,H2743,[2]Gastos!$A:$A,A2743,[2]Gastos!$H:$H,I2743)</f>
        <v>#VALUE!</v>
      </c>
    </row>
    <row r="2744" spans="1:18" hidden="1" x14ac:dyDescent="0.3">
      <c r="A2744">
        <v>45</v>
      </c>
      <c r="B2744" t="str">
        <f>VLOOKUP($A2744,[1]LISTA!$B:$C,2,0)</f>
        <v>NOVIEMBRE</v>
      </c>
      <c r="C2744" s="1">
        <v>2025</v>
      </c>
      <c r="D2744" s="1" t="str">
        <f>IF($A2744&lt;=[1]RESULTADOS!$D$6,"YTD","YTG")</f>
        <v>YTG</v>
      </c>
      <c r="E2744" s="5" t="s">
        <v>526</v>
      </c>
      <c r="F2744" t="s">
        <v>18</v>
      </c>
      <c r="G2744" t="s">
        <v>785</v>
      </c>
      <c r="H2744" t="s">
        <v>787</v>
      </c>
      <c r="I2744" t="s">
        <v>67</v>
      </c>
      <c r="J2744" t="str">
        <f>IFERROR(VLOOKUP(I2744,[1]AUTOS!$C:$G,2,0),"")</f>
        <v>KIA RIO</v>
      </c>
      <c r="K2744">
        <f>IFERROR(VLOOKUP(I2744,[1]AUTOS!$C:$G,3,0),"")</f>
        <v>2020</v>
      </c>
      <c r="L2744" t="str">
        <f>IFERROR(VLOOKUP(I2744,[1]AUTOS!$C:$G,4,0),"")</f>
        <v>GRIS</v>
      </c>
      <c r="P2744" s="3">
        <v>-60</v>
      </c>
      <c r="R2744" s="3" t="e">
        <f>SUMIFS([2]Gastos!$M:$M,[2]Gastos!$F:$F,H2744,[2]Gastos!$A:$A,A2744,[2]Gastos!$H:$H,I2744)</f>
        <v>#VALUE!</v>
      </c>
    </row>
    <row r="2745" spans="1:18" hidden="1" x14ac:dyDescent="0.3">
      <c r="A2745">
        <v>45</v>
      </c>
      <c r="B2745" t="str">
        <f>VLOOKUP($A2745,[1]LISTA!$B:$C,2,0)</f>
        <v>NOVIEMBRE</v>
      </c>
      <c r="C2745" s="1">
        <v>2025</v>
      </c>
      <c r="D2745" s="1" t="str">
        <f>IF($A2745&lt;=[1]RESULTADOS!$D$6,"YTD","YTG")</f>
        <v>YTG</v>
      </c>
      <c r="E2745" t="s">
        <v>691</v>
      </c>
      <c r="F2745" t="s">
        <v>18</v>
      </c>
      <c r="G2745" t="s">
        <v>780</v>
      </c>
      <c r="H2745" t="s">
        <v>310</v>
      </c>
      <c r="I2745" t="s">
        <v>139</v>
      </c>
      <c r="J2745" t="str">
        <f>IFERROR(VLOOKUP(I2745,[1]AUTOS!$C:$G,2,0),"")</f>
        <v>SWIFT</v>
      </c>
      <c r="K2745">
        <f>IFERROR(VLOOKUP(I2745,[1]AUTOS!$C:$G,3,0),"")</f>
        <v>2017</v>
      </c>
      <c r="L2745" t="str">
        <f>IFERROR(VLOOKUP(I2745,[1]AUTOS!$C:$G,4,0),"")</f>
        <v>ROJO</v>
      </c>
      <c r="P2745" s="3">
        <v>-300</v>
      </c>
      <c r="R2745" s="3" t="e">
        <f>SUMIFS([2]Gastos!$M:$M,[2]Gastos!$F:$F,H2745,[2]Gastos!$A:$A,A2745,[2]Gastos!$H:$H,I2745)</f>
        <v>#VALUE!</v>
      </c>
    </row>
    <row r="2746" spans="1:18" hidden="1" x14ac:dyDescent="0.3">
      <c r="A2746">
        <v>45</v>
      </c>
      <c r="B2746" t="str">
        <f>VLOOKUP($A2746,[1]LISTA!$B:$C,2,0)</f>
        <v>NOVIEMBRE</v>
      </c>
      <c r="C2746" s="1">
        <v>2025</v>
      </c>
      <c r="D2746" s="1" t="str">
        <f>IF($A2746&lt;=[1]RESULTADOS!$D$6,"YTD","YTG")</f>
        <v>YTG</v>
      </c>
      <c r="E2746" s="5" t="s">
        <v>630</v>
      </c>
      <c r="F2746" t="s">
        <v>18</v>
      </c>
      <c r="G2746" t="s">
        <v>57</v>
      </c>
      <c r="H2746" t="s">
        <v>600</v>
      </c>
      <c r="I2746" t="s">
        <v>51</v>
      </c>
      <c r="J2746" t="str">
        <f>IFERROR(VLOOKUP(I2746,[1]AUTOS!$C:$G,2,0),"")</f>
        <v>VENTO</v>
      </c>
      <c r="K2746">
        <f>IFERROR(VLOOKUP(I2746,[1]AUTOS!$C:$G,3,0),"")</f>
        <v>2017</v>
      </c>
      <c r="L2746" t="str">
        <f>IFERROR(VLOOKUP(I2746,[1]AUTOS!$C:$G,4,0),"")</f>
        <v>GRIS</v>
      </c>
      <c r="P2746" s="3">
        <v>-330</v>
      </c>
      <c r="R2746" s="3" t="e">
        <f>SUMIFS([2]Gastos!$M:$M,[2]Gastos!$F:$F,H2746,[2]Gastos!$A:$A,A2746,[2]Gastos!$H:$H,I2746)</f>
        <v>#VALUE!</v>
      </c>
    </row>
    <row r="2747" spans="1:18" hidden="1" x14ac:dyDescent="0.3">
      <c r="A2747">
        <v>45</v>
      </c>
      <c r="B2747" t="str">
        <f>VLOOKUP($A2747,[1]LISTA!$B:$C,2,0)</f>
        <v>NOVIEMBRE</v>
      </c>
      <c r="C2747" s="1">
        <v>2025</v>
      </c>
      <c r="D2747" s="1" t="str">
        <f>IF($A2747&lt;=[1]RESULTADOS!$D$6,"YTD","YTG")</f>
        <v>YTG</v>
      </c>
      <c r="E2747" t="s">
        <v>17</v>
      </c>
      <c r="F2747" t="s">
        <v>18</v>
      </c>
      <c r="G2747" t="s">
        <v>327</v>
      </c>
      <c r="H2747" t="s">
        <v>788</v>
      </c>
      <c r="I2747" t="s">
        <v>21</v>
      </c>
      <c r="P2747" s="3">
        <v>-457</v>
      </c>
      <c r="R2747" s="3" t="e">
        <f>SUMIFS([2]Gastos!$M:$M,[2]Gastos!$F:$F,H2747,[2]Gastos!$A:$A,A2747,[2]Gastos!$H:$H,I2747)</f>
        <v>#VALUE!</v>
      </c>
    </row>
    <row r="2748" spans="1:18" hidden="1" x14ac:dyDescent="0.3">
      <c r="A2748">
        <v>45</v>
      </c>
      <c r="B2748" t="str">
        <f>VLOOKUP($A2748,[1]LISTA!$B:$C,2,0)</f>
        <v>NOVIEMBRE</v>
      </c>
      <c r="C2748" s="1">
        <v>2025</v>
      </c>
      <c r="D2748" s="1" t="str">
        <f>IF($A2748&lt;=[1]RESULTADOS!$D$6,"YTD","YTG")</f>
        <v>YTG</v>
      </c>
      <c r="E2748" t="s">
        <v>17</v>
      </c>
      <c r="F2748" t="s">
        <v>18</v>
      </c>
      <c r="G2748" t="s">
        <v>57</v>
      </c>
      <c r="H2748" t="s">
        <v>265</v>
      </c>
      <c r="I2748" t="s">
        <v>21</v>
      </c>
      <c r="P2748" s="3">
        <v>-100</v>
      </c>
      <c r="R2748" s="3" t="e">
        <f>SUMIFS([2]Gastos!$M:$M,[2]Gastos!$F:$F,H2748,[2]Gastos!$A:$A,A2748,[2]Gastos!$H:$H,I2748)</f>
        <v>#VALUE!</v>
      </c>
    </row>
    <row r="2749" spans="1:18" hidden="1" x14ac:dyDescent="0.3">
      <c r="A2749">
        <v>45</v>
      </c>
      <c r="B2749" t="str">
        <f>VLOOKUP($A2749,[1]LISTA!$B:$C,2,0)</f>
        <v>NOVIEMBRE</v>
      </c>
      <c r="C2749" s="1">
        <v>2025</v>
      </c>
      <c r="D2749" s="1" t="str">
        <f>IF($A2749&lt;=[1]RESULTADOS!$D$6,"YTD","YTG")</f>
        <v>YTG</v>
      </c>
      <c r="E2749" s="5" t="s">
        <v>704</v>
      </c>
      <c r="F2749" t="s">
        <v>18</v>
      </c>
      <c r="G2749" t="s">
        <v>57</v>
      </c>
      <c r="H2749" t="s">
        <v>789</v>
      </c>
      <c r="I2749" t="s">
        <v>37</v>
      </c>
      <c r="J2749" t="str">
        <f>IFERROR(VLOOKUP(I2749,[1]AUTOS!$C:$G,2,0),"")</f>
        <v>BEAT</v>
      </c>
      <c r="K2749">
        <f>IFERROR(VLOOKUP(I2749,[1]AUTOS!$C:$G,3,0),"")</f>
        <v>2020</v>
      </c>
      <c r="L2749" t="str">
        <f>IFERROR(VLOOKUP(I2749,[1]AUTOS!$C:$G,4,0),"")</f>
        <v>GRIS</v>
      </c>
      <c r="P2749" s="3">
        <v>-70</v>
      </c>
      <c r="R2749" s="3" t="e">
        <f>SUMIFS([2]Gastos!$M:$M,[2]Gastos!$F:$F,H2749,[2]Gastos!$A:$A,A2749,[2]Gastos!$H:$H,I2749)</f>
        <v>#VALUE!</v>
      </c>
    </row>
    <row r="2750" spans="1:18" hidden="1" x14ac:dyDescent="0.3">
      <c r="A2750">
        <v>45</v>
      </c>
      <c r="B2750" t="str">
        <f>VLOOKUP($A2750,[1]LISTA!$B:$C,2,0)</f>
        <v>NOVIEMBRE</v>
      </c>
      <c r="C2750" s="1">
        <v>2025</v>
      </c>
      <c r="D2750" s="1" t="str">
        <f>IF($A2750&lt;=[1]RESULTADOS!$D$6,"YTD","YTG")</f>
        <v>YTG</v>
      </c>
      <c r="E2750" s="5" t="s">
        <v>704</v>
      </c>
      <c r="F2750" t="s">
        <v>18</v>
      </c>
      <c r="G2750" t="s">
        <v>57</v>
      </c>
      <c r="H2750" t="s">
        <v>790</v>
      </c>
      <c r="I2750" t="s">
        <v>37</v>
      </c>
      <c r="J2750" t="str">
        <f>IFERROR(VLOOKUP(I2750,[1]AUTOS!$C:$G,2,0),"")</f>
        <v>BEAT</v>
      </c>
      <c r="K2750">
        <f>IFERROR(VLOOKUP(I2750,[1]AUTOS!$C:$G,3,0),"")</f>
        <v>2020</v>
      </c>
      <c r="L2750" t="str">
        <f>IFERROR(VLOOKUP(I2750,[1]AUTOS!$C:$G,4,0),"")</f>
        <v>GRIS</v>
      </c>
      <c r="P2750" s="3">
        <v>-375</v>
      </c>
      <c r="R2750" s="3" t="e">
        <f>SUMIFS([2]Gastos!$M:$M,[2]Gastos!$F:$F,H2750,[2]Gastos!$A:$A,A2750,[2]Gastos!$H:$H,I2750)</f>
        <v>#VALUE!</v>
      </c>
    </row>
    <row r="2751" spans="1:18" hidden="1" x14ac:dyDescent="0.3">
      <c r="A2751">
        <v>45</v>
      </c>
      <c r="B2751" t="str">
        <f>VLOOKUP($A2751,[1]LISTA!$B:$C,2,0)</f>
        <v>NOVIEMBRE</v>
      </c>
      <c r="C2751" s="1">
        <v>2025</v>
      </c>
      <c r="D2751" s="1" t="str">
        <f>IF($A2751&lt;=[1]RESULTADOS!$D$6,"YTD","YTG")</f>
        <v>YTG</v>
      </c>
      <c r="E2751" t="s">
        <v>17</v>
      </c>
      <c r="F2751" t="s">
        <v>18</v>
      </c>
      <c r="G2751" t="s">
        <v>327</v>
      </c>
      <c r="H2751" t="s">
        <v>791</v>
      </c>
      <c r="I2751" t="s">
        <v>21</v>
      </c>
      <c r="P2751" s="3">
        <v>-418</v>
      </c>
      <c r="R2751" s="3" t="e">
        <f>SUMIFS([2]Gastos!$M:$M,[2]Gastos!$F:$F,H2751,[2]Gastos!$A:$A,A2751,[2]Gastos!$H:$H,I2751)</f>
        <v>#VALUE!</v>
      </c>
    </row>
    <row r="2752" spans="1:18" hidden="1" x14ac:dyDescent="0.3">
      <c r="A2752">
        <v>45</v>
      </c>
      <c r="B2752" t="str">
        <f>VLOOKUP($A2752,[1]LISTA!$B:$C,2,0)</f>
        <v>NOVIEMBRE</v>
      </c>
      <c r="C2752" s="1">
        <v>2025</v>
      </c>
      <c r="D2752" s="1" t="str">
        <f>IF($A2752&lt;=[1]RESULTADOS!$D$6,"YTD","YTG")</f>
        <v>YTG</v>
      </c>
      <c r="E2752" t="s">
        <v>17</v>
      </c>
      <c r="F2752" t="s">
        <v>18</v>
      </c>
      <c r="G2752" t="s">
        <v>327</v>
      </c>
      <c r="H2752" t="s">
        <v>792</v>
      </c>
      <c r="I2752" t="s">
        <v>21</v>
      </c>
      <c r="P2752" s="3">
        <v>-109</v>
      </c>
      <c r="R2752" s="3" t="e">
        <f>SUMIFS([2]Gastos!$M:$M,[2]Gastos!$F:$F,H2752,[2]Gastos!$A:$A,A2752,[2]Gastos!$H:$H,I2752)</f>
        <v>#VALUE!</v>
      </c>
    </row>
    <row r="2753" spans="1:18" hidden="1" x14ac:dyDescent="0.3">
      <c r="A2753">
        <v>45</v>
      </c>
      <c r="B2753" t="str">
        <f>VLOOKUP($A2753,[1]LISTA!$B:$C,2,0)</f>
        <v>NOVIEMBRE</v>
      </c>
      <c r="C2753" s="1">
        <v>2025</v>
      </c>
      <c r="D2753" s="1" t="str">
        <f>IF($A2753&lt;=[1]RESULTADOS!$D$6,"YTD","YTG")</f>
        <v>YTG</v>
      </c>
      <c r="E2753" s="5" t="s">
        <v>717</v>
      </c>
      <c r="F2753" t="s">
        <v>18</v>
      </c>
      <c r="G2753" t="s">
        <v>57</v>
      </c>
      <c r="H2753" t="s">
        <v>766</v>
      </c>
      <c r="I2753" t="s">
        <v>495</v>
      </c>
      <c r="J2753" t="str">
        <f>IFERROR(VLOOKUP(I2753,[1]AUTOS!$C:$G,2,0),"")</f>
        <v>VERSA</v>
      </c>
      <c r="K2753">
        <f>IFERROR(VLOOKUP(I2753,[1]AUTOS!$C:$G,3,0),"")</f>
        <v>2021</v>
      </c>
      <c r="L2753" t="str">
        <f>IFERROR(VLOOKUP(I2753,[1]AUTOS!$C:$G,4,0),"")</f>
        <v>BLANCO</v>
      </c>
      <c r="P2753" s="3">
        <v>-620</v>
      </c>
      <c r="R2753" s="3" t="e">
        <f>SUMIFS([2]Gastos!$M:$M,[2]Gastos!$F:$F,H2753,[2]Gastos!$A:$A,A2753,[2]Gastos!$H:$H,I2753)</f>
        <v>#VALUE!</v>
      </c>
    </row>
    <row r="2754" spans="1:18" hidden="1" x14ac:dyDescent="0.3">
      <c r="A2754">
        <v>45</v>
      </c>
      <c r="B2754" t="str">
        <f>VLOOKUP($A2754,[1]LISTA!$B:$C,2,0)</f>
        <v>NOVIEMBRE</v>
      </c>
      <c r="C2754" s="1">
        <v>2025</v>
      </c>
      <c r="D2754" s="1" t="str">
        <f>IF($A2754&lt;=[1]RESULTADOS!$D$6,"YTD","YTG")</f>
        <v>YTG</v>
      </c>
      <c r="E2754" s="5" t="s">
        <v>526</v>
      </c>
      <c r="F2754" t="s">
        <v>18</v>
      </c>
      <c r="G2754" t="s">
        <v>23</v>
      </c>
      <c r="H2754" t="s">
        <v>113</v>
      </c>
      <c r="I2754" t="s">
        <v>67</v>
      </c>
      <c r="J2754" t="str">
        <f>IFERROR(VLOOKUP(I2754,[1]AUTOS!$C:$G,2,0),"")</f>
        <v>KIA RIO</v>
      </c>
      <c r="K2754">
        <f>IFERROR(VLOOKUP(I2754,[1]AUTOS!$C:$G,3,0),"")</f>
        <v>2020</v>
      </c>
      <c r="L2754" t="str">
        <f>IFERROR(VLOOKUP(I2754,[1]AUTOS!$C:$G,4,0),"")</f>
        <v>GRIS</v>
      </c>
      <c r="P2754" s="3">
        <v>-150</v>
      </c>
      <c r="R2754" s="3" t="e">
        <f>SUMIFS([2]Gastos!$M:$M,[2]Gastos!$F:$F,H2754,[2]Gastos!$A:$A,A2754,[2]Gastos!$H:$H,I2754)</f>
        <v>#VALUE!</v>
      </c>
    </row>
    <row r="2755" spans="1:18" hidden="1" x14ac:dyDescent="0.3">
      <c r="A2755">
        <v>45</v>
      </c>
      <c r="B2755" t="str">
        <f>VLOOKUP($A2755,[1]LISTA!$B:$C,2,0)</f>
        <v>NOVIEMBRE</v>
      </c>
      <c r="C2755" s="1">
        <v>2025</v>
      </c>
      <c r="D2755" s="1" t="str">
        <f>IF($A2755&lt;=[1]RESULTADOS!$D$6,"YTD","YTG")</f>
        <v>YTG</v>
      </c>
      <c r="E2755" t="s">
        <v>719</v>
      </c>
      <c r="F2755" t="s">
        <v>18</v>
      </c>
      <c r="G2755" t="s">
        <v>57</v>
      </c>
      <c r="H2755" t="s">
        <v>793</v>
      </c>
      <c r="I2755" t="s">
        <v>82</v>
      </c>
      <c r="J2755" t="str">
        <f>IFERROR(VLOOKUP(I2755,[1]AUTOS!$C:$G,2,0),"")</f>
        <v>AVEO</v>
      </c>
      <c r="K2755">
        <f>IFERROR(VLOOKUP(I2755,[1]AUTOS!$C:$G,3,0),"")</f>
        <v>2019</v>
      </c>
      <c r="L2755" t="str">
        <f>IFERROR(VLOOKUP(I2755,[1]AUTOS!$C:$G,4,0),"")</f>
        <v>PLATA</v>
      </c>
      <c r="P2755" s="3">
        <v>-5</v>
      </c>
      <c r="R2755" s="3" t="e">
        <f>SUMIFS([2]Gastos!$M:$M,[2]Gastos!$F:$F,H2755,[2]Gastos!$A:$A,A2755,[2]Gastos!$H:$H,I2755)</f>
        <v>#VALUE!</v>
      </c>
    </row>
    <row r="2756" spans="1:18" hidden="1" x14ac:dyDescent="0.3">
      <c r="A2756">
        <v>45</v>
      </c>
      <c r="B2756" t="str">
        <f>VLOOKUP($A2756,[1]LISTA!$B:$C,2,0)</f>
        <v>NOVIEMBRE</v>
      </c>
      <c r="C2756" s="1">
        <v>2025</v>
      </c>
      <c r="D2756" s="1" t="str">
        <f>IF($A2756&lt;=[1]RESULTADOS!$D$6,"YTD","YTG")</f>
        <v>YTG</v>
      </c>
      <c r="E2756" t="s">
        <v>719</v>
      </c>
      <c r="F2756" t="s">
        <v>18</v>
      </c>
      <c r="G2756" t="s">
        <v>57</v>
      </c>
      <c r="H2756" t="s">
        <v>794</v>
      </c>
      <c r="I2756" t="s">
        <v>82</v>
      </c>
      <c r="J2756" t="str">
        <f>IFERROR(VLOOKUP(I2756,[1]AUTOS!$C:$G,2,0),"")</f>
        <v>AVEO</v>
      </c>
      <c r="K2756">
        <f>IFERROR(VLOOKUP(I2756,[1]AUTOS!$C:$G,3,0),"")</f>
        <v>2019</v>
      </c>
      <c r="L2756" t="str">
        <f>IFERROR(VLOOKUP(I2756,[1]AUTOS!$C:$G,4,0),"")</f>
        <v>PLATA</v>
      </c>
      <c r="P2756" s="3">
        <v>-8</v>
      </c>
      <c r="R2756" s="3" t="e">
        <f>SUMIFS([2]Gastos!$M:$M,[2]Gastos!$F:$F,H2756,[2]Gastos!$A:$A,A2756,[2]Gastos!$H:$H,I2756)</f>
        <v>#VALUE!</v>
      </c>
    </row>
    <row r="2757" spans="1:18" hidden="1" x14ac:dyDescent="0.3">
      <c r="A2757">
        <v>46</v>
      </c>
      <c r="B2757" t="str">
        <f>VLOOKUP($A2757,[1]LISTA!$B:$C,2,0)</f>
        <v>NOVIEMBRE</v>
      </c>
      <c r="C2757" s="1">
        <v>2025</v>
      </c>
      <c r="D2757" s="1" t="str">
        <f>IF($A2757&lt;=[1]RESULTADOS!$D$6,"YTD","YTG")</f>
        <v>YTG</v>
      </c>
      <c r="E2757" s="5" t="s">
        <v>717</v>
      </c>
      <c r="F2757" t="s">
        <v>18</v>
      </c>
      <c r="G2757" t="s">
        <v>57</v>
      </c>
      <c r="H2757" t="s">
        <v>284</v>
      </c>
      <c r="I2757" t="s">
        <v>495</v>
      </c>
      <c r="J2757" t="str">
        <f>IFERROR(VLOOKUP(I2757,[1]AUTOS!$C:$G,2,0),"")</f>
        <v>VERSA</v>
      </c>
      <c r="K2757">
        <f>IFERROR(VLOOKUP(I2757,[1]AUTOS!$C:$G,3,0),"")</f>
        <v>2021</v>
      </c>
      <c r="L2757" t="str">
        <f>IFERROR(VLOOKUP(I2757,[1]AUTOS!$C:$G,4,0),"")</f>
        <v>BLANCO</v>
      </c>
      <c r="P2757" s="3">
        <v>-1240</v>
      </c>
      <c r="R2757" s="3" t="e">
        <f>SUMIFS([2]Gastos!$M:$M,[2]Gastos!$F:$F,H2757,[2]Gastos!$A:$A,A2757,[2]Gastos!$H:$H,I2757)</f>
        <v>#VALUE!</v>
      </c>
    </row>
    <row r="2758" spans="1:18" hidden="1" x14ac:dyDescent="0.3">
      <c r="A2758">
        <v>46</v>
      </c>
      <c r="B2758" t="str">
        <f>VLOOKUP($A2758,[1]LISTA!$B:$C,2,0)</f>
        <v>NOVIEMBRE</v>
      </c>
      <c r="C2758" s="1">
        <v>2025</v>
      </c>
      <c r="D2758" s="1" t="str">
        <f>IF($A2758&lt;=[1]RESULTADOS!$D$6,"YTD","YTG")</f>
        <v>YTG</v>
      </c>
      <c r="E2758" t="s">
        <v>17</v>
      </c>
      <c r="F2758" t="s">
        <v>18</v>
      </c>
      <c r="G2758" t="s">
        <v>57</v>
      </c>
      <c r="H2758" t="s">
        <v>305</v>
      </c>
      <c r="I2758" t="s">
        <v>366</v>
      </c>
      <c r="J2758" t="str">
        <f>IFERROR(VLOOKUP(I2758,[1]AUTOS!$C:$G,2,0),"")</f>
        <v>VENTO</v>
      </c>
      <c r="K2758">
        <f>IFERROR(VLOOKUP(I2758,[1]AUTOS!$C:$G,3,0),"")</f>
        <v>2019</v>
      </c>
      <c r="L2758" t="str">
        <f>IFERROR(VLOOKUP(I2758,[1]AUTOS!$C:$G,4,0),"")</f>
        <v>BLANCO</v>
      </c>
      <c r="P2758" s="3">
        <v>-1900</v>
      </c>
      <c r="R2758" s="3" t="e">
        <f>SUMIFS([2]Gastos!$M:$M,[2]Gastos!$F:$F,H2758,[2]Gastos!$A:$A,A2758,[2]Gastos!$H:$H,I2758)</f>
        <v>#VALUE!</v>
      </c>
    </row>
    <row r="2759" spans="1:18" hidden="1" x14ac:dyDescent="0.3">
      <c r="A2759">
        <v>46</v>
      </c>
      <c r="B2759" t="str">
        <f>VLOOKUP($A2759,[1]LISTA!$B:$C,2,0)</f>
        <v>NOVIEMBRE</v>
      </c>
      <c r="C2759" s="1">
        <v>2025</v>
      </c>
      <c r="D2759" s="1" t="str">
        <f>IF($A2759&lt;=[1]RESULTADOS!$D$6,"YTD","YTG")</f>
        <v>YTG</v>
      </c>
      <c r="E2759" s="5" t="s">
        <v>717</v>
      </c>
      <c r="F2759" t="s">
        <v>18</v>
      </c>
      <c r="G2759" t="s">
        <v>780</v>
      </c>
      <c r="H2759" t="s">
        <v>194</v>
      </c>
      <c r="I2759" t="s">
        <v>495</v>
      </c>
      <c r="J2759" t="str">
        <f>IFERROR(VLOOKUP(I2759,[1]AUTOS!$C:$G,2,0),"")</f>
        <v>VERSA</v>
      </c>
      <c r="K2759">
        <f>IFERROR(VLOOKUP(I2759,[1]AUTOS!$C:$G,3,0),"")</f>
        <v>2021</v>
      </c>
      <c r="L2759" t="str">
        <f>IFERROR(VLOOKUP(I2759,[1]AUTOS!$C:$G,4,0),"")</f>
        <v>BLANCO</v>
      </c>
      <c r="P2759" s="3">
        <v>-130</v>
      </c>
      <c r="R2759" s="3" t="e">
        <f>SUMIFS([2]Gastos!$M:$M,[2]Gastos!$F:$F,H2759,[2]Gastos!$A:$A,A2759,[2]Gastos!$H:$H,I2759)</f>
        <v>#VALUE!</v>
      </c>
    </row>
    <row r="2760" spans="1:18" hidden="1" x14ac:dyDescent="0.3">
      <c r="A2760">
        <v>46</v>
      </c>
      <c r="B2760" t="str">
        <f>VLOOKUP($A2760,[1]LISTA!$B:$C,2,0)</f>
        <v>NOVIEMBRE</v>
      </c>
      <c r="C2760" s="1">
        <v>2025</v>
      </c>
      <c r="D2760" s="1" t="str">
        <f>IF($A2760&lt;=[1]RESULTADOS!$D$6,"YTD","YTG")</f>
        <v>YTG</v>
      </c>
      <c r="E2760" s="5" t="s">
        <v>704</v>
      </c>
      <c r="F2760" t="s">
        <v>18</v>
      </c>
      <c r="G2760" t="s">
        <v>57</v>
      </c>
      <c r="H2760" t="s">
        <v>795</v>
      </c>
      <c r="I2760" t="s">
        <v>37</v>
      </c>
      <c r="J2760" t="str">
        <f>IFERROR(VLOOKUP(I2760,[1]AUTOS!$C:$G,2,0),"")</f>
        <v>BEAT</v>
      </c>
      <c r="K2760">
        <f>IFERROR(VLOOKUP(I2760,[1]AUTOS!$C:$G,3,0),"")</f>
        <v>2020</v>
      </c>
      <c r="L2760" t="str">
        <f>IFERROR(VLOOKUP(I2760,[1]AUTOS!$C:$G,4,0),"")</f>
        <v>GRIS</v>
      </c>
      <c r="P2760" s="3">
        <v>-100</v>
      </c>
      <c r="R2760" s="3" t="e">
        <f>SUMIFS([2]Gastos!$M:$M,[2]Gastos!$F:$F,H2760,[2]Gastos!$A:$A,A2760,[2]Gastos!$H:$H,I2760)</f>
        <v>#VALUE!</v>
      </c>
    </row>
    <row r="2761" spans="1:18" hidden="1" x14ac:dyDescent="0.3">
      <c r="A2761">
        <v>46</v>
      </c>
      <c r="B2761" t="str">
        <f>VLOOKUP($A2761,[1]LISTA!$B:$C,2,0)</f>
        <v>NOVIEMBRE</v>
      </c>
      <c r="C2761" s="1">
        <v>2025</v>
      </c>
      <c r="D2761" s="1" t="str">
        <f>IF($A2761&lt;=[1]RESULTADOS!$D$6,"YTD","YTG")</f>
        <v>YTG</v>
      </c>
      <c r="E2761" s="5" t="s">
        <v>704</v>
      </c>
      <c r="F2761" t="s">
        <v>18</v>
      </c>
      <c r="G2761" t="s">
        <v>57</v>
      </c>
      <c r="H2761" t="s">
        <v>796</v>
      </c>
      <c r="I2761" t="s">
        <v>37</v>
      </c>
      <c r="J2761" t="str">
        <f>IFERROR(VLOOKUP(I2761,[1]AUTOS!$C:$G,2,0),"")</f>
        <v>BEAT</v>
      </c>
      <c r="K2761">
        <f>IFERROR(VLOOKUP(I2761,[1]AUTOS!$C:$G,3,0),"")</f>
        <v>2020</v>
      </c>
      <c r="L2761" t="str">
        <f>IFERROR(VLOOKUP(I2761,[1]AUTOS!$C:$G,4,0),"")</f>
        <v>GRIS</v>
      </c>
      <c r="P2761" s="3">
        <v>-430</v>
      </c>
      <c r="R2761" s="3" t="e">
        <f>SUMIFS([2]Gastos!$M:$M,[2]Gastos!$F:$F,H2761,[2]Gastos!$A:$A,A2761,[2]Gastos!$H:$H,I2761)</f>
        <v>#VALUE!</v>
      </c>
    </row>
    <row r="2762" spans="1:18" hidden="1" x14ac:dyDescent="0.3">
      <c r="A2762">
        <v>46</v>
      </c>
      <c r="B2762" t="str">
        <f>VLOOKUP($A2762,[1]LISTA!$B:$C,2,0)</f>
        <v>NOVIEMBRE</v>
      </c>
      <c r="C2762" s="1">
        <v>2025</v>
      </c>
      <c r="D2762" s="1" t="str">
        <f>IF($A2762&lt;=[1]RESULTADOS!$D$6,"YTD","YTG")</f>
        <v>YTG</v>
      </c>
      <c r="E2762" s="5" t="s">
        <v>704</v>
      </c>
      <c r="F2762" t="s">
        <v>18</v>
      </c>
      <c r="G2762" t="s">
        <v>57</v>
      </c>
      <c r="H2762" t="s">
        <v>797</v>
      </c>
      <c r="I2762" t="s">
        <v>37</v>
      </c>
      <c r="J2762" t="str">
        <f>IFERROR(VLOOKUP(I2762,[1]AUTOS!$C:$G,2,0),"")</f>
        <v>BEAT</v>
      </c>
      <c r="K2762">
        <f>IFERROR(VLOOKUP(I2762,[1]AUTOS!$C:$G,3,0),"")</f>
        <v>2020</v>
      </c>
      <c r="L2762" t="str">
        <f>IFERROR(VLOOKUP(I2762,[1]AUTOS!$C:$G,4,0),"")</f>
        <v>GRIS</v>
      </c>
      <c r="P2762" s="3">
        <v>-370</v>
      </c>
      <c r="R2762" s="3" t="e">
        <f>SUMIFS([2]Gastos!$M:$M,[2]Gastos!$F:$F,H2762,[2]Gastos!$A:$A,A2762,[2]Gastos!$H:$H,I2762)</f>
        <v>#VALUE!</v>
      </c>
    </row>
    <row r="2763" spans="1:18" hidden="1" x14ac:dyDescent="0.3">
      <c r="A2763">
        <v>46</v>
      </c>
      <c r="B2763" t="str">
        <f>VLOOKUP($A2763,[1]LISTA!$B:$C,2,0)</f>
        <v>NOVIEMBRE</v>
      </c>
      <c r="C2763" s="1">
        <v>2025</v>
      </c>
      <c r="D2763" s="1" t="str">
        <f>IF($A2763&lt;=[1]RESULTADOS!$D$6,"YTD","YTG")</f>
        <v>YTG</v>
      </c>
      <c r="E2763" t="s">
        <v>436</v>
      </c>
      <c r="F2763" t="s">
        <v>18</v>
      </c>
      <c r="G2763" t="s">
        <v>23</v>
      </c>
      <c r="H2763" t="s">
        <v>113</v>
      </c>
      <c r="I2763" t="s">
        <v>112</v>
      </c>
      <c r="J2763" t="str">
        <f>IFERROR(VLOOKUP(I2763,[1]AUTOS!$C:$G,2,0),"")</f>
        <v>KIA RIO</v>
      </c>
      <c r="K2763">
        <f>IFERROR(VLOOKUP(I2763,[1]AUTOS!$C:$G,3,0),"")</f>
        <v>2020</v>
      </c>
      <c r="L2763" t="str">
        <f>IFERROR(VLOOKUP(I2763,[1]AUTOS!$C:$G,4,0),"")</f>
        <v>ROJO</v>
      </c>
      <c r="P2763" s="3">
        <v>-550</v>
      </c>
      <c r="R2763" s="3" t="e">
        <f>SUMIFS([2]Gastos!$M:$M,[2]Gastos!$F:$F,H2763,[2]Gastos!$A:$A,A2763,[2]Gastos!$H:$H,I2763)</f>
        <v>#VALUE!</v>
      </c>
    </row>
    <row r="2764" spans="1:18" hidden="1" x14ac:dyDescent="0.3">
      <c r="A2764">
        <v>46</v>
      </c>
      <c r="B2764" t="str">
        <f>VLOOKUP($A2764,[1]LISTA!$B:$C,2,0)</f>
        <v>NOVIEMBRE</v>
      </c>
      <c r="C2764" s="1">
        <v>2025</v>
      </c>
      <c r="D2764" s="1" t="str">
        <f>IF($A2764&lt;=[1]RESULTADOS!$D$6,"YTD","YTG")</f>
        <v>YTG</v>
      </c>
      <c r="E2764" t="s">
        <v>436</v>
      </c>
      <c r="F2764" t="s">
        <v>18</v>
      </c>
      <c r="G2764" t="s">
        <v>23</v>
      </c>
      <c r="H2764" t="s">
        <v>113</v>
      </c>
      <c r="I2764" t="s">
        <v>112</v>
      </c>
      <c r="J2764" t="str">
        <f>IFERROR(VLOOKUP(I2764,[1]AUTOS!$C:$G,2,0),"")</f>
        <v>KIA RIO</v>
      </c>
      <c r="K2764">
        <f>IFERROR(VLOOKUP(I2764,[1]AUTOS!$C:$G,3,0),"")</f>
        <v>2020</v>
      </c>
      <c r="L2764" t="str">
        <f>IFERROR(VLOOKUP(I2764,[1]AUTOS!$C:$G,4,0),"")</f>
        <v>ROJO</v>
      </c>
      <c r="P2764" s="3">
        <v>-563.52</v>
      </c>
      <c r="R2764" s="3" t="e">
        <f>SUMIFS([2]Gastos!$M:$M,[2]Gastos!$F:$F,H2764,[2]Gastos!$A:$A,A2764,[2]Gastos!$H:$H,I2764)</f>
        <v>#VALUE!</v>
      </c>
    </row>
    <row r="2765" spans="1:18" hidden="1" x14ac:dyDescent="0.3">
      <c r="A2765">
        <v>46</v>
      </c>
      <c r="B2765" t="str">
        <f>VLOOKUP($A2765,[1]LISTA!$B:$C,2,0)</f>
        <v>NOVIEMBRE</v>
      </c>
      <c r="C2765" s="1">
        <v>2025</v>
      </c>
      <c r="D2765" s="1" t="str">
        <f>IF($A2765&lt;=[1]RESULTADOS!$D$6,"YTD","YTG")</f>
        <v>YTG</v>
      </c>
      <c r="E2765" t="s">
        <v>436</v>
      </c>
      <c r="F2765" t="s">
        <v>18</v>
      </c>
      <c r="G2765" t="s">
        <v>23</v>
      </c>
      <c r="H2765" t="s">
        <v>113</v>
      </c>
      <c r="I2765" t="s">
        <v>112</v>
      </c>
      <c r="J2765" t="str">
        <f>IFERROR(VLOOKUP(I2765,[1]AUTOS!$C:$G,2,0),"")</f>
        <v>KIA RIO</v>
      </c>
      <c r="K2765">
        <f>IFERROR(VLOOKUP(I2765,[1]AUTOS!$C:$G,3,0),"")</f>
        <v>2020</v>
      </c>
      <c r="L2765" t="str">
        <f>IFERROR(VLOOKUP(I2765,[1]AUTOS!$C:$G,4,0),"")</f>
        <v>ROJO</v>
      </c>
      <c r="P2765" s="3">
        <v>-150</v>
      </c>
      <c r="R2765" s="3" t="e">
        <f>SUMIFS([2]Gastos!$M:$M,[2]Gastos!$F:$F,H2765,[2]Gastos!$A:$A,A2765,[2]Gastos!$H:$H,I2765)</f>
        <v>#VALUE!</v>
      </c>
    </row>
    <row r="2766" spans="1:18" hidden="1" x14ac:dyDescent="0.3">
      <c r="A2766">
        <v>46</v>
      </c>
      <c r="B2766" t="str">
        <f>VLOOKUP($A2766,[1]LISTA!$B:$C,2,0)</f>
        <v>NOVIEMBRE</v>
      </c>
      <c r="C2766" s="1">
        <v>2025</v>
      </c>
      <c r="D2766" s="1" t="str">
        <f>IF($A2766&lt;=[1]RESULTADOS!$D$6,"YTD","YTG")</f>
        <v>YTG</v>
      </c>
      <c r="E2766" s="6" t="s">
        <v>705</v>
      </c>
      <c r="F2766" t="s">
        <v>18</v>
      </c>
      <c r="G2766" t="s">
        <v>23</v>
      </c>
      <c r="H2766" t="s">
        <v>113</v>
      </c>
      <c r="I2766" t="s">
        <v>440</v>
      </c>
      <c r="J2766" t="str">
        <f>IFERROR(VLOOKUP(I2766,[1]AUTOS!$C:$G,2,0),"")</f>
        <v>AVEO</v>
      </c>
      <c r="K2766">
        <f>IFERROR(VLOOKUP(I2766,[1]AUTOS!$C:$G,3,0),"")</f>
        <v>2021</v>
      </c>
      <c r="L2766" t="str">
        <f>IFERROR(VLOOKUP(I2766,[1]AUTOS!$C:$G,4,0),"")</f>
        <v>GRIS</v>
      </c>
      <c r="P2766" s="3">
        <v>-696.14</v>
      </c>
      <c r="R2766" s="3" t="e">
        <f>SUMIFS([2]Gastos!$M:$M,[2]Gastos!$F:$F,H2766,[2]Gastos!$A:$A,A2766,[2]Gastos!$H:$H,I2766)</f>
        <v>#VALUE!</v>
      </c>
    </row>
    <row r="2767" spans="1:18" hidden="1" x14ac:dyDescent="0.3">
      <c r="A2767">
        <v>46</v>
      </c>
      <c r="B2767" t="str">
        <f>VLOOKUP($A2767,[1]LISTA!$B:$C,2,0)</f>
        <v>NOVIEMBRE</v>
      </c>
      <c r="C2767" s="1">
        <v>2025</v>
      </c>
      <c r="D2767" s="1" t="str">
        <f>IF($A2767&lt;=[1]RESULTADOS!$D$6,"YTD","YTG")</f>
        <v>YTG</v>
      </c>
      <c r="E2767" t="s">
        <v>17</v>
      </c>
      <c r="F2767" t="s">
        <v>18</v>
      </c>
      <c r="G2767" t="s">
        <v>41</v>
      </c>
      <c r="H2767" t="s">
        <v>798</v>
      </c>
      <c r="I2767" t="s">
        <v>366</v>
      </c>
      <c r="J2767" t="str">
        <f>IFERROR(VLOOKUP(I2767,[1]AUTOS!$C:$G,2,0),"")</f>
        <v>VENTO</v>
      </c>
      <c r="K2767">
        <f>IFERROR(VLOOKUP(I2767,[1]AUTOS!$C:$G,3,0),"")</f>
        <v>2019</v>
      </c>
      <c r="L2767" t="str">
        <f>IFERROR(VLOOKUP(I2767,[1]AUTOS!$C:$G,4,0),"")</f>
        <v>BLANCO</v>
      </c>
      <c r="P2767" s="3">
        <v>-79</v>
      </c>
      <c r="R2767" s="3" t="e">
        <f>SUMIFS([2]Gastos!$M:$M,[2]Gastos!$F:$F,H2767,[2]Gastos!$A:$A,A2767,[2]Gastos!$H:$H,I2767)</f>
        <v>#VALUE!</v>
      </c>
    </row>
    <row r="2768" spans="1:18" hidden="1" x14ac:dyDescent="0.3">
      <c r="A2768">
        <v>46</v>
      </c>
      <c r="B2768" t="str">
        <f>VLOOKUP($A2768,[1]LISTA!$B:$C,2,0)</f>
        <v>NOVIEMBRE</v>
      </c>
      <c r="C2768" s="1">
        <v>2025</v>
      </c>
      <c r="D2768" s="1" t="str">
        <f>IF($A2768&lt;=[1]RESULTADOS!$D$6,"YTD","YTG")</f>
        <v>YTG</v>
      </c>
      <c r="E2768" s="5" t="s">
        <v>526</v>
      </c>
      <c r="F2768" t="s">
        <v>18</v>
      </c>
      <c r="G2768" t="s">
        <v>23</v>
      </c>
      <c r="H2768" t="s">
        <v>113</v>
      </c>
      <c r="I2768" t="s">
        <v>67</v>
      </c>
      <c r="J2768" t="str">
        <f>IFERROR(VLOOKUP(I2768,[1]AUTOS!$C:$G,2,0),"")</f>
        <v>KIA RIO</v>
      </c>
      <c r="K2768">
        <f>IFERROR(VLOOKUP(I2768,[1]AUTOS!$C:$G,3,0),"")</f>
        <v>2020</v>
      </c>
      <c r="L2768" t="str">
        <f>IFERROR(VLOOKUP(I2768,[1]AUTOS!$C:$G,4,0),"")</f>
        <v>GRIS</v>
      </c>
      <c r="P2768" s="3">
        <v>-200</v>
      </c>
      <c r="R2768" s="3" t="e">
        <f>SUMIFS([2]Gastos!$M:$M,[2]Gastos!$F:$F,H2768,[2]Gastos!$A:$A,A2768,[2]Gastos!$H:$H,I2768)</f>
        <v>#VALUE!</v>
      </c>
    </row>
    <row r="2769" spans="1:18" hidden="1" x14ac:dyDescent="0.3">
      <c r="A2769">
        <v>46</v>
      </c>
      <c r="B2769" t="str">
        <f>VLOOKUP($A2769,[1]LISTA!$B:$C,2,0)</f>
        <v>NOVIEMBRE</v>
      </c>
      <c r="C2769" s="1">
        <v>2025</v>
      </c>
      <c r="D2769" s="1" t="str">
        <f>IF($A2769&lt;=[1]RESULTADOS!$D$6,"YTD","YTG")</f>
        <v>YTG</v>
      </c>
      <c r="E2769" s="5" t="s">
        <v>478</v>
      </c>
      <c r="F2769" t="s">
        <v>18</v>
      </c>
      <c r="G2769" t="s">
        <v>57</v>
      </c>
      <c r="H2769" t="s">
        <v>155</v>
      </c>
      <c r="I2769" t="s">
        <v>102</v>
      </c>
      <c r="J2769" t="str">
        <f>IFERROR(VLOOKUP(I2769,[1]AUTOS!$C:$G,2,0),"")</f>
        <v>AVEO</v>
      </c>
      <c r="K2769">
        <f>IFERROR(VLOOKUP(I2769,[1]AUTOS!$C:$G,3,0),"")</f>
        <v>2022</v>
      </c>
      <c r="L2769" t="str">
        <f>IFERROR(VLOOKUP(I2769,[1]AUTOS!$C:$G,4,0),"")</f>
        <v>AZUL</v>
      </c>
      <c r="P2769" s="3">
        <v>-540</v>
      </c>
      <c r="R2769" s="3" t="e">
        <f>SUMIFS([2]Gastos!$M:$M,[2]Gastos!$F:$F,H2769,[2]Gastos!$A:$A,A2769,[2]Gastos!$H:$H,I2769)</f>
        <v>#VALUE!</v>
      </c>
    </row>
    <row r="2770" spans="1:18" hidden="1" x14ac:dyDescent="0.3">
      <c r="A2770">
        <v>46</v>
      </c>
      <c r="B2770" t="str">
        <f>VLOOKUP($A2770,[1]LISTA!$B:$C,2,0)</f>
        <v>NOVIEMBRE</v>
      </c>
      <c r="C2770" s="1">
        <v>2025</v>
      </c>
      <c r="D2770" s="1" t="str">
        <f>IF($A2770&lt;=[1]RESULTADOS!$D$6,"YTD","YTG")</f>
        <v>YTG</v>
      </c>
      <c r="E2770" s="5" t="s">
        <v>717</v>
      </c>
      <c r="F2770" t="s">
        <v>18</v>
      </c>
      <c r="G2770" t="s">
        <v>23</v>
      </c>
      <c r="H2770" t="s">
        <v>624</v>
      </c>
      <c r="I2770" t="s">
        <v>495</v>
      </c>
      <c r="J2770" t="str">
        <f>IFERROR(VLOOKUP(I2770,[1]AUTOS!$C:$G,2,0),"")</f>
        <v>VERSA</v>
      </c>
      <c r="K2770">
        <f>IFERROR(VLOOKUP(I2770,[1]AUTOS!$C:$G,3,0),"")</f>
        <v>2021</v>
      </c>
      <c r="L2770" t="str">
        <f>IFERROR(VLOOKUP(I2770,[1]AUTOS!$C:$G,4,0),"")</f>
        <v>BLANCO</v>
      </c>
      <c r="P2770" s="3">
        <v>-80</v>
      </c>
      <c r="R2770" s="3" t="e">
        <f>SUMIFS([2]Gastos!$M:$M,[2]Gastos!$F:$F,H2770,[2]Gastos!$A:$A,A2770,[2]Gastos!$H:$H,I2770)</f>
        <v>#VALUE!</v>
      </c>
    </row>
    <row r="2771" spans="1:18" hidden="1" x14ac:dyDescent="0.3">
      <c r="A2771">
        <v>46</v>
      </c>
      <c r="B2771" t="str">
        <f>VLOOKUP($A2771,[1]LISTA!$B:$C,2,0)</f>
        <v>NOVIEMBRE</v>
      </c>
      <c r="C2771" s="1">
        <v>2025</v>
      </c>
      <c r="D2771" s="1" t="str">
        <f>IF($A2771&lt;=[1]RESULTADOS!$D$6,"YTD","YTG")</f>
        <v>YTG</v>
      </c>
      <c r="E2771" s="5" t="s">
        <v>526</v>
      </c>
      <c r="F2771" t="s">
        <v>18</v>
      </c>
      <c r="G2771" t="s">
        <v>57</v>
      </c>
      <c r="H2771" t="s">
        <v>799</v>
      </c>
      <c r="I2771" t="s">
        <v>67</v>
      </c>
      <c r="J2771" t="str">
        <f>IFERROR(VLOOKUP(I2771,[1]AUTOS!$C:$G,2,0),"")</f>
        <v>KIA RIO</v>
      </c>
      <c r="K2771">
        <f>IFERROR(VLOOKUP(I2771,[1]AUTOS!$C:$G,3,0),"")</f>
        <v>2020</v>
      </c>
      <c r="L2771" t="str">
        <f>IFERROR(VLOOKUP(I2771,[1]AUTOS!$C:$G,4,0),"")</f>
        <v>GRIS</v>
      </c>
      <c r="P2771" s="3">
        <v>-500</v>
      </c>
      <c r="R2771" s="3" t="e">
        <f>SUMIFS([2]Gastos!$M:$M,[2]Gastos!$F:$F,H2771,[2]Gastos!$A:$A,A2771,[2]Gastos!$H:$H,I2771)</f>
        <v>#VALUE!</v>
      </c>
    </row>
    <row r="2772" spans="1:18" hidden="1" x14ac:dyDescent="0.3">
      <c r="A2772">
        <v>46</v>
      </c>
      <c r="B2772" t="str">
        <f>VLOOKUP($A2772,[1]LISTA!$B:$C,2,0)</f>
        <v>NOVIEMBRE</v>
      </c>
      <c r="C2772" s="1">
        <v>2025</v>
      </c>
      <c r="D2772" s="1" t="str">
        <f>IF($A2772&lt;=[1]RESULTADOS!$D$6,"YTD","YTG")</f>
        <v>YTG</v>
      </c>
      <c r="E2772" t="s">
        <v>17</v>
      </c>
      <c r="F2772" t="s">
        <v>18</v>
      </c>
      <c r="G2772" t="s">
        <v>327</v>
      </c>
      <c r="H2772" t="s">
        <v>331</v>
      </c>
      <c r="I2772" t="s">
        <v>21</v>
      </c>
      <c r="P2772" s="3">
        <v>-1500</v>
      </c>
      <c r="R2772" s="3" t="e">
        <f>SUMIFS([2]Gastos!$M:$M,[2]Gastos!$F:$F,H2772,[2]Gastos!$A:$A,A2772,[2]Gastos!$H:$H,I2772)</f>
        <v>#VALUE!</v>
      </c>
    </row>
    <row r="2773" spans="1:18" hidden="1" x14ac:dyDescent="0.3">
      <c r="A2773">
        <v>46</v>
      </c>
      <c r="B2773" t="str">
        <f>VLOOKUP($A2773,[1]LISTA!$B:$C,2,0)</f>
        <v>NOVIEMBRE</v>
      </c>
      <c r="C2773" s="1">
        <v>2025</v>
      </c>
      <c r="D2773" s="1" t="str">
        <f>IF($A2773&lt;=[1]RESULTADOS!$D$6,"YTD","YTG")</f>
        <v>YTG</v>
      </c>
      <c r="E2773" s="5" t="s">
        <v>526</v>
      </c>
      <c r="F2773" t="s">
        <v>18</v>
      </c>
      <c r="G2773" t="s">
        <v>23</v>
      </c>
      <c r="H2773" t="s">
        <v>113</v>
      </c>
      <c r="I2773" t="s">
        <v>67</v>
      </c>
      <c r="J2773" t="str">
        <f>IFERROR(VLOOKUP(I2773,[1]AUTOS!$C:$G,2,0),"")</f>
        <v>KIA RIO</v>
      </c>
      <c r="K2773">
        <f>IFERROR(VLOOKUP(I2773,[1]AUTOS!$C:$G,3,0),"")</f>
        <v>2020</v>
      </c>
      <c r="L2773" t="str">
        <f>IFERROR(VLOOKUP(I2773,[1]AUTOS!$C:$G,4,0),"")</f>
        <v>GRIS</v>
      </c>
      <c r="P2773" s="3">
        <v>-150</v>
      </c>
      <c r="R2773" s="3" t="e">
        <f>SUMIFS([2]Gastos!$M:$M,[2]Gastos!$F:$F,H2773,[2]Gastos!$A:$A,A2773,[2]Gastos!$H:$H,I2773)</f>
        <v>#VALUE!</v>
      </c>
    </row>
    <row r="2774" spans="1:18" hidden="1" x14ac:dyDescent="0.3">
      <c r="A2774">
        <v>46</v>
      </c>
      <c r="B2774" t="str">
        <f>VLOOKUP($A2774,[1]LISTA!$B:$C,2,0)</f>
        <v>NOVIEMBRE</v>
      </c>
      <c r="C2774" s="1">
        <v>2025</v>
      </c>
      <c r="D2774" s="1" t="str">
        <f>IF($A2774&lt;=[1]RESULTADOS!$D$6,"YTD","YTG")</f>
        <v>YTG</v>
      </c>
      <c r="E2774" s="5" t="s">
        <v>526</v>
      </c>
      <c r="F2774" t="s">
        <v>18</v>
      </c>
      <c r="G2774" t="s">
        <v>57</v>
      </c>
      <c r="H2774" t="s">
        <v>800</v>
      </c>
      <c r="I2774" t="s">
        <v>67</v>
      </c>
      <c r="J2774" t="str">
        <f>IFERROR(VLOOKUP(I2774,[1]AUTOS!$C:$G,2,0),"")</f>
        <v>KIA RIO</v>
      </c>
      <c r="K2774">
        <f>IFERROR(VLOOKUP(I2774,[1]AUTOS!$C:$G,3,0),"")</f>
        <v>2020</v>
      </c>
      <c r="L2774" t="str">
        <f>IFERROR(VLOOKUP(I2774,[1]AUTOS!$C:$G,4,0),"")</f>
        <v>GRIS</v>
      </c>
      <c r="P2774" s="3">
        <v>-200</v>
      </c>
      <c r="R2774" s="3" t="e">
        <f>SUMIFS([2]Gastos!$M:$M,[2]Gastos!$F:$F,H2774,[2]Gastos!$A:$A,A2774,[2]Gastos!$H:$H,I2774)</f>
        <v>#VALUE!</v>
      </c>
    </row>
    <row r="2775" spans="1:18" hidden="1" x14ac:dyDescent="0.3">
      <c r="A2775">
        <v>46</v>
      </c>
      <c r="B2775" t="str">
        <f>VLOOKUP($A2775,[1]LISTA!$B:$C,2,0)</f>
        <v>NOVIEMBRE</v>
      </c>
      <c r="C2775" s="1">
        <v>2025</v>
      </c>
      <c r="D2775" s="1" t="str">
        <f>IF($A2775&lt;=[1]RESULTADOS!$D$6,"YTD","YTG")</f>
        <v>YTG</v>
      </c>
      <c r="E2775" t="s">
        <v>17</v>
      </c>
      <c r="F2775" t="s">
        <v>18</v>
      </c>
      <c r="G2775" t="s">
        <v>57</v>
      </c>
      <c r="H2775" t="s">
        <v>801</v>
      </c>
      <c r="I2775" t="s">
        <v>366</v>
      </c>
      <c r="J2775" t="str">
        <f>IFERROR(VLOOKUP(I2775,[1]AUTOS!$C:$G,2,0),"")</f>
        <v>VENTO</v>
      </c>
      <c r="K2775">
        <f>IFERROR(VLOOKUP(I2775,[1]AUTOS!$C:$G,3,0),"")</f>
        <v>2019</v>
      </c>
      <c r="L2775" t="str">
        <f>IFERROR(VLOOKUP(I2775,[1]AUTOS!$C:$G,4,0),"")</f>
        <v>BLANCO</v>
      </c>
      <c r="P2775" s="3">
        <v>-10</v>
      </c>
      <c r="R2775" s="3" t="e">
        <f>SUMIFS([2]Gastos!$M:$M,[2]Gastos!$F:$F,H2775,[2]Gastos!$A:$A,A2775,[2]Gastos!$H:$H,I2775)</f>
        <v>#VALUE!</v>
      </c>
    </row>
    <row r="2776" spans="1:18" hidden="1" x14ac:dyDescent="0.3">
      <c r="A2776">
        <v>46</v>
      </c>
      <c r="B2776" t="str">
        <f>VLOOKUP($A2776,[1]LISTA!$B:$C,2,0)</f>
        <v>NOVIEMBRE</v>
      </c>
      <c r="C2776" s="1">
        <v>2025</v>
      </c>
      <c r="D2776" s="1" t="str">
        <f>IF($A2776&lt;=[1]RESULTADOS!$D$6,"YTD","YTG")</f>
        <v>YTG</v>
      </c>
      <c r="E2776" t="s">
        <v>17</v>
      </c>
      <c r="F2776" t="s">
        <v>18</v>
      </c>
      <c r="G2776" t="s">
        <v>57</v>
      </c>
      <c r="H2776" t="s">
        <v>802</v>
      </c>
      <c r="I2776" t="s">
        <v>366</v>
      </c>
      <c r="J2776" t="str">
        <f>IFERROR(VLOOKUP(I2776,[1]AUTOS!$C:$G,2,0),"")</f>
        <v>VENTO</v>
      </c>
      <c r="K2776">
        <f>IFERROR(VLOOKUP(I2776,[1]AUTOS!$C:$G,3,0),"")</f>
        <v>2019</v>
      </c>
      <c r="L2776" t="str">
        <f>IFERROR(VLOOKUP(I2776,[1]AUTOS!$C:$G,4,0),"")</f>
        <v>BLANCO</v>
      </c>
      <c r="P2776" s="3">
        <v>-14</v>
      </c>
      <c r="R2776" s="3" t="e">
        <f>SUMIFS([2]Gastos!$M:$M,[2]Gastos!$F:$F,H2776,[2]Gastos!$A:$A,A2776,[2]Gastos!$H:$H,I2776)</f>
        <v>#VALUE!</v>
      </c>
    </row>
    <row r="2777" spans="1:18" hidden="1" x14ac:dyDescent="0.3">
      <c r="A2777">
        <v>46</v>
      </c>
      <c r="B2777" t="str">
        <f>VLOOKUP($A2777,[1]LISTA!$B:$C,2,0)</f>
        <v>NOVIEMBRE</v>
      </c>
      <c r="C2777" s="1">
        <v>2025</v>
      </c>
      <c r="D2777" s="1" t="str">
        <f>IF($A2777&lt;=[1]RESULTADOS!$D$6,"YTD","YTG")</f>
        <v>YTG</v>
      </c>
      <c r="E2777" t="s">
        <v>17</v>
      </c>
      <c r="F2777" t="s">
        <v>18</v>
      </c>
      <c r="G2777" t="s">
        <v>57</v>
      </c>
      <c r="H2777" t="s">
        <v>803</v>
      </c>
      <c r="I2777" t="s">
        <v>366</v>
      </c>
      <c r="J2777" t="str">
        <f>IFERROR(VLOOKUP(I2777,[1]AUTOS!$C:$G,2,0),"")</f>
        <v>VENTO</v>
      </c>
      <c r="K2777">
        <f>IFERROR(VLOOKUP(I2777,[1]AUTOS!$C:$G,3,0),"")</f>
        <v>2019</v>
      </c>
      <c r="L2777" t="str">
        <f>IFERROR(VLOOKUP(I2777,[1]AUTOS!$C:$G,4,0),"")</f>
        <v>BLANCO</v>
      </c>
      <c r="P2777" s="3">
        <v>-16</v>
      </c>
      <c r="R2777" s="3" t="e">
        <f>SUMIFS([2]Gastos!$M:$M,[2]Gastos!$F:$F,H2777,[2]Gastos!$A:$A,A2777,[2]Gastos!$H:$H,I2777)</f>
        <v>#VALUE!</v>
      </c>
    </row>
    <row r="2778" spans="1:18" hidden="1" x14ac:dyDescent="0.3">
      <c r="A2778">
        <v>46</v>
      </c>
      <c r="B2778" t="str">
        <f>VLOOKUP($A2778,[1]LISTA!$B:$C,2,0)</f>
        <v>NOVIEMBRE</v>
      </c>
      <c r="C2778" s="1">
        <v>2025</v>
      </c>
      <c r="D2778" s="1" t="str">
        <f>IF($A2778&lt;=[1]RESULTADOS!$D$6,"YTD","YTG")</f>
        <v>YTG</v>
      </c>
      <c r="E2778" t="s">
        <v>17</v>
      </c>
      <c r="F2778" t="s">
        <v>18</v>
      </c>
      <c r="G2778" t="s">
        <v>780</v>
      </c>
      <c r="H2778" t="s">
        <v>285</v>
      </c>
      <c r="I2778" t="s">
        <v>366</v>
      </c>
      <c r="J2778" t="str">
        <f>IFERROR(VLOOKUP(I2778,[1]AUTOS!$C:$G,2,0),"")</f>
        <v>VENTO</v>
      </c>
      <c r="K2778">
        <f>IFERROR(VLOOKUP(I2778,[1]AUTOS!$C:$G,3,0),"")</f>
        <v>2019</v>
      </c>
      <c r="L2778" t="str">
        <f>IFERROR(VLOOKUP(I2778,[1]AUTOS!$C:$G,4,0),"")</f>
        <v>BLANCO</v>
      </c>
      <c r="P2778" s="3">
        <v>-590</v>
      </c>
      <c r="R2778" s="3" t="e">
        <f>SUMIFS([2]Gastos!$M:$M,[2]Gastos!$F:$F,H2778,[2]Gastos!$A:$A,A2778,[2]Gastos!$H:$H,I2778)</f>
        <v>#VALUE!</v>
      </c>
    </row>
    <row r="2779" spans="1:18" hidden="1" x14ac:dyDescent="0.3">
      <c r="A2779">
        <v>46</v>
      </c>
      <c r="B2779" t="str">
        <f>VLOOKUP($A2779,[1]LISTA!$B:$C,2,0)</f>
        <v>NOVIEMBRE</v>
      </c>
      <c r="C2779" s="1">
        <v>2025</v>
      </c>
      <c r="D2779" s="1" t="str">
        <f>IF($A2779&lt;=[1]RESULTADOS!$D$6,"YTD","YTG")</f>
        <v>YTG</v>
      </c>
      <c r="E2779" t="s">
        <v>17</v>
      </c>
      <c r="F2779" t="s">
        <v>18</v>
      </c>
      <c r="G2779" t="s">
        <v>57</v>
      </c>
      <c r="H2779" t="s">
        <v>804</v>
      </c>
      <c r="I2779" t="s">
        <v>366</v>
      </c>
      <c r="J2779" t="str">
        <f>IFERROR(VLOOKUP(I2779,[1]AUTOS!$C:$G,2,0),"")</f>
        <v>VENTO</v>
      </c>
      <c r="K2779">
        <f>IFERROR(VLOOKUP(I2779,[1]AUTOS!$C:$G,3,0),"")</f>
        <v>2019</v>
      </c>
      <c r="L2779" t="str">
        <f>IFERROR(VLOOKUP(I2779,[1]AUTOS!$C:$G,4,0),"")</f>
        <v>BLANCO</v>
      </c>
      <c r="P2779" s="3">
        <v>-130</v>
      </c>
      <c r="R2779" s="3" t="e">
        <f>SUMIFS([2]Gastos!$M:$M,[2]Gastos!$F:$F,H2779,[2]Gastos!$A:$A,A2779,[2]Gastos!$H:$H,I2779)</f>
        <v>#VALUE!</v>
      </c>
    </row>
    <row r="2780" spans="1:18" hidden="1" x14ac:dyDescent="0.3">
      <c r="A2780">
        <v>46</v>
      </c>
      <c r="B2780" t="str">
        <f>VLOOKUP($A2780,[1]LISTA!$B:$C,2,0)</f>
        <v>NOVIEMBRE</v>
      </c>
      <c r="C2780" s="1">
        <v>2025</v>
      </c>
      <c r="D2780" s="1" t="str">
        <f>IF($A2780&lt;=[1]RESULTADOS!$D$6,"YTD","YTG")</f>
        <v>YTG</v>
      </c>
      <c r="E2780" t="s">
        <v>17</v>
      </c>
      <c r="F2780" t="s">
        <v>18</v>
      </c>
      <c r="G2780" t="s">
        <v>57</v>
      </c>
      <c r="H2780" t="s">
        <v>143</v>
      </c>
      <c r="I2780" t="s">
        <v>366</v>
      </c>
      <c r="J2780" t="str">
        <f>IFERROR(VLOOKUP(I2780,[1]AUTOS!$C:$G,2,0),"")</f>
        <v>VENTO</v>
      </c>
      <c r="K2780">
        <f>IFERROR(VLOOKUP(I2780,[1]AUTOS!$C:$G,3,0),"")</f>
        <v>2019</v>
      </c>
      <c r="L2780" t="str">
        <f>IFERROR(VLOOKUP(I2780,[1]AUTOS!$C:$G,4,0),"")</f>
        <v>BLANCO</v>
      </c>
      <c r="P2780" s="3">
        <v>-1500</v>
      </c>
      <c r="R2780" s="3" t="e">
        <f>SUMIFS([2]Gastos!$M:$M,[2]Gastos!$F:$F,H2780,[2]Gastos!$A:$A,A2780,[2]Gastos!$H:$H,I2780)</f>
        <v>#VALUE!</v>
      </c>
    </row>
    <row r="2781" spans="1:18" hidden="1" x14ac:dyDescent="0.3">
      <c r="A2781">
        <v>47</v>
      </c>
      <c r="B2781" t="str">
        <f>VLOOKUP($A2781,[1]LISTA!$B:$C,2,0)</f>
        <v>NOVIEMBRE</v>
      </c>
      <c r="C2781" s="1">
        <v>2025</v>
      </c>
      <c r="D2781" s="1" t="str">
        <f>IF($A2781&lt;=[1]RESULTADOS!$D$6,"YTD","YTG")</f>
        <v>YTG</v>
      </c>
      <c r="E2781" t="s">
        <v>17</v>
      </c>
      <c r="F2781" t="s">
        <v>18</v>
      </c>
      <c r="G2781" t="s">
        <v>57</v>
      </c>
      <c r="H2781" t="s">
        <v>766</v>
      </c>
      <c r="I2781" t="s">
        <v>333</v>
      </c>
      <c r="J2781" t="str">
        <f>IFERROR(VLOOKUP(I2781,[1]AUTOS!$C:$G,2,0),"")</f>
        <v>BEAT</v>
      </c>
      <c r="K2781">
        <f>IFERROR(VLOOKUP(I2781,[1]AUTOS!$C:$G,3,0),"")</f>
        <v>2019</v>
      </c>
      <c r="L2781" t="str">
        <f>IFERROR(VLOOKUP(I2781,[1]AUTOS!$C:$G,4,0),"")</f>
        <v>OCRE</v>
      </c>
      <c r="P2781" s="3">
        <v>-580</v>
      </c>
      <c r="R2781" s="3" t="e">
        <f>SUMIFS([2]Gastos!$M:$M,[2]Gastos!$F:$F,H2781,[2]Gastos!$A:$A,A2781,[2]Gastos!$H:$H,I2781)</f>
        <v>#VALUE!</v>
      </c>
    </row>
    <row r="2782" spans="1:18" hidden="1" x14ac:dyDescent="0.3">
      <c r="A2782">
        <v>47</v>
      </c>
      <c r="B2782" t="str">
        <f>VLOOKUP($A2782,[1]LISTA!$B:$C,2,0)</f>
        <v>NOVIEMBRE</v>
      </c>
      <c r="C2782" s="1">
        <v>2025</v>
      </c>
      <c r="D2782" s="1" t="str">
        <f>IF($A2782&lt;=[1]RESULTADOS!$D$6,"YTD","YTG")</f>
        <v>YTG</v>
      </c>
      <c r="E2782" t="s">
        <v>17</v>
      </c>
      <c r="F2782" t="s">
        <v>18</v>
      </c>
      <c r="G2782" t="s">
        <v>57</v>
      </c>
      <c r="H2782" t="s">
        <v>805</v>
      </c>
      <c r="I2782" t="s">
        <v>333</v>
      </c>
      <c r="J2782" t="str">
        <f>IFERROR(VLOOKUP(I2782,[1]AUTOS!$C:$G,2,0),"")</f>
        <v>BEAT</v>
      </c>
      <c r="K2782">
        <f>IFERROR(VLOOKUP(I2782,[1]AUTOS!$C:$G,3,0),"")</f>
        <v>2019</v>
      </c>
      <c r="L2782" t="str">
        <f>IFERROR(VLOOKUP(I2782,[1]AUTOS!$C:$G,4,0),"")</f>
        <v>OCRE</v>
      </c>
      <c r="P2782" s="3">
        <v>-490</v>
      </c>
      <c r="R2782" s="3" t="e">
        <f>SUMIFS([2]Gastos!$M:$M,[2]Gastos!$F:$F,H2782,[2]Gastos!$A:$A,A2782,[2]Gastos!$H:$H,I2782)</f>
        <v>#VALUE!</v>
      </c>
    </row>
    <row r="2783" spans="1:18" hidden="1" x14ac:dyDescent="0.3">
      <c r="A2783">
        <v>47</v>
      </c>
      <c r="B2783" t="str">
        <f>VLOOKUP($A2783,[1]LISTA!$B:$C,2,0)</f>
        <v>NOVIEMBRE</v>
      </c>
      <c r="C2783" s="1">
        <v>2025</v>
      </c>
      <c r="D2783" s="1" t="str">
        <f>IF($A2783&lt;=[1]RESULTADOS!$D$6,"YTD","YTG")</f>
        <v>YTG</v>
      </c>
      <c r="E2783" t="s">
        <v>486</v>
      </c>
      <c r="F2783" t="s">
        <v>18</v>
      </c>
      <c r="G2783" t="s">
        <v>57</v>
      </c>
      <c r="H2783" t="s">
        <v>806</v>
      </c>
      <c r="I2783" t="s">
        <v>34</v>
      </c>
      <c r="J2783" t="str">
        <f>IFERROR(VLOOKUP(I2783,[1]AUTOS!$C:$G,2,0),"")</f>
        <v>AVEO</v>
      </c>
      <c r="K2783">
        <f>IFERROR(VLOOKUP(I2783,[1]AUTOS!$C:$G,3,0),"")</f>
        <v>2018</v>
      </c>
      <c r="L2783" t="str">
        <f>IFERROR(VLOOKUP(I2783,[1]AUTOS!$C:$G,4,0),"")</f>
        <v>ROJO</v>
      </c>
      <c r="P2783" s="3">
        <v>-140</v>
      </c>
      <c r="R2783" s="3" t="e">
        <f>SUMIFS([2]Gastos!$M:$M,[2]Gastos!$F:$F,H2783,[2]Gastos!$A:$A,A2783,[2]Gastos!$H:$H,I2783)</f>
        <v>#VALUE!</v>
      </c>
    </row>
    <row r="2784" spans="1:18" hidden="1" x14ac:dyDescent="0.3">
      <c r="A2784">
        <v>47</v>
      </c>
      <c r="B2784" t="str">
        <f>VLOOKUP($A2784,[1]LISTA!$B:$C,2,0)</f>
        <v>NOVIEMBRE</v>
      </c>
      <c r="C2784" s="1">
        <v>2025</v>
      </c>
      <c r="D2784" s="1" t="str">
        <f>IF($A2784&lt;=[1]RESULTADOS!$D$6,"YTD","YTG")</f>
        <v>YTG</v>
      </c>
      <c r="E2784" s="5" t="s">
        <v>704</v>
      </c>
      <c r="F2784" t="s">
        <v>18</v>
      </c>
      <c r="G2784" t="s">
        <v>53</v>
      </c>
      <c r="H2784" t="s">
        <v>233</v>
      </c>
      <c r="I2784" t="s">
        <v>37</v>
      </c>
      <c r="J2784" t="str">
        <f>IFERROR(VLOOKUP(I2784,[1]AUTOS!$C:$G,2,0),"")</f>
        <v>BEAT</v>
      </c>
      <c r="K2784">
        <f>IFERROR(VLOOKUP(I2784,[1]AUTOS!$C:$G,3,0),"")</f>
        <v>2020</v>
      </c>
      <c r="L2784" t="str">
        <f>IFERROR(VLOOKUP(I2784,[1]AUTOS!$C:$G,4,0),"")</f>
        <v>GRIS</v>
      </c>
      <c r="P2784" s="3">
        <v>-100</v>
      </c>
      <c r="R2784" s="3" t="e">
        <f>SUMIFS([2]Gastos!$M:$M,[2]Gastos!$F:$F,H2784,[2]Gastos!$A:$A,A2784,[2]Gastos!$H:$H,I2784)</f>
        <v>#VALUE!</v>
      </c>
    </row>
    <row r="2785" spans="1:18" hidden="1" x14ac:dyDescent="0.3">
      <c r="A2785">
        <v>47</v>
      </c>
      <c r="B2785" t="str">
        <f>VLOOKUP($A2785,[1]LISTA!$B:$C,2,0)</f>
        <v>NOVIEMBRE</v>
      </c>
      <c r="C2785" s="1">
        <v>2025</v>
      </c>
      <c r="D2785" s="1" t="str">
        <f>IF($A2785&lt;=[1]RESULTADOS!$D$6,"YTD","YTG")</f>
        <v>YTG</v>
      </c>
      <c r="E2785" t="s">
        <v>725</v>
      </c>
      <c r="F2785" t="s">
        <v>18</v>
      </c>
      <c r="G2785" t="s">
        <v>23</v>
      </c>
      <c r="H2785" t="s">
        <v>113</v>
      </c>
      <c r="I2785" t="s">
        <v>67</v>
      </c>
      <c r="J2785" t="str">
        <f>IFERROR(VLOOKUP(I2785,[1]AUTOS!$C:$G,2,0),"")</f>
        <v>KIA RIO</v>
      </c>
      <c r="K2785">
        <f>IFERROR(VLOOKUP(I2785,[1]AUTOS!$C:$G,3,0),"")</f>
        <v>2020</v>
      </c>
      <c r="L2785" t="str">
        <f>IFERROR(VLOOKUP(I2785,[1]AUTOS!$C:$G,4,0),"")</f>
        <v>GRIS</v>
      </c>
      <c r="P2785" s="3">
        <v>-100</v>
      </c>
      <c r="R2785" s="3" t="e">
        <f>SUMIFS([2]Gastos!$M:$M,[2]Gastos!$F:$F,H2785,[2]Gastos!$A:$A,A2785,[2]Gastos!$H:$H,I2785)</f>
        <v>#VALUE!</v>
      </c>
    </row>
    <row r="2786" spans="1:18" hidden="1" x14ac:dyDescent="0.3">
      <c r="A2786">
        <v>47</v>
      </c>
      <c r="B2786" t="str">
        <f>VLOOKUP($A2786,[1]LISTA!$B:$C,2,0)</f>
        <v>NOVIEMBRE</v>
      </c>
      <c r="C2786" s="1">
        <v>2025</v>
      </c>
      <c r="D2786" s="1" t="str">
        <f>IF($A2786&lt;=[1]RESULTADOS!$D$6,"YTD","YTG")</f>
        <v>YTG</v>
      </c>
      <c r="E2786" t="s">
        <v>707</v>
      </c>
      <c r="F2786" t="s">
        <v>18</v>
      </c>
      <c r="G2786" t="s">
        <v>57</v>
      </c>
      <c r="H2786" t="s">
        <v>807</v>
      </c>
      <c r="I2786" t="s">
        <v>383</v>
      </c>
      <c r="J2786" t="str">
        <f>IFERROR(VLOOKUP(I2786,[1]AUTOS!$C:$G,2,0),"")</f>
        <v>VENTO</v>
      </c>
      <c r="K2786">
        <f>IFERROR(VLOOKUP(I2786,[1]AUTOS!$C:$G,3,0),"")</f>
        <v>2020</v>
      </c>
      <c r="L2786" t="str">
        <f>IFERROR(VLOOKUP(I2786,[1]AUTOS!$C:$G,4,0),"")</f>
        <v>GRIS</v>
      </c>
      <c r="P2786" s="3">
        <v>-1000</v>
      </c>
      <c r="R2786" s="3" t="e">
        <f>SUMIFS([2]Gastos!$M:$M,[2]Gastos!$F:$F,H2786,[2]Gastos!$A:$A,A2786,[2]Gastos!$H:$H,I2786)</f>
        <v>#VALUE!</v>
      </c>
    </row>
    <row r="2787" spans="1:18" x14ac:dyDescent="0.3">
      <c r="A2787">
        <v>47</v>
      </c>
      <c r="B2787" t="str">
        <f>VLOOKUP($A2787,[1]LISTA!$B:$C,2,0)</f>
        <v>NOVIEMBRE</v>
      </c>
      <c r="C2787" s="1">
        <v>2025</v>
      </c>
      <c r="D2787" s="1" t="str">
        <f>IF($A2787&lt;=[1]RESULTADOS!$D$6,"YTD","YTG")</f>
        <v>YTG</v>
      </c>
      <c r="E2787" s="5" t="s">
        <v>403</v>
      </c>
      <c r="F2787" t="s">
        <v>18</v>
      </c>
      <c r="G2787" t="s">
        <v>780</v>
      </c>
      <c r="H2787" t="s">
        <v>310</v>
      </c>
      <c r="I2787" t="s">
        <v>72</v>
      </c>
      <c r="J2787" t="str">
        <f>IFERROR(VLOOKUP(I2787,[1]AUTOS!$C:$G,2,0),"")</f>
        <v>VENTO</v>
      </c>
      <c r="K2787">
        <f>IFERROR(VLOOKUP(I2787,[1]AUTOS!$C:$G,3,0),"")</f>
        <v>2020</v>
      </c>
      <c r="L2787" t="str">
        <f>IFERROR(VLOOKUP(I2787,[1]AUTOS!$C:$G,4,0),"")</f>
        <v>GRIS</v>
      </c>
      <c r="P2787" s="3">
        <v>-430</v>
      </c>
      <c r="R2787" s="3" t="e">
        <f>SUMIFS([2]Gastos!$M:$M,[2]Gastos!$F:$F,H2787,[2]Gastos!$A:$A,A2787,[2]Gastos!$H:$H,I2787)</f>
        <v>#VALUE!</v>
      </c>
    </row>
    <row r="2788" spans="1:18" x14ac:dyDescent="0.3">
      <c r="A2788">
        <v>47</v>
      </c>
      <c r="B2788" t="str">
        <f>VLOOKUP($A2788,[1]LISTA!$B:$C,2,0)</f>
        <v>NOVIEMBRE</v>
      </c>
      <c r="C2788" s="1">
        <v>2025</v>
      </c>
      <c r="D2788" s="1" t="str">
        <f>IF($A2788&lt;=[1]RESULTADOS!$D$6,"YTD","YTG")</f>
        <v>YTG</v>
      </c>
      <c r="E2788" s="5" t="s">
        <v>403</v>
      </c>
      <c r="F2788" t="s">
        <v>18</v>
      </c>
      <c r="G2788" t="s">
        <v>780</v>
      </c>
      <c r="H2788" t="s">
        <v>193</v>
      </c>
      <c r="I2788" t="s">
        <v>72</v>
      </c>
      <c r="J2788" t="str">
        <f>IFERROR(VLOOKUP(I2788,[1]AUTOS!$C:$G,2,0),"")</f>
        <v>VENTO</v>
      </c>
      <c r="K2788">
        <f>IFERROR(VLOOKUP(I2788,[1]AUTOS!$C:$G,3,0),"")</f>
        <v>2020</v>
      </c>
      <c r="L2788" t="str">
        <f>IFERROR(VLOOKUP(I2788,[1]AUTOS!$C:$G,4,0),"")</f>
        <v>GRIS</v>
      </c>
      <c r="P2788" s="3">
        <v>-140</v>
      </c>
      <c r="R2788" s="3" t="e">
        <f>SUMIFS([2]Gastos!$M:$M,[2]Gastos!$F:$F,H2788,[2]Gastos!$A:$A,A2788,[2]Gastos!$H:$H,I2788)</f>
        <v>#VALUE!</v>
      </c>
    </row>
    <row r="2789" spans="1:18" x14ac:dyDescent="0.3">
      <c r="A2789">
        <v>47</v>
      </c>
      <c r="B2789" t="str">
        <f>VLOOKUP($A2789,[1]LISTA!$B:$C,2,0)</f>
        <v>NOVIEMBRE</v>
      </c>
      <c r="C2789" s="1">
        <v>2025</v>
      </c>
      <c r="D2789" s="1" t="str">
        <f>IF($A2789&lt;=[1]RESULTADOS!$D$6,"YTD","YTG")</f>
        <v>YTG</v>
      </c>
      <c r="E2789" s="5" t="s">
        <v>403</v>
      </c>
      <c r="F2789" t="s">
        <v>18</v>
      </c>
      <c r="G2789" t="s">
        <v>57</v>
      </c>
      <c r="H2789" t="s">
        <v>737</v>
      </c>
      <c r="I2789" t="s">
        <v>72</v>
      </c>
      <c r="J2789" t="str">
        <f>IFERROR(VLOOKUP(I2789,[1]AUTOS!$C:$G,2,0),"")</f>
        <v>VENTO</v>
      </c>
      <c r="K2789">
        <f>IFERROR(VLOOKUP(I2789,[1]AUTOS!$C:$G,3,0),"")</f>
        <v>2020</v>
      </c>
      <c r="L2789" t="str">
        <f>IFERROR(VLOOKUP(I2789,[1]AUTOS!$C:$G,4,0),"")</f>
        <v>GRIS</v>
      </c>
      <c r="P2789" s="3">
        <v>-820</v>
      </c>
      <c r="R2789" s="3" t="e">
        <f>SUMIFS([2]Gastos!$M:$M,[2]Gastos!$F:$F,H2789,[2]Gastos!$A:$A,A2789,[2]Gastos!$H:$H,I2789)</f>
        <v>#VALUE!</v>
      </c>
    </row>
    <row r="2790" spans="1:18" hidden="1" x14ac:dyDescent="0.3">
      <c r="A2790">
        <v>47</v>
      </c>
      <c r="B2790" t="str">
        <f>VLOOKUP($A2790,[1]LISTA!$B:$C,2,0)</f>
        <v>NOVIEMBRE</v>
      </c>
      <c r="C2790" s="1">
        <v>2025</v>
      </c>
      <c r="D2790" s="1" t="str">
        <f>IF($A2790&lt;=[1]RESULTADOS!$D$6,"YTD","YTG")</f>
        <v>YTG</v>
      </c>
      <c r="E2790" t="s">
        <v>725</v>
      </c>
      <c r="F2790" t="s">
        <v>18</v>
      </c>
      <c r="G2790" t="s">
        <v>57</v>
      </c>
      <c r="H2790" t="s">
        <v>771</v>
      </c>
      <c r="I2790" t="s">
        <v>67</v>
      </c>
      <c r="J2790" t="str">
        <f>IFERROR(VLOOKUP(I2790,[1]AUTOS!$C:$G,2,0),"")</f>
        <v>KIA RIO</v>
      </c>
      <c r="K2790">
        <f>IFERROR(VLOOKUP(I2790,[1]AUTOS!$C:$G,3,0),"")</f>
        <v>2020</v>
      </c>
      <c r="L2790" t="str">
        <f>IFERROR(VLOOKUP(I2790,[1]AUTOS!$C:$G,4,0),"")</f>
        <v>GRIS</v>
      </c>
      <c r="P2790" s="3">
        <v>-200</v>
      </c>
      <c r="R2790" s="3" t="e">
        <f>SUMIFS([2]Gastos!$M:$M,[2]Gastos!$F:$F,H2790,[2]Gastos!$A:$A,A2790,[2]Gastos!$H:$H,I2790)</f>
        <v>#VALUE!</v>
      </c>
    </row>
    <row r="2791" spans="1:18" hidden="1" x14ac:dyDescent="0.3">
      <c r="A2791">
        <v>47</v>
      </c>
      <c r="B2791" t="str">
        <f>VLOOKUP($A2791,[1]LISTA!$B:$C,2,0)</f>
        <v>NOVIEMBRE</v>
      </c>
      <c r="C2791" s="1">
        <v>2025</v>
      </c>
      <c r="D2791" s="1" t="str">
        <f>IF($A2791&lt;=[1]RESULTADOS!$D$6,"YTD","YTG")</f>
        <v>YTG</v>
      </c>
      <c r="E2791" t="s">
        <v>436</v>
      </c>
      <c r="F2791" t="s">
        <v>18</v>
      </c>
      <c r="G2791" t="s">
        <v>57</v>
      </c>
      <c r="H2791" t="s">
        <v>808</v>
      </c>
      <c r="I2791" t="s">
        <v>112</v>
      </c>
      <c r="J2791" t="str">
        <f>IFERROR(VLOOKUP(I2791,[1]AUTOS!$C:$G,2,0),"")</f>
        <v>KIA RIO</v>
      </c>
      <c r="K2791">
        <f>IFERROR(VLOOKUP(I2791,[1]AUTOS!$C:$G,3,0),"")</f>
        <v>2020</v>
      </c>
      <c r="L2791" t="str">
        <f>IFERROR(VLOOKUP(I2791,[1]AUTOS!$C:$G,4,0),"")</f>
        <v>ROJO</v>
      </c>
      <c r="P2791" s="3">
        <v>-30</v>
      </c>
      <c r="R2791" s="3" t="e">
        <f>SUMIFS([2]Gastos!$M:$M,[2]Gastos!$F:$F,H2791,[2]Gastos!$A:$A,A2791,[2]Gastos!$H:$H,I2791)</f>
        <v>#VALUE!</v>
      </c>
    </row>
    <row r="2792" spans="1:18" hidden="1" x14ac:dyDescent="0.3">
      <c r="A2792">
        <v>47</v>
      </c>
      <c r="B2792" t="str">
        <f>VLOOKUP($A2792,[1]LISTA!$B:$C,2,0)</f>
        <v>NOVIEMBRE</v>
      </c>
      <c r="C2792" s="1">
        <v>2025</v>
      </c>
      <c r="D2792" s="1" t="str">
        <f>IF($A2792&lt;=[1]RESULTADOS!$D$6,"YTD","YTG")</f>
        <v>YTG</v>
      </c>
      <c r="E2792" t="s">
        <v>436</v>
      </c>
      <c r="F2792" t="s">
        <v>18</v>
      </c>
      <c r="G2792" t="s">
        <v>57</v>
      </c>
      <c r="H2792" t="s">
        <v>809</v>
      </c>
      <c r="I2792" t="s">
        <v>112</v>
      </c>
      <c r="J2792" t="str">
        <f>IFERROR(VLOOKUP(I2792,[1]AUTOS!$C:$G,2,0),"")</f>
        <v>KIA RIO</v>
      </c>
      <c r="K2792">
        <f>IFERROR(VLOOKUP(I2792,[1]AUTOS!$C:$G,3,0),"")</f>
        <v>2020</v>
      </c>
      <c r="L2792" t="str">
        <f>IFERROR(VLOOKUP(I2792,[1]AUTOS!$C:$G,4,0),"")</f>
        <v>ROJO</v>
      </c>
      <c r="P2792" s="3">
        <v>-300</v>
      </c>
      <c r="R2792" s="3" t="e">
        <f>SUMIFS([2]Gastos!$M:$M,[2]Gastos!$F:$F,H2792,[2]Gastos!$A:$A,A2792,[2]Gastos!$H:$H,I2792)</f>
        <v>#VALUE!</v>
      </c>
    </row>
    <row r="2793" spans="1:18" hidden="1" x14ac:dyDescent="0.3">
      <c r="A2793">
        <v>47</v>
      </c>
      <c r="B2793" t="str">
        <f>VLOOKUP($A2793,[1]LISTA!$B:$C,2,0)</f>
        <v>NOVIEMBRE</v>
      </c>
      <c r="C2793" s="1">
        <v>2025</v>
      </c>
      <c r="D2793" s="1" t="str">
        <f>IF($A2793&lt;=[1]RESULTADOS!$D$6,"YTD","YTG")</f>
        <v>YTG</v>
      </c>
      <c r="E2793" s="6" t="s">
        <v>705</v>
      </c>
      <c r="F2793" t="s">
        <v>18</v>
      </c>
      <c r="G2793" t="s">
        <v>780</v>
      </c>
      <c r="H2793" t="s">
        <v>194</v>
      </c>
      <c r="I2793" t="s">
        <v>440</v>
      </c>
      <c r="J2793" t="str">
        <f>IFERROR(VLOOKUP(I2793,[1]AUTOS!$C:$G,2,0),"")</f>
        <v>AVEO</v>
      </c>
      <c r="K2793">
        <f>IFERROR(VLOOKUP(I2793,[1]AUTOS!$C:$G,3,0),"")</f>
        <v>2021</v>
      </c>
      <c r="L2793" t="str">
        <f>IFERROR(VLOOKUP(I2793,[1]AUTOS!$C:$G,4,0),"")</f>
        <v>GRIS</v>
      </c>
      <c r="P2793" s="3">
        <v>-115</v>
      </c>
      <c r="R2793" s="3" t="e">
        <f>SUMIFS([2]Gastos!$M:$M,[2]Gastos!$F:$F,H2793,[2]Gastos!$A:$A,A2793,[2]Gastos!$H:$H,I2793)</f>
        <v>#VALUE!</v>
      </c>
    </row>
    <row r="2794" spans="1:18" hidden="1" x14ac:dyDescent="0.3">
      <c r="A2794">
        <v>47</v>
      </c>
      <c r="B2794" t="str">
        <f>VLOOKUP($A2794,[1]LISTA!$B:$C,2,0)</f>
        <v>NOVIEMBRE</v>
      </c>
      <c r="C2794" s="1">
        <v>2025</v>
      </c>
      <c r="D2794" s="1" t="str">
        <f>IF($A2794&lt;=[1]RESULTADOS!$D$6,"YTD","YTG")</f>
        <v>YTG</v>
      </c>
      <c r="E2794" t="s">
        <v>17</v>
      </c>
      <c r="F2794" t="s">
        <v>18</v>
      </c>
      <c r="G2794" t="s">
        <v>23</v>
      </c>
      <c r="H2794" t="s">
        <v>113</v>
      </c>
      <c r="I2794" t="s">
        <v>741</v>
      </c>
      <c r="J2794" t="str">
        <f>IFERROR(VLOOKUP(I2794,[1]AUTOS!$C:$G,2,0),"")</f>
        <v>AVEO</v>
      </c>
      <c r="K2794">
        <f>IFERROR(VLOOKUP(I2794,[1]AUTOS!$C:$G,3,0),"")</f>
        <v>2025</v>
      </c>
      <c r="L2794" t="str">
        <f>IFERROR(VLOOKUP(I2794,[1]AUTOS!$C:$G,4,0),"")</f>
        <v>PERSUASION</v>
      </c>
      <c r="P2794" s="3">
        <v>-250</v>
      </c>
      <c r="R2794" s="3" t="e">
        <f>SUMIFS([2]Gastos!$M:$M,[2]Gastos!$F:$F,H2794,[2]Gastos!$A:$A,A2794,[2]Gastos!$H:$H,I2794)</f>
        <v>#VALUE!</v>
      </c>
    </row>
    <row r="2795" spans="1:18" hidden="1" x14ac:dyDescent="0.3">
      <c r="A2795">
        <v>47</v>
      </c>
      <c r="B2795" t="str">
        <f>VLOOKUP($A2795,[1]LISTA!$B:$C,2,0)</f>
        <v>NOVIEMBRE</v>
      </c>
      <c r="C2795" s="1">
        <v>2025</v>
      </c>
      <c r="D2795" s="1" t="str">
        <f>IF($A2795&lt;=[1]RESULTADOS!$D$6,"YTD","YTG")</f>
        <v>YTG</v>
      </c>
      <c r="E2795" t="s">
        <v>17</v>
      </c>
      <c r="F2795" t="s">
        <v>18</v>
      </c>
      <c r="G2795" t="s">
        <v>23</v>
      </c>
      <c r="H2795" t="s">
        <v>113</v>
      </c>
      <c r="I2795" t="s">
        <v>742</v>
      </c>
      <c r="J2795" t="str">
        <f>IFERROR(VLOOKUP(I2795,[1]AUTOS!$C:$G,2,0),"")</f>
        <v>AVEO</v>
      </c>
      <c r="K2795">
        <f>IFERROR(VLOOKUP(I2795,[1]AUTOS!$C:$G,3,0),"")</f>
        <v>2025</v>
      </c>
      <c r="L2795" t="str">
        <f>IFERROR(VLOOKUP(I2795,[1]AUTOS!$C:$G,4,0),"")</f>
        <v>PERSUASION</v>
      </c>
      <c r="P2795" s="3">
        <v>-250</v>
      </c>
      <c r="R2795" s="3" t="e">
        <f>SUMIFS([2]Gastos!$M:$M,[2]Gastos!$F:$F,H2795,[2]Gastos!$A:$A,A2795,[2]Gastos!$H:$H,I2795)</f>
        <v>#VALUE!</v>
      </c>
    </row>
    <row r="2796" spans="1:18" x14ac:dyDescent="0.3">
      <c r="A2796">
        <v>47</v>
      </c>
      <c r="B2796" t="str">
        <f>VLOOKUP($A2796,[1]LISTA!$B:$C,2,0)</f>
        <v>NOVIEMBRE</v>
      </c>
      <c r="C2796" s="1">
        <v>2025</v>
      </c>
      <c r="D2796" s="1" t="str">
        <f>IF($A2796&lt;=[1]RESULTADOS!$D$6,"YTD","YTG")</f>
        <v>YTG</v>
      </c>
      <c r="E2796" s="5" t="s">
        <v>403</v>
      </c>
      <c r="F2796" t="s">
        <v>18</v>
      </c>
      <c r="G2796" t="s">
        <v>23</v>
      </c>
      <c r="H2796" t="s">
        <v>113</v>
      </c>
      <c r="I2796" t="s">
        <v>72</v>
      </c>
      <c r="J2796" t="str">
        <f>IFERROR(VLOOKUP(I2796,[1]AUTOS!$C:$G,2,0),"")</f>
        <v>VENTO</v>
      </c>
      <c r="K2796">
        <f>IFERROR(VLOOKUP(I2796,[1]AUTOS!$C:$G,3,0),"")</f>
        <v>2020</v>
      </c>
      <c r="L2796" t="str">
        <f>IFERROR(VLOOKUP(I2796,[1]AUTOS!$C:$G,4,0),"")</f>
        <v>GRIS</v>
      </c>
      <c r="P2796" s="3">
        <v>-105</v>
      </c>
      <c r="R2796" s="3" t="e">
        <f>SUMIFS([2]Gastos!$M:$M,[2]Gastos!$F:$F,H2796,[2]Gastos!$A:$A,A2796,[2]Gastos!$H:$H,I2796)</f>
        <v>#VALUE!</v>
      </c>
    </row>
    <row r="2797" spans="1:18" x14ac:dyDescent="0.3">
      <c r="A2797">
        <v>47</v>
      </c>
      <c r="B2797" t="str">
        <f>VLOOKUP($A2797,[1]LISTA!$B:$C,2,0)</f>
        <v>NOVIEMBRE</v>
      </c>
      <c r="C2797" s="1">
        <v>2025</v>
      </c>
      <c r="D2797" s="1" t="str">
        <f>IF($A2797&lt;=[1]RESULTADOS!$D$6,"YTD","YTG")</f>
        <v>YTG</v>
      </c>
      <c r="E2797" s="5" t="s">
        <v>403</v>
      </c>
      <c r="F2797" t="s">
        <v>18</v>
      </c>
      <c r="G2797" t="s">
        <v>41</v>
      </c>
      <c r="H2797" t="s">
        <v>810</v>
      </c>
      <c r="I2797" t="s">
        <v>72</v>
      </c>
      <c r="J2797" t="str">
        <f>IFERROR(VLOOKUP(I2797,[1]AUTOS!$C:$G,2,0),"")</f>
        <v>VENTO</v>
      </c>
      <c r="K2797">
        <f>IFERROR(VLOOKUP(I2797,[1]AUTOS!$C:$G,3,0),"")</f>
        <v>2020</v>
      </c>
      <c r="L2797" t="str">
        <f>IFERROR(VLOOKUP(I2797,[1]AUTOS!$C:$G,4,0),"")</f>
        <v>GRIS</v>
      </c>
      <c r="P2797" s="3">
        <v>-104</v>
      </c>
      <c r="R2797" s="3" t="e">
        <f>SUMIFS([2]Gastos!$M:$M,[2]Gastos!$F:$F,H2797,[2]Gastos!$A:$A,A2797,[2]Gastos!$H:$H,I2797)</f>
        <v>#VALUE!</v>
      </c>
    </row>
    <row r="2798" spans="1:18" hidden="1" x14ac:dyDescent="0.3">
      <c r="A2798">
        <v>47</v>
      </c>
      <c r="B2798" t="str">
        <f>VLOOKUP($A2798,[1]LISTA!$B:$C,2,0)</f>
        <v>NOVIEMBRE</v>
      </c>
      <c r="C2798" s="1">
        <v>2025</v>
      </c>
      <c r="D2798" s="1" t="str">
        <f>IF($A2798&lt;=[1]RESULTADOS!$D$6,"YTD","YTG")</f>
        <v>YTG</v>
      </c>
      <c r="E2798" t="s">
        <v>17</v>
      </c>
      <c r="F2798" t="s">
        <v>18</v>
      </c>
      <c r="G2798" t="s">
        <v>23</v>
      </c>
      <c r="H2798" t="s">
        <v>113</v>
      </c>
      <c r="I2798" t="s">
        <v>728</v>
      </c>
      <c r="J2798" t="str">
        <f>IFERROR(VLOOKUP(I2798,[1]AUTOS!$C:$G,2,0),"")</f>
        <v>AVEO</v>
      </c>
      <c r="K2798">
        <f>IFERROR(VLOOKUP(I2798,[1]AUTOS!$C:$G,3,0),"")</f>
        <v>2025</v>
      </c>
      <c r="L2798" t="str">
        <f>IFERROR(VLOOKUP(I2798,[1]AUTOS!$C:$G,4,0),"")</f>
        <v>PERSUASION</v>
      </c>
      <c r="P2798" s="3">
        <v>-250</v>
      </c>
      <c r="R2798" s="3" t="e">
        <f>SUMIFS([2]Gastos!$M:$M,[2]Gastos!$F:$F,H2798,[2]Gastos!$A:$A,A2798,[2]Gastos!$H:$H,I2798)</f>
        <v>#VALUE!</v>
      </c>
    </row>
    <row r="2799" spans="1:18" hidden="1" x14ac:dyDescent="0.3">
      <c r="A2799">
        <v>47</v>
      </c>
      <c r="B2799" t="str">
        <f>VLOOKUP($A2799,[1]LISTA!$B:$C,2,0)</f>
        <v>NOVIEMBRE</v>
      </c>
      <c r="C2799" s="1">
        <v>2025</v>
      </c>
      <c r="D2799" s="1" t="str">
        <f>IF($A2799&lt;=[1]RESULTADOS!$D$6,"YTD","YTG")</f>
        <v>YTG</v>
      </c>
      <c r="E2799" t="s">
        <v>17</v>
      </c>
      <c r="F2799" t="s">
        <v>18</v>
      </c>
      <c r="G2799" t="s">
        <v>23</v>
      </c>
      <c r="H2799" t="s">
        <v>113</v>
      </c>
      <c r="I2799" t="s">
        <v>333</v>
      </c>
      <c r="J2799" t="str">
        <f>IFERROR(VLOOKUP(I2799,[1]AUTOS!$C:$G,2,0),"")</f>
        <v>BEAT</v>
      </c>
      <c r="K2799">
        <f>IFERROR(VLOOKUP(I2799,[1]AUTOS!$C:$G,3,0),"")</f>
        <v>2019</v>
      </c>
      <c r="L2799" t="str">
        <f>IFERROR(VLOOKUP(I2799,[1]AUTOS!$C:$G,4,0),"")</f>
        <v>OCRE</v>
      </c>
      <c r="P2799" s="3">
        <v>-100</v>
      </c>
      <c r="R2799" s="3" t="e">
        <f>SUMIFS([2]Gastos!$M:$M,[2]Gastos!$F:$F,H2799,[2]Gastos!$A:$A,A2799,[2]Gastos!$H:$H,I2799)</f>
        <v>#VALUE!</v>
      </c>
    </row>
    <row r="2800" spans="1:18" hidden="1" x14ac:dyDescent="0.3">
      <c r="A2800">
        <v>47</v>
      </c>
      <c r="B2800" t="str">
        <f>VLOOKUP($A2800,[1]LISTA!$B:$C,2,0)</f>
        <v>NOVIEMBRE</v>
      </c>
      <c r="C2800" s="1">
        <v>2025</v>
      </c>
      <c r="D2800" s="1" t="str">
        <f>IF($A2800&lt;=[1]RESULTADOS!$D$6,"YTD","YTG")</f>
        <v>YTG</v>
      </c>
      <c r="E2800" t="s">
        <v>17</v>
      </c>
      <c r="F2800" t="s">
        <v>18</v>
      </c>
      <c r="G2800" t="s">
        <v>327</v>
      </c>
      <c r="H2800" t="s">
        <v>811</v>
      </c>
      <c r="I2800" t="s">
        <v>21</v>
      </c>
      <c r="J2800" t="str">
        <f>IFERROR(VLOOKUP(I2800,[1]AUTOS!$C:$G,2,0),"")</f>
        <v/>
      </c>
      <c r="K2800" t="str">
        <f>IFERROR(VLOOKUP(I2800,[1]AUTOS!$C:$G,3,0),"")</f>
        <v/>
      </c>
      <c r="L2800" t="str">
        <f>IFERROR(VLOOKUP(I2800,[1]AUTOS!$C:$G,4,0),"")</f>
        <v/>
      </c>
      <c r="P2800" s="3">
        <v>-120</v>
      </c>
      <c r="R2800" s="3" t="e">
        <f>SUMIFS([2]Gastos!$M:$M,[2]Gastos!$F:$F,H2800,[2]Gastos!$A:$A,A2800,[2]Gastos!$H:$H,I2800)</f>
        <v>#VALUE!</v>
      </c>
    </row>
    <row r="2801" spans="1:18" hidden="1" x14ac:dyDescent="0.3">
      <c r="A2801">
        <v>48</v>
      </c>
      <c r="B2801" t="str">
        <f>VLOOKUP($A2801,[1]LISTA!$B:$C,2,0)</f>
        <v>NOVIEMBRE</v>
      </c>
      <c r="C2801" s="1">
        <v>2025</v>
      </c>
      <c r="D2801" s="1" t="str">
        <f>IF($A2801&lt;=[1]RESULTADOS!$D$6,"YTD","YTG")</f>
        <v>YTG</v>
      </c>
      <c r="E2801" t="s">
        <v>17</v>
      </c>
      <c r="F2801" t="s">
        <v>18</v>
      </c>
      <c r="G2801" t="s">
        <v>57</v>
      </c>
      <c r="H2801" t="s">
        <v>812</v>
      </c>
      <c r="I2801" t="s">
        <v>333</v>
      </c>
      <c r="J2801" t="str">
        <f>IFERROR(VLOOKUP(I2801,[1]AUTOS!$C:$G,2,0),"")</f>
        <v>BEAT</v>
      </c>
      <c r="K2801">
        <f>IFERROR(VLOOKUP(I2801,[1]AUTOS!$C:$G,3,0),"")</f>
        <v>2019</v>
      </c>
      <c r="L2801" t="str">
        <f>IFERROR(VLOOKUP(I2801,[1]AUTOS!$C:$G,4,0),"")</f>
        <v>OCRE</v>
      </c>
      <c r="P2801" s="3">
        <v>-764</v>
      </c>
      <c r="R2801" s="3" t="e">
        <f>SUMIFS([2]Gastos!$M:$M,[2]Gastos!$F:$F,H2801,[2]Gastos!$A:$A,A2801,[2]Gastos!$H:$H,I2801)</f>
        <v>#VALUE!</v>
      </c>
    </row>
    <row r="2802" spans="1:18" hidden="1" x14ac:dyDescent="0.3">
      <c r="A2802">
        <v>48</v>
      </c>
      <c r="B2802" t="str">
        <f>VLOOKUP($A2802,[1]LISTA!$B:$C,2,0)</f>
        <v>NOVIEMBRE</v>
      </c>
      <c r="C2802" s="1">
        <v>2025</v>
      </c>
      <c r="D2802" s="1" t="str">
        <f>IF($A2802&lt;=[1]RESULTADOS!$D$6,"YTD","YTG")</f>
        <v>YTG</v>
      </c>
      <c r="E2802" t="s">
        <v>17</v>
      </c>
      <c r="F2802" t="s">
        <v>18</v>
      </c>
      <c r="G2802" t="s">
        <v>57</v>
      </c>
      <c r="H2802" t="s">
        <v>113</v>
      </c>
      <c r="I2802" t="s">
        <v>21</v>
      </c>
      <c r="J2802" t="str">
        <f>IFERROR(VLOOKUP(I2802,[1]AUTOS!$C:$G,2,0),"")</f>
        <v/>
      </c>
      <c r="K2802" t="str">
        <f>IFERROR(VLOOKUP(I2802,[1]AUTOS!$C:$G,3,0),"")</f>
        <v/>
      </c>
      <c r="L2802" t="str">
        <f>IFERROR(VLOOKUP(I2802,[1]AUTOS!$C:$G,4,0),"")</f>
        <v/>
      </c>
      <c r="P2802" s="3">
        <v>-150</v>
      </c>
      <c r="R2802" s="3" t="e">
        <f>SUMIFS([2]Gastos!$M:$M,[2]Gastos!$F:$F,H2802,[2]Gastos!$A:$A,A2802,[2]Gastos!$H:$H,I2802)</f>
        <v>#VALUE!</v>
      </c>
    </row>
    <row r="2803" spans="1:18" hidden="1" x14ac:dyDescent="0.3">
      <c r="A2803">
        <v>48</v>
      </c>
      <c r="B2803" t="str">
        <f>VLOOKUP($A2803,[1]LISTA!$B:$C,2,0)</f>
        <v>NOVIEMBRE</v>
      </c>
      <c r="C2803" s="1">
        <v>2025</v>
      </c>
      <c r="D2803" s="1" t="str">
        <f>IF($A2803&lt;=[1]RESULTADOS!$D$6,"YTD","YTG")</f>
        <v>YTG</v>
      </c>
      <c r="E2803" t="s">
        <v>17</v>
      </c>
      <c r="F2803" t="s">
        <v>18</v>
      </c>
      <c r="G2803" t="s">
        <v>327</v>
      </c>
      <c r="H2803" t="s">
        <v>331</v>
      </c>
      <c r="I2803" t="s">
        <v>21</v>
      </c>
      <c r="J2803" t="str">
        <f>IFERROR(VLOOKUP(I2803,[1]AUTOS!$C:$G,2,0),"")</f>
        <v/>
      </c>
      <c r="K2803" t="str">
        <f>IFERROR(VLOOKUP(I2803,[1]AUTOS!$C:$G,3,0),"")</f>
        <v/>
      </c>
      <c r="L2803" t="str">
        <f>IFERROR(VLOOKUP(I2803,[1]AUTOS!$C:$G,4,0),"")</f>
        <v/>
      </c>
      <c r="P2803" s="3">
        <v>-1500</v>
      </c>
      <c r="R2803" s="3" t="e">
        <f>SUMIFS([2]Gastos!$M:$M,[2]Gastos!$F:$F,H2803,[2]Gastos!$A:$A,A2803,[2]Gastos!$H:$H,I2803)</f>
        <v>#VALUE!</v>
      </c>
    </row>
    <row r="2804" spans="1:18" hidden="1" x14ac:dyDescent="0.3">
      <c r="A2804">
        <v>48</v>
      </c>
      <c r="B2804" t="str">
        <f>VLOOKUP($A2804,[1]LISTA!$B:$C,2,0)</f>
        <v>NOVIEMBRE</v>
      </c>
      <c r="C2804" s="1">
        <v>2025</v>
      </c>
      <c r="D2804" s="1" t="str">
        <f>IF($A2804&lt;=[1]RESULTADOS!$D$6,"YTD","YTG")</f>
        <v>YTG</v>
      </c>
      <c r="E2804" t="s">
        <v>17</v>
      </c>
      <c r="F2804" t="s">
        <v>18</v>
      </c>
      <c r="G2804" t="s">
        <v>53</v>
      </c>
      <c r="H2804" t="s">
        <v>233</v>
      </c>
      <c r="I2804" t="s">
        <v>333</v>
      </c>
      <c r="J2804" t="str">
        <f>IFERROR(VLOOKUP(I2804,[1]AUTOS!$C:$G,2,0),"")</f>
        <v>BEAT</v>
      </c>
      <c r="K2804">
        <f>IFERROR(VLOOKUP(I2804,[1]AUTOS!$C:$G,3,0),"")</f>
        <v>2019</v>
      </c>
      <c r="L2804" t="str">
        <f>IFERROR(VLOOKUP(I2804,[1]AUTOS!$C:$G,4,0),"")</f>
        <v>OCRE</v>
      </c>
      <c r="P2804" s="3">
        <v>-100</v>
      </c>
      <c r="R2804" s="3" t="e">
        <f>SUMIFS([2]Gastos!$M:$M,[2]Gastos!$F:$F,H2804,[2]Gastos!$A:$A,A2804,[2]Gastos!$H:$H,I2804)</f>
        <v>#VALUE!</v>
      </c>
    </row>
    <row r="2805" spans="1:18" hidden="1" x14ac:dyDescent="0.3">
      <c r="A2805">
        <v>48</v>
      </c>
      <c r="B2805" t="str">
        <f>VLOOKUP($A2805,[1]LISTA!$B:$C,2,0)</f>
        <v>NOVIEMBRE</v>
      </c>
      <c r="C2805" s="1">
        <v>2025</v>
      </c>
      <c r="D2805" s="1" t="str">
        <f>IF($A2805&lt;=[1]RESULTADOS!$D$6,"YTD","YTG")</f>
        <v>YTG</v>
      </c>
      <c r="E2805" t="s">
        <v>17</v>
      </c>
      <c r="F2805" t="s">
        <v>18</v>
      </c>
      <c r="G2805" t="s">
        <v>23</v>
      </c>
      <c r="H2805" t="s">
        <v>113</v>
      </c>
      <c r="I2805" t="s">
        <v>333</v>
      </c>
      <c r="J2805" t="str">
        <f>IFERROR(VLOOKUP(I2805,[1]AUTOS!$C:$G,2,0),"")</f>
        <v>BEAT</v>
      </c>
      <c r="K2805">
        <f>IFERROR(VLOOKUP(I2805,[1]AUTOS!$C:$G,3,0),"")</f>
        <v>2019</v>
      </c>
      <c r="L2805" t="str">
        <f>IFERROR(VLOOKUP(I2805,[1]AUTOS!$C:$G,4,0),"")</f>
        <v>OCRE</v>
      </c>
      <c r="P2805" s="3">
        <v>-100</v>
      </c>
      <c r="R2805" s="3" t="e">
        <f>SUMIFS([2]Gastos!$M:$M,[2]Gastos!$F:$F,H2805,[2]Gastos!$A:$A,A2805,[2]Gastos!$H:$H,I2805)</f>
        <v>#VALUE!</v>
      </c>
    </row>
    <row r="2806" spans="1:18" hidden="1" x14ac:dyDescent="0.3">
      <c r="A2806">
        <v>48</v>
      </c>
      <c r="B2806" t="str">
        <f>VLOOKUP($A2806,[1]LISTA!$B:$C,2,0)</f>
        <v>NOVIEMBRE</v>
      </c>
      <c r="C2806" s="1">
        <v>2025</v>
      </c>
      <c r="D2806" s="1" t="str">
        <f>IF($A2806&lt;=[1]RESULTADOS!$D$6,"YTD","YTG")</f>
        <v>YTG</v>
      </c>
      <c r="E2806" s="6" t="s">
        <v>705</v>
      </c>
      <c r="F2806" t="s">
        <v>18</v>
      </c>
      <c r="G2806" t="s">
        <v>339</v>
      </c>
      <c r="H2806" t="s">
        <v>813</v>
      </c>
      <c r="I2806" t="s">
        <v>440</v>
      </c>
      <c r="J2806" t="str">
        <f>IFERROR(VLOOKUP(I2806,[1]AUTOS!$C:$G,2,0),"")</f>
        <v>AVEO</v>
      </c>
      <c r="K2806">
        <f>IFERROR(VLOOKUP(I2806,[1]AUTOS!$C:$G,3,0),"")</f>
        <v>2021</v>
      </c>
      <c r="L2806" t="str">
        <f>IFERROR(VLOOKUP(I2806,[1]AUTOS!$C:$G,4,0),"")</f>
        <v>GRIS</v>
      </c>
      <c r="P2806" s="3">
        <v>-300</v>
      </c>
      <c r="R2806" s="3" t="e">
        <f>SUMIFS([2]Gastos!$M:$M,[2]Gastos!$F:$F,H2806,[2]Gastos!$A:$A,A2806,[2]Gastos!$H:$H,I2806)</f>
        <v>#VALUE!</v>
      </c>
    </row>
    <row r="2807" spans="1:18" hidden="1" x14ac:dyDescent="0.3">
      <c r="A2807">
        <v>48</v>
      </c>
      <c r="B2807" t="str">
        <f>VLOOKUP($A2807,[1]LISTA!$B:$C,2,0)</f>
        <v>NOVIEMBRE</v>
      </c>
      <c r="C2807" s="1">
        <v>2025</v>
      </c>
      <c r="D2807" s="1" t="str">
        <f>IF($A2807&lt;=[1]RESULTADOS!$D$6,"YTD","YTG")</f>
        <v>YTG</v>
      </c>
      <c r="E2807" s="6" t="s">
        <v>731</v>
      </c>
      <c r="F2807" t="s">
        <v>18</v>
      </c>
      <c r="G2807" t="s">
        <v>785</v>
      </c>
      <c r="H2807" t="s">
        <v>141</v>
      </c>
      <c r="I2807" t="s">
        <v>116</v>
      </c>
      <c r="J2807" t="str">
        <f>IFERROR(VLOOKUP(I2807,[1]AUTOS!$C:$G,2,0),"")</f>
        <v>AVEO</v>
      </c>
      <c r="K2807">
        <f>IFERROR(VLOOKUP(I2807,[1]AUTOS!$C:$G,3,0),"")</f>
        <v>2022</v>
      </c>
      <c r="L2807" t="str">
        <f>IFERROR(VLOOKUP(I2807,[1]AUTOS!$C:$G,4,0),"")</f>
        <v>AZUL</v>
      </c>
      <c r="P2807" s="3">
        <v>-2495</v>
      </c>
      <c r="R2807" s="3" t="e">
        <f>SUMIFS([2]Gastos!$M:$M,[2]Gastos!$F:$F,H2807,[2]Gastos!$A:$A,A2807,[2]Gastos!$H:$H,I2807)</f>
        <v>#VALUE!</v>
      </c>
    </row>
    <row r="2808" spans="1:18" hidden="1" x14ac:dyDescent="0.3">
      <c r="A2808">
        <v>48</v>
      </c>
      <c r="B2808" t="str">
        <f>VLOOKUP($A2808,[1]LISTA!$B:$C,2,0)</f>
        <v>NOVIEMBRE</v>
      </c>
      <c r="C2808" s="1">
        <v>2025</v>
      </c>
      <c r="D2808" s="1" t="str">
        <f>IF($A2808&lt;=[1]RESULTADOS!$D$6,"YTD","YTG")</f>
        <v>YTG</v>
      </c>
      <c r="E2808" s="6" t="s">
        <v>731</v>
      </c>
      <c r="F2808" t="s">
        <v>18</v>
      </c>
      <c r="G2808" t="s">
        <v>785</v>
      </c>
      <c r="H2808" t="s">
        <v>809</v>
      </c>
      <c r="I2808" t="s">
        <v>116</v>
      </c>
      <c r="J2808" t="str">
        <f>IFERROR(VLOOKUP(I2808,[1]AUTOS!$C:$G,2,0),"")</f>
        <v>AVEO</v>
      </c>
      <c r="K2808">
        <f>IFERROR(VLOOKUP(I2808,[1]AUTOS!$C:$G,3,0),"")</f>
        <v>2022</v>
      </c>
      <c r="L2808" t="str">
        <f>IFERROR(VLOOKUP(I2808,[1]AUTOS!$C:$G,4,0),"")</f>
        <v>AZUL</v>
      </c>
      <c r="P2808" s="3">
        <v>-201</v>
      </c>
      <c r="R2808" s="3" t="e">
        <f>SUMIFS([2]Gastos!$M:$M,[2]Gastos!$F:$F,H2808,[2]Gastos!$A:$A,A2808,[2]Gastos!$H:$H,I2808)</f>
        <v>#VALUE!</v>
      </c>
    </row>
    <row r="2809" spans="1:18" hidden="1" x14ac:dyDescent="0.3">
      <c r="A2809">
        <v>48</v>
      </c>
      <c r="B2809" t="str">
        <f>VLOOKUP($A2809,[1]LISTA!$B:$C,2,0)</f>
        <v>NOVIEMBRE</v>
      </c>
      <c r="C2809" s="1">
        <v>2025</v>
      </c>
      <c r="D2809" s="1" t="str">
        <f>IF($A2809&lt;=[1]RESULTADOS!$D$6,"YTD","YTG")</f>
        <v>YTG</v>
      </c>
      <c r="E2809" s="6" t="s">
        <v>731</v>
      </c>
      <c r="F2809" t="s">
        <v>18</v>
      </c>
      <c r="G2809" t="s">
        <v>785</v>
      </c>
      <c r="H2809" t="s">
        <v>195</v>
      </c>
      <c r="I2809" t="s">
        <v>116</v>
      </c>
      <c r="J2809" t="str">
        <f>IFERROR(VLOOKUP(I2809,[1]AUTOS!$C:$G,2,0),"")</f>
        <v>AVEO</v>
      </c>
      <c r="K2809">
        <f>IFERROR(VLOOKUP(I2809,[1]AUTOS!$C:$G,3,0),"")</f>
        <v>2022</v>
      </c>
      <c r="L2809" t="str">
        <f>IFERROR(VLOOKUP(I2809,[1]AUTOS!$C:$G,4,0),"")</f>
        <v>AZUL</v>
      </c>
      <c r="P2809" s="3">
        <v>-67</v>
      </c>
      <c r="R2809" s="3" t="e">
        <f>SUMIFS([2]Gastos!$M:$M,[2]Gastos!$F:$F,H2809,[2]Gastos!$A:$A,A2809,[2]Gastos!$H:$H,I2809)</f>
        <v>#VALUE!</v>
      </c>
    </row>
    <row r="2810" spans="1:18" hidden="1" x14ac:dyDescent="0.3">
      <c r="A2810">
        <v>48</v>
      </c>
      <c r="B2810" t="str">
        <f>VLOOKUP($A2810,[1]LISTA!$B:$C,2,0)</f>
        <v>NOVIEMBRE</v>
      </c>
      <c r="C2810" s="1">
        <v>2025</v>
      </c>
      <c r="D2810" s="1" t="str">
        <f>IF($A2810&lt;=[1]RESULTADOS!$D$6,"YTD","YTG")</f>
        <v>YTG</v>
      </c>
      <c r="E2810" t="s">
        <v>17</v>
      </c>
      <c r="F2810" t="s">
        <v>18</v>
      </c>
      <c r="G2810" t="s">
        <v>23</v>
      </c>
      <c r="H2810" t="s">
        <v>113</v>
      </c>
      <c r="I2810" t="s">
        <v>814</v>
      </c>
      <c r="J2810" t="str">
        <f>IFERROR(VLOOKUP(I2810,[1]AUTOS!$C:$G,2,0),"")</f>
        <v>AVEO</v>
      </c>
      <c r="K2810">
        <f>IFERROR(VLOOKUP(I2810,[1]AUTOS!$C:$G,3,0),"")</f>
        <v>2025</v>
      </c>
      <c r="L2810" t="str">
        <f>IFERROR(VLOOKUP(I2810,[1]AUTOS!$C:$G,4,0),"")</f>
        <v>PERSUASION</v>
      </c>
      <c r="P2810" s="3">
        <v>-100</v>
      </c>
      <c r="R2810" s="3" t="e">
        <f>SUMIFS([2]Gastos!$M:$M,[2]Gastos!$F:$F,H2810,[2]Gastos!$A:$A,A2810,[2]Gastos!$H:$H,I2810)</f>
        <v>#VALUE!</v>
      </c>
    </row>
    <row r="2811" spans="1:18" hidden="1" x14ac:dyDescent="0.3">
      <c r="A2811">
        <v>48</v>
      </c>
      <c r="B2811" t="str">
        <f>VLOOKUP($A2811,[1]LISTA!$B:$C,2,0)</f>
        <v>NOVIEMBRE</v>
      </c>
      <c r="C2811" s="1">
        <v>2025</v>
      </c>
      <c r="D2811" s="1" t="str">
        <f>IF($A2811&lt;=[1]RESULTADOS!$D$6,"YTD","YTG")</f>
        <v>YTG</v>
      </c>
      <c r="E2811" s="5" t="s">
        <v>478</v>
      </c>
      <c r="F2811" t="s">
        <v>18</v>
      </c>
      <c r="G2811" t="s">
        <v>23</v>
      </c>
      <c r="H2811" t="s">
        <v>113</v>
      </c>
      <c r="I2811" t="s">
        <v>102</v>
      </c>
      <c r="J2811" t="str">
        <f>IFERROR(VLOOKUP(I2811,[1]AUTOS!$C:$G,2,0),"")</f>
        <v>AVEO</v>
      </c>
      <c r="K2811">
        <f>IFERROR(VLOOKUP(I2811,[1]AUTOS!$C:$G,3,0),"")</f>
        <v>2022</v>
      </c>
      <c r="L2811" t="str">
        <f>IFERROR(VLOOKUP(I2811,[1]AUTOS!$C:$G,4,0),"")</f>
        <v>AZUL</v>
      </c>
      <c r="P2811" s="3">
        <v>-250</v>
      </c>
      <c r="R2811" s="3" t="e">
        <f>SUMIFS([2]Gastos!$M:$M,[2]Gastos!$F:$F,H2811,[2]Gastos!$A:$A,A2811,[2]Gastos!$H:$H,I2811)</f>
        <v>#VALUE!</v>
      </c>
    </row>
    <row r="2812" spans="1:18" hidden="1" x14ac:dyDescent="0.3">
      <c r="A2812">
        <v>48</v>
      </c>
      <c r="B2812" t="str">
        <f>VLOOKUP($A2812,[1]LISTA!$B:$C,2,0)</f>
        <v>NOVIEMBRE</v>
      </c>
      <c r="C2812" s="1">
        <v>2025</v>
      </c>
      <c r="D2812" s="1" t="str">
        <f>IF($A2812&lt;=[1]RESULTADOS!$D$6,"YTD","YTG")</f>
        <v>YTG</v>
      </c>
      <c r="E2812" s="6" t="s">
        <v>731</v>
      </c>
      <c r="F2812" t="s">
        <v>18</v>
      </c>
      <c r="G2812" t="s">
        <v>785</v>
      </c>
      <c r="H2812" t="s">
        <v>195</v>
      </c>
      <c r="I2812" t="s">
        <v>116</v>
      </c>
      <c r="J2812" t="str">
        <f>IFERROR(VLOOKUP(I2812,[1]AUTOS!$C:$G,2,0),"")</f>
        <v>AVEO</v>
      </c>
      <c r="K2812">
        <f>IFERROR(VLOOKUP(I2812,[1]AUTOS!$C:$G,3,0),"")</f>
        <v>2022</v>
      </c>
      <c r="L2812" t="str">
        <f>IFERROR(VLOOKUP(I2812,[1]AUTOS!$C:$G,4,0),"")</f>
        <v>AZUL</v>
      </c>
      <c r="P2812" s="3">
        <v>-125</v>
      </c>
      <c r="R2812" s="3" t="e">
        <f>SUMIFS([2]Gastos!$M:$M,[2]Gastos!$F:$F,H2812,[2]Gastos!$A:$A,A2812,[2]Gastos!$H:$H,I2812)</f>
        <v>#VALUE!</v>
      </c>
    </row>
    <row r="2813" spans="1:18" hidden="1" x14ac:dyDescent="0.3">
      <c r="A2813">
        <v>48</v>
      </c>
      <c r="B2813" t="str">
        <f>VLOOKUP($A2813,[1]LISTA!$B:$C,2,0)</f>
        <v>NOVIEMBRE</v>
      </c>
      <c r="C2813" s="1">
        <v>2025</v>
      </c>
      <c r="D2813" s="1" t="str">
        <f>IF($A2813&lt;=[1]RESULTADOS!$D$6,"YTD","YTG")</f>
        <v>YTG</v>
      </c>
      <c r="E2813" s="5" t="s">
        <v>714</v>
      </c>
      <c r="F2813" t="s">
        <v>18</v>
      </c>
      <c r="G2813" t="s">
        <v>780</v>
      </c>
      <c r="H2813" t="s">
        <v>815</v>
      </c>
      <c r="I2813" t="s">
        <v>510</v>
      </c>
      <c r="J2813" t="str">
        <f>IFERROR(VLOOKUP(I2813,[1]AUTOS!$C:$G,2,0),"")</f>
        <v>AVEO</v>
      </c>
      <c r="K2813">
        <f>IFERROR(VLOOKUP(I2813,[1]AUTOS!$C:$G,3,0),"")</f>
        <v>2023</v>
      </c>
      <c r="L2813" t="str">
        <f>IFERROR(VLOOKUP(I2813,[1]AUTOS!$C:$G,4,0),"")</f>
        <v>GRIS</v>
      </c>
      <c r="M2813" t="s">
        <v>43</v>
      </c>
      <c r="P2813" s="3">
        <v>-640</v>
      </c>
      <c r="R2813" s="3" t="e">
        <f>SUMIFS([2]Gastos!$M:$M,[2]Gastos!$F:$F,H2813,[2]Gastos!$A:$A,A2813,[2]Gastos!$H:$H,I2813)</f>
        <v>#VALUE!</v>
      </c>
    </row>
    <row r="2814" spans="1:18" hidden="1" x14ac:dyDescent="0.3">
      <c r="A2814">
        <v>48</v>
      </c>
      <c r="B2814" t="str">
        <f>VLOOKUP($A2814,[1]LISTA!$B:$C,2,0)</f>
        <v>NOVIEMBRE</v>
      </c>
      <c r="C2814" s="1">
        <v>2025</v>
      </c>
      <c r="D2814" s="1" t="str">
        <f>IF($A2814&lt;=[1]RESULTADOS!$D$6,"YTD","YTG")</f>
        <v>YTG</v>
      </c>
      <c r="E2814" s="5" t="s">
        <v>714</v>
      </c>
      <c r="F2814" t="s">
        <v>18</v>
      </c>
      <c r="G2814" t="s">
        <v>780</v>
      </c>
      <c r="H2814" t="s">
        <v>194</v>
      </c>
      <c r="I2814" t="s">
        <v>510</v>
      </c>
      <c r="J2814" t="str">
        <f>IFERROR(VLOOKUP(I2814,[1]AUTOS!$C:$G,2,0),"")</f>
        <v>AVEO</v>
      </c>
      <c r="K2814">
        <f>IFERROR(VLOOKUP(I2814,[1]AUTOS!$C:$G,3,0),"")</f>
        <v>2023</v>
      </c>
      <c r="L2814" t="str">
        <f>IFERROR(VLOOKUP(I2814,[1]AUTOS!$C:$G,4,0),"")</f>
        <v>GRIS</v>
      </c>
      <c r="M2814" t="s">
        <v>43</v>
      </c>
      <c r="P2814" s="3">
        <v>-115</v>
      </c>
      <c r="R2814" s="3" t="e">
        <f>SUMIFS([2]Gastos!$M:$M,[2]Gastos!$F:$F,H2814,[2]Gastos!$A:$A,A2814,[2]Gastos!$H:$H,I2814)</f>
        <v>#VALUE!</v>
      </c>
    </row>
    <row r="2815" spans="1:18" hidden="1" x14ac:dyDescent="0.3">
      <c r="A2815">
        <v>48</v>
      </c>
      <c r="B2815" t="str">
        <f>VLOOKUP($A2815,[1]LISTA!$B:$C,2,0)</f>
        <v>NOVIEMBRE</v>
      </c>
      <c r="C2815" s="1">
        <v>2025</v>
      </c>
      <c r="D2815" s="1" t="str">
        <f>IF($A2815&lt;=[1]RESULTADOS!$D$6,"YTD","YTG")</f>
        <v>YTG</v>
      </c>
      <c r="E2815" s="5" t="s">
        <v>714</v>
      </c>
      <c r="F2815" t="s">
        <v>18</v>
      </c>
      <c r="G2815" t="s">
        <v>780</v>
      </c>
      <c r="H2815" t="s">
        <v>193</v>
      </c>
      <c r="I2815" t="s">
        <v>510</v>
      </c>
      <c r="J2815" t="str">
        <f>IFERROR(VLOOKUP(I2815,[1]AUTOS!$C:$G,2,0),"")</f>
        <v>AVEO</v>
      </c>
      <c r="K2815">
        <f>IFERROR(VLOOKUP(I2815,[1]AUTOS!$C:$G,3,0),"")</f>
        <v>2023</v>
      </c>
      <c r="L2815" t="str">
        <f>IFERROR(VLOOKUP(I2815,[1]AUTOS!$C:$G,4,0),"")</f>
        <v>GRIS</v>
      </c>
      <c r="M2815" t="s">
        <v>43</v>
      </c>
      <c r="P2815" s="3">
        <v>-55</v>
      </c>
      <c r="R2815" s="3" t="e">
        <f>SUMIFS([2]Gastos!$M:$M,[2]Gastos!$F:$F,H2815,[2]Gastos!$A:$A,A2815,[2]Gastos!$H:$H,I2815)</f>
        <v>#VALUE!</v>
      </c>
    </row>
    <row r="2816" spans="1:18" hidden="1" x14ac:dyDescent="0.3">
      <c r="A2816">
        <v>48</v>
      </c>
      <c r="B2816" t="str">
        <f>VLOOKUP($A2816,[1]LISTA!$B:$C,2,0)</f>
        <v>NOVIEMBRE</v>
      </c>
      <c r="C2816" s="1">
        <v>2025</v>
      </c>
      <c r="D2816" s="1" t="str">
        <f>IF($A2816&lt;=[1]RESULTADOS!$D$6,"YTD","YTG")</f>
        <v>YTG</v>
      </c>
      <c r="E2816" s="5" t="s">
        <v>714</v>
      </c>
      <c r="F2816" t="s">
        <v>18</v>
      </c>
      <c r="G2816" t="s">
        <v>780</v>
      </c>
      <c r="H2816" t="s">
        <v>816</v>
      </c>
      <c r="I2816" t="s">
        <v>510</v>
      </c>
      <c r="J2816" t="str">
        <f>IFERROR(VLOOKUP(I2816,[1]AUTOS!$C:$G,2,0),"")</f>
        <v>AVEO</v>
      </c>
      <c r="K2816">
        <f>IFERROR(VLOOKUP(I2816,[1]AUTOS!$C:$G,3,0),"")</f>
        <v>2023</v>
      </c>
      <c r="L2816" t="str">
        <f>IFERROR(VLOOKUP(I2816,[1]AUTOS!$C:$G,4,0),"")</f>
        <v>GRIS</v>
      </c>
      <c r="M2816" t="s">
        <v>43</v>
      </c>
      <c r="P2816" s="3">
        <v>-340</v>
      </c>
      <c r="R2816" s="3" t="e">
        <f>SUMIFS([2]Gastos!$M:$M,[2]Gastos!$F:$F,H2816,[2]Gastos!$A:$A,A2816,[2]Gastos!$H:$H,I2816)</f>
        <v>#VALUE!</v>
      </c>
    </row>
    <row r="2817" spans="1:18" hidden="1" x14ac:dyDescent="0.3">
      <c r="A2817">
        <v>48</v>
      </c>
      <c r="B2817" t="str">
        <f>VLOOKUP($A2817,[1]LISTA!$B:$C,2,0)</f>
        <v>NOVIEMBRE</v>
      </c>
      <c r="C2817" s="1">
        <v>2025</v>
      </c>
      <c r="D2817" s="1" t="str">
        <f>IF($A2817&lt;=[1]RESULTADOS!$D$6,"YTD","YTG")</f>
        <v>YTG</v>
      </c>
      <c r="E2817" s="6" t="s">
        <v>730</v>
      </c>
      <c r="F2817" t="s">
        <v>18</v>
      </c>
      <c r="G2817" t="s">
        <v>780</v>
      </c>
      <c r="H2817" t="s">
        <v>815</v>
      </c>
      <c r="I2817" t="s">
        <v>547</v>
      </c>
      <c r="J2817" t="str">
        <f>IFERROR(VLOOKUP(I2817,[1]AUTOS!$C:$G,2,0),"")</f>
        <v>AVEO</v>
      </c>
      <c r="K2817">
        <f>IFERROR(VLOOKUP(I2817,[1]AUTOS!$C:$G,3,0),"")</f>
        <v>2022</v>
      </c>
      <c r="L2817" t="str">
        <f>IFERROR(VLOOKUP(I2817,[1]AUTOS!$C:$G,4,0),"")</f>
        <v>VINO</v>
      </c>
      <c r="P2817" s="3">
        <v>-640</v>
      </c>
      <c r="R2817" s="3" t="e">
        <f>SUMIFS([2]Gastos!$M:$M,[2]Gastos!$F:$F,H2817,[2]Gastos!$A:$A,A2817,[2]Gastos!$H:$H,I2817)</f>
        <v>#VALUE!</v>
      </c>
    </row>
    <row r="2818" spans="1:18" hidden="1" x14ac:dyDescent="0.3">
      <c r="A2818">
        <v>48</v>
      </c>
      <c r="B2818" t="str">
        <f>VLOOKUP($A2818,[1]LISTA!$B:$C,2,0)</f>
        <v>NOVIEMBRE</v>
      </c>
      <c r="C2818" s="1">
        <v>2025</v>
      </c>
      <c r="D2818" s="1" t="str">
        <f>IF($A2818&lt;=[1]RESULTADOS!$D$6,"YTD","YTG")</f>
        <v>YTG</v>
      </c>
      <c r="E2818" s="6" t="s">
        <v>730</v>
      </c>
      <c r="F2818" t="s">
        <v>18</v>
      </c>
      <c r="G2818" t="s">
        <v>780</v>
      </c>
      <c r="H2818" t="s">
        <v>194</v>
      </c>
      <c r="I2818" t="s">
        <v>547</v>
      </c>
      <c r="J2818" t="str">
        <f>IFERROR(VLOOKUP(I2818,[1]AUTOS!$C:$G,2,0),"")</f>
        <v>AVEO</v>
      </c>
      <c r="K2818">
        <f>IFERROR(VLOOKUP(I2818,[1]AUTOS!$C:$G,3,0),"")</f>
        <v>2022</v>
      </c>
      <c r="L2818" t="str">
        <f>IFERROR(VLOOKUP(I2818,[1]AUTOS!$C:$G,4,0),"")</f>
        <v>VINO</v>
      </c>
      <c r="P2818" s="3">
        <v>-115</v>
      </c>
      <c r="R2818" s="3" t="e">
        <f>SUMIFS([2]Gastos!$M:$M,[2]Gastos!$F:$F,H2818,[2]Gastos!$A:$A,A2818,[2]Gastos!$H:$H,I2818)</f>
        <v>#VALUE!</v>
      </c>
    </row>
    <row r="2819" spans="1:18" hidden="1" x14ac:dyDescent="0.3">
      <c r="A2819">
        <v>48</v>
      </c>
      <c r="B2819" t="str">
        <f>VLOOKUP($A2819,[1]LISTA!$B:$C,2,0)</f>
        <v>NOVIEMBRE</v>
      </c>
      <c r="C2819" s="1">
        <v>2025</v>
      </c>
      <c r="D2819" s="1" t="str">
        <f>IF($A2819&lt;=[1]RESULTADOS!$D$6,"YTD","YTG")</f>
        <v>YTG</v>
      </c>
      <c r="E2819" s="6" t="s">
        <v>730</v>
      </c>
      <c r="F2819" t="s">
        <v>18</v>
      </c>
      <c r="G2819" t="s">
        <v>780</v>
      </c>
      <c r="H2819" t="s">
        <v>193</v>
      </c>
      <c r="I2819" t="s">
        <v>547</v>
      </c>
      <c r="J2819" t="str">
        <f>IFERROR(VLOOKUP(I2819,[1]AUTOS!$C:$G,2,0),"")</f>
        <v>AVEO</v>
      </c>
      <c r="K2819">
        <f>IFERROR(VLOOKUP(I2819,[1]AUTOS!$C:$G,3,0),"")</f>
        <v>2022</v>
      </c>
      <c r="L2819" t="str">
        <f>IFERROR(VLOOKUP(I2819,[1]AUTOS!$C:$G,4,0),"")</f>
        <v>VINO</v>
      </c>
      <c r="P2819" s="3">
        <v>-55</v>
      </c>
      <c r="R2819" s="3" t="e">
        <f>SUMIFS([2]Gastos!$M:$M,[2]Gastos!$F:$F,H2819,[2]Gastos!$A:$A,A2819,[2]Gastos!$H:$H,I2819)</f>
        <v>#VALUE!</v>
      </c>
    </row>
    <row r="2820" spans="1:18" hidden="1" x14ac:dyDescent="0.3">
      <c r="A2820">
        <v>48</v>
      </c>
      <c r="B2820" t="str">
        <f>VLOOKUP($A2820,[1]LISTA!$B:$C,2,0)</f>
        <v>NOVIEMBRE</v>
      </c>
      <c r="C2820" s="1">
        <v>2025</v>
      </c>
      <c r="D2820" s="1" t="str">
        <f>IF($A2820&lt;=[1]RESULTADOS!$D$6,"YTD","YTG")</f>
        <v>YTG</v>
      </c>
      <c r="E2820" s="6" t="s">
        <v>730</v>
      </c>
      <c r="F2820" t="s">
        <v>18</v>
      </c>
      <c r="G2820" t="s">
        <v>780</v>
      </c>
      <c r="H2820" t="s">
        <v>816</v>
      </c>
      <c r="I2820" t="s">
        <v>547</v>
      </c>
      <c r="J2820" t="str">
        <f>IFERROR(VLOOKUP(I2820,[1]AUTOS!$C:$G,2,0),"")</f>
        <v>AVEO</v>
      </c>
      <c r="K2820">
        <f>IFERROR(VLOOKUP(I2820,[1]AUTOS!$C:$G,3,0),"")</f>
        <v>2022</v>
      </c>
      <c r="L2820" t="str">
        <f>IFERROR(VLOOKUP(I2820,[1]AUTOS!$C:$G,4,0),"")</f>
        <v>VINO</v>
      </c>
      <c r="P2820" s="3">
        <v>-340</v>
      </c>
      <c r="R2820" s="3" t="e">
        <f>SUMIFS([2]Gastos!$M:$M,[2]Gastos!$F:$F,H2820,[2]Gastos!$A:$A,A2820,[2]Gastos!$H:$H,I2820)</f>
        <v>#VALUE!</v>
      </c>
    </row>
    <row r="2821" spans="1:18" hidden="1" x14ac:dyDescent="0.3">
      <c r="A2821">
        <v>48</v>
      </c>
      <c r="B2821" t="str">
        <f>VLOOKUP($A2821,[1]LISTA!$B:$C,2,0)</f>
        <v>NOVIEMBRE</v>
      </c>
      <c r="C2821" s="1">
        <v>2025</v>
      </c>
      <c r="D2821" s="1" t="str">
        <f>IF($A2821&lt;=[1]RESULTADOS!$D$6,"YTD","YTG")</f>
        <v>YTG</v>
      </c>
      <c r="E2821" t="s">
        <v>17</v>
      </c>
      <c r="F2821" t="s">
        <v>18</v>
      </c>
      <c r="G2821" t="s">
        <v>23</v>
      </c>
      <c r="H2821" t="s">
        <v>113</v>
      </c>
      <c r="I2821" t="s">
        <v>21</v>
      </c>
      <c r="J2821" t="str">
        <f>IFERROR(VLOOKUP(I2821,[1]AUTOS!$C:$G,2,0),"")</f>
        <v/>
      </c>
      <c r="K2821" t="str">
        <f>IFERROR(VLOOKUP(I2821,[1]AUTOS!$C:$G,3,0),"")</f>
        <v/>
      </c>
      <c r="L2821" t="str">
        <f>IFERROR(VLOOKUP(I2821,[1]AUTOS!$C:$G,4,0),"")</f>
        <v/>
      </c>
      <c r="P2821" s="3">
        <v>-100</v>
      </c>
      <c r="R2821" s="3" t="e">
        <f>SUMIFS([2]Gastos!$M:$M,[2]Gastos!$F:$F,H2821,[2]Gastos!$A:$A,A2821,[2]Gastos!$H:$H,I2821)</f>
        <v>#VALUE!</v>
      </c>
    </row>
    <row r="2822" spans="1:18" hidden="1" x14ac:dyDescent="0.3">
      <c r="A2822">
        <v>48</v>
      </c>
      <c r="B2822" t="str">
        <f>VLOOKUP($A2822,[1]LISTA!$B:$C,2,0)</f>
        <v>NOVIEMBRE</v>
      </c>
      <c r="C2822" s="1">
        <v>2025</v>
      </c>
      <c r="D2822" s="1" t="str">
        <f>IF($A2822&lt;=[1]RESULTADOS!$D$6,"YTD","YTG")</f>
        <v>YTG</v>
      </c>
      <c r="E2822" t="s">
        <v>17</v>
      </c>
      <c r="F2822" t="s">
        <v>18</v>
      </c>
      <c r="G2822" t="s">
        <v>23</v>
      </c>
      <c r="H2822" t="s">
        <v>113</v>
      </c>
      <c r="I2822" t="s">
        <v>814</v>
      </c>
      <c r="J2822" t="str">
        <f>IFERROR(VLOOKUP(I2822,[1]AUTOS!$C:$G,2,0),"")</f>
        <v>AVEO</v>
      </c>
      <c r="K2822">
        <f>IFERROR(VLOOKUP(I2822,[1]AUTOS!$C:$G,3,0),"")</f>
        <v>2025</v>
      </c>
      <c r="L2822" t="str">
        <f>IFERROR(VLOOKUP(I2822,[1]AUTOS!$C:$G,4,0),"")</f>
        <v>PERSUASION</v>
      </c>
      <c r="P2822" s="3">
        <v>-350</v>
      </c>
      <c r="R2822" s="3" t="e">
        <f>SUMIFS([2]Gastos!$M:$M,[2]Gastos!$F:$F,H2822,[2]Gastos!$A:$A,A2822,[2]Gastos!$H:$H,I2822)</f>
        <v>#VALUE!</v>
      </c>
    </row>
    <row r="2823" spans="1:18" hidden="1" x14ac:dyDescent="0.3">
      <c r="A2823">
        <v>48</v>
      </c>
      <c r="B2823" t="str">
        <f>VLOOKUP($A2823,[1]LISTA!$B:$C,2,0)</f>
        <v>NOVIEMBRE</v>
      </c>
      <c r="C2823" s="1">
        <v>2025</v>
      </c>
      <c r="D2823" s="1" t="str">
        <f>IF($A2823&lt;=[1]RESULTADOS!$D$6,"YTD","YTG")</f>
        <v>YTG</v>
      </c>
      <c r="E2823" t="s">
        <v>734</v>
      </c>
      <c r="F2823" t="s">
        <v>18</v>
      </c>
      <c r="G2823" t="s">
        <v>57</v>
      </c>
      <c r="H2823" t="s">
        <v>600</v>
      </c>
      <c r="I2823" t="s">
        <v>34</v>
      </c>
      <c r="J2823" t="str">
        <f>IFERROR(VLOOKUP(I2823,[1]AUTOS!$C:$G,2,0),"")</f>
        <v>AVEO</v>
      </c>
      <c r="K2823">
        <f>IFERROR(VLOOKUP(I2823,[1]AUTOS!$C:$G,3,0),"")</f>
        <v>2018</v>
      </c>
      <c r="L2823" t="str">
        <f>IFERROR(VLOOKUP(I2823,[1]AUTOS!$C:$G,4,0),"")</f>
        <v>ROJO</v>
      </c>
      <c r="P2823" s="3">
        <v>-400</v>
      </c>
      <c r="R2823" s="3" t="e">
        <f>SUMIFS([2]Gastos!$M:$M,[2]Gastos!$F:$F,H2823,[2]Gastos!$A:$A,A2823,[2]Gastos!$H:$H,I2823)</f>
        <v>#VALUE!</v>
      </c>
    </row>
    <row r="2824" spans="1:18" hidden="1" x14ac:dyDescent="0.3">
      <c r="A2824">
        <v>48</v>
      </c>
      <c r="B2824" t="str">
        <f>VLOOKUP($A2824,[1]LISTA!$B:$C,2,0)</f>
        <v>NOVIEMBRE</v>
      </c>
      <c r="C2824" s="1">
        <v>2025</v>
      </c>
      <c r="D2824" s="1" t="str">
        <f>IF($A2824&lt;=[1]RESULTADOS!$D$6,"YTD","YTG")</f>
        <v>YTG</v>
      </c>
      <c r="E2824" s="5" t="s">
        <v>630</v>
      </c>
      <c r="F2824" t="s">
        <v>18</v>
      </c>
      <c r="G2824" t="s">
        <v>57</v>
      </c>
      <c r="H2824" t="s">
        <v>817</v>
      </c>
      <c r="I2824" t="s">
        <v>51</v>
      </c>
      <c r="J2824" t="str">
        <f>IFERROR(VLOOKUP(I2824,[1]AUTOS!$C:$G,2,0),"")</f>
        <v>VENTO</v>
      </c>
      <c r="K2824">
        <f>IFERROR(VLOOKUP(I2824,[1]AUTOS!$C:$G,3,0),"")</f>
        <v>2017</v>
      </c>
      <c r="L2824" t="str">
        <f>IFERROR(VLOOKUP(I2824,[1]AUTOS!$C:$G,4,0),"")</f>
        <v>GRIS</v>
      </c>
      <c r="P2824" s="3">
        <v>-790</v>
      </c>
      <c r="R2824" s="3" t="e">
        <f>SUMIFS([2]Gastos!$M:$M,[2]Gastos!$F:$F,H2824,[2]Gastos!$A:$A,A2824,[2]Gastos!$H:$H,I2824)</f>
        <v>#VALUE!</v>
      </c>
    </row>
    <row r="2825" spans="1:18" hidden="1" x14ac:dyDescent="0.3">
      <c r="A2825">
        <v>48</v>
      </c>
      <c r="B2825" t="str">
        <f>VLOOKUP($A2825,[1]LISTA!$B:$C,2,0)</f>
        <v>NOVIEMBRE</v>
      </c>
      <c r="C2825" s="1">
        <v>2025</v>
      </c>
      <c r="D2825" s="1" t="str">
        <f>IF($A2825&lt;=[1]RESULTADOS!$D$6,"YTD","YTG")</f>
        <v>YTG</v>
      </c>
      <c r="E2825" s="5" t="s">
        <v>630</v>
      </c>
      <c r="F2825" t="s">
        <v>18</v>
      </c>
      <c r="G2825" t="s">
        <v>57</v>
      </c>
      <c r="H2825" t="s">
        <v>818</v>
      </c>
      <c r="I2825" t="s">
        <v>51</v>
      </c>
      <c r="J2825" t="str">
        <f>IFERROR(VLOOKUP(I2825,[1]AUTOS!$C:$G,2,0),"")</f>
        <v>VENTO</v>
      </c>
      <c r="K2825">
        <f>IFERROR(VLOOKUP(I2825,[1]AUTOS!$C:$G,3,0),"")</f>
        <v>2017</v>
      </c>
      <c r="L2825" t="str">
        <f>IFERROR(VLOOKUP(I2825,[1]AUTOS!$C:$G,4,0),"")</f>
        <v>GRIS</v>
      </c>
      <c r="P2825" s="3">
        <v>-920</v>
      </c>
      <c r="R2825" s="3" t="e">
        <f>SUMIFS([2]Gastos!$M:$M,[2]Gastos!$F:$F,H2825,[2]Gastos!$A:$A,A2825,[2]Gastos!$H:$H,I2825)</f>
        <v>#VALUE!</v>
      </c>
    </row>
    <row r="2826" spans="1:18" hidden="1" x14ac:dyDescent="0.3">
      <c r="A2826">
        <v>48</v>
      </c>
      <c r="B2826" t="str">
        <f>VLOOKUP($A2826,[1]LISTA!$B:$C,2,0)</f>
        <v>NOVIEMBRE</v>
      </c>
      <c r="C2826" s="1">
        <v>2025</v>
      </c>
      <c r="D2826" s="1" t="str">
        <f>IF($A2826&lt;=[1]RESULTADOS!$D$6,"YTD","YTG")</f>
        <v>YTG</v>
      </c>
      <c r="E2826" s="5" t="s">
        <v>630</v>
      </c>
      <c r="F2826" t="s">
        <v>18</v>
      </c>
      <c r="G2826" t="s">
        <v>57</v>
      </c>
      <c r="H2826" t="s">
        <v>803</v>
      </c>
      <c r="I2826" t="s">
        <v>51</v>
      </c>
      <c r="J2826" t="str">
        <f>IFERROR(VLOOKUP(I2826,[1]AUTOS!$C:$G,2,0),"")</f>
        <v>VENTO</v>
      </c>
      <c r="K2826">
        <f>IFERROR(VLOOKUP(I2826,[1]AUTOS!$C:$G,3,0),"")</f>
        <v>2017</v>
      </c>
      <c r="L2826" t="str">
        <f>IFERROR(VLOOKUP(I2826,[1]AUTOS!$C:$G,4,0),"")</f>
        <v>GRIS</v>
      </c>
      <c r="P2826" s="3">
        <v>-92</v>
      </c>
      <c r="R2826" s="3" t="e">
        <f>SUMIFS([2]Gastos!$M:$M,[2]Gastos!$F:$F,H2826,[2]Gastos!$A:$A,A2826,[2]Gastos!$H:$H,I2826)</f>
        <v>#VALUE!</v>
      </c>
    </row>
    <row r="2827" spans="1:18" hidden="1" x14ac:dyDescent="0.3">
      <c r="A2827">
        <v>48</v>
      </c>
      <c r="B2827" t="str">
        <f>VLOOKUP($A2827,[1]LISTA!$B:$C,2,0)</f>
        <v>NOVIEMBRE</v>
      </c>
      <c r="C2827" s="1">
        <v>2025</v>
      </c>
      <c r="D2827" s="1" t="str">
        <f>IF($A2827&lt;=[1]RESULTADOS!$D$6,"YTD","YTG")</f>
        <v>YTG</v>
      </c>
      <c r="E2827" t="s">
        <v>17</v>
      </c>
      <c r="F2827" t="s">
        <v>18</v>
      </c>
      <c r="G2827" t="s">
        <v>23</v>
      </c>
      <c r="H2827" t="s">
        <v>113</v>
      </c>
      <c r="I2827" t="s">
        <v>333</v>
      </c>
      <c r="J2827" t="str">
        <f>IFERROR(VLOOKUP(I2827,[1]AUTOS!$C:$G,2,0),"")</f>
        <v>BEAT</v>
      </c>
      <c r="K2827">
        <f>IFERROR(VLOOKUP(I2827,[1]AUTOS!$C:$G,3,0),"")</f>
        <v>2019</v>
      </c>
      <c r="L2827" t="str">
        <f>IFERROR(VLOOKUP(I2827,[1]AUTOS!$C:$G,4,0),"")</f>
        <v>OCRE</v>
      </c>
      <c r="P2827" s="3">
        <v>-100</v>
      </c>
      <c r="R2827" s="3" t="e">
        <f>SUMIFS([2]Gastos!$M:$M,[2]Gastos!$F:$F,H2827,[2]Gastos!$A:$A,A2827,[2]Gastos!$H:$H,I2827)</f>
        <v>#VALUE!</v>
      </c>
    </row>
    <row r="2828" spans="1:18" hidden="1" x14ac:dyDescent="0.3">
      <c r="A2828">
        <v>48</v>
      </c>
      <c r="B2828" t="str">
        <f>VLOOKUP($A2828,[1]LISTA!$B:$C,2,0)</f>
        <v>NOVIEMBRE</v>
      </c>
      <c r="C2828" s="1">
        <v>2025</v>
      </c>
      <c r="D2828" s="1" t="str">
        <f>IF($A2828&lt;=[1]RESULTADOS!$D$6,"YTD","YTG")</f>
        <v>YTG</v>
      </c>
      <c r="E2828" s="5" t="s">
        <v>17</v>
      </c>
      <c r="F2828" t="s">
        <v>18</v>
      </c>
      <c r="G2828" t="s">
        <v>57</v>
      </c>
      <c r="H2828" t="s">
        <v>294</v>
      </c>
      <c r="I2828" t="s">
        <v>46</v>
      </c>
      <c r="J2828" t="str">
        <f>IFERROR(VLOOKUP(I2828,[1]AUTOS!$C:$G,2,0),"")</f>
        <v>MARCH</v>
      </c>
      <c r="K2828">
        <f>IFERROR(VLOOKUP(I2828,[1]AUTOS!$C:$G,3,0),"")</f>
        <v>2020</v>
      </c>
      <c r="L2828" t="str">
        <f>IFERROR(VLOOKUP(I2828,[1]AUTOS!$C:$G,4,0),"")</f>
        <v>TURQ</v>
      </c>
      <c r="P2828" s="3">
        <v>-380</v>
      </c>
      <c r="R2828" s="3" t="e">
        <f>SUMIFS([2]Gastos!$M:$M,[2]Gastos!$F:$F,H2828,[2]Gastos!$A:$A,A2828,[2]Gastos!$H:$H,I2828)</f>
        <v>#VALUE!</v>
      </c>
    </row>
    <row r="2829" spans="1:18" hidden="1" x14ac:dyDescent="0.3">
      <c r="A2829">
        <v>48</v>
      </c>
      <c r="B2829" t="str">
        <f>VLOOKUP($A2829,[1]LISTA!$B:$C,2,0)</f>
        <v>NOVIEMBRE</v>
      </c>
      <c r="C2829" s="1">
        <v>2025</v>
      </c>
      <c r="D2829" s="1" t="str">
        <f>IF($A2829&lt;=[1]RESULTADOS!$D$6,"YTD","YTG")</f>
        <v>YTG</v>
      </c>
      <c r="E2829" s="5" t="s">
        <v>17</v>
      </c>
      <c r="F2829" t="s">
        <v>18</v>
      </c>
      <c r="G2829" t="s">
        <v>57</v>
      </c>
      <c r="H2829" t="s">
        <v>461</v>
      </c>
      <c r="I2829" t="s">
        <v>46</v>
      </c>
      <c r="J2829" t="str">
        <f>IFERROR(VLOOKUP(I2829,[1]AUTOS!$C:$G,2,0),"")</f>
        <v>MARCH</v>
      </c>
      <c r="K2829">
        <f>IFERROR(VLOOKUP(I2829,[1]AUTOS!$C:$G,3,0),"")</f>
        <v>2020</v>
      </c>
      <c r="L2829" t="str">
        <f>IFERROR(VLOOKUP(I2829,[1]AUTOS!$C:$G,4,0),"")</f>
        <v>TURQ</v>
      </c>
      <c r="P2829" s="3">
        <v>-1440</v>
      </c>
      <c r="R2829" s="3" t="e">
        <f>SUMIFS([2]Gastos!$M:$M,[2]Gastos!$F:$F,H2829,[2]Gastos!$A:$A,A2829,[2]Gastos!$H:$H,I2829)</f>
        <v>#VALUE!</v>
      </c>
    </row>
    <row r="2830" spans="1:18" hidden="1" x14ac:dyDescent="0.3">
      <c r="A2830">
        <v>48</v>
      </c>
      <c r="B2830" t="str">
        <f>VLOOKUP($A2830,[1]LISTA!$B:$C,2,0)</f>
        <v>NOVIEMBRE</v>
      </c>
      <c r="C2830" s="1">
        <v>2025</v>
      </c>
      <c r="D2830" s="1" t="str">
        <f>IF($A2830&lt;=[1]RESULTADOS!$D$6,"YTD","YTG")</f>
        <v>YTG</v>
      </c>
      <c r="E2830" s="5" t="s">
        <v>17</v>
      </c>
      <c r="F2830" t="s">
        <v>18</v>
      </c>
      <c r="G2830" t="s">
        <v>57</v>
      </c>
      <c r="H2830" t="s">
        <v>819</v>
      </c>
      <c r="I2830" t="s">
        <v>46</v>
      </c>
      <c r="J2830" t="str">
        <f>IFERROR(VLOOKUP(I2830,[1]AUTOS!$C:$G,2,0),"")</f>
        <v>MARCH</v>
      </c>
      <c r="K2830">
        <f>IFERROR(VLOOKUP(I2830,[1]AUTOS!$C:$G,3,0),"")</f>
        <v>2020</v>
      </c>
      <c r="L2830" t="str">
        <f>IFERROR(VLOOKUP(I2830,[1]AUTOS!$C:$G,4,0),"")</f>
        <v>TURQ</v>
      </c>
      <c r="P2830" s="3">
        <v>-100</v>
      </c>
      <c r="R2830" s="3" t="e">
        <f>SUMIFS([2]Gastos!$M:$M,[2]Gastos!$F:$F,H2830,[2]Gastos!$A:$A,A2830,[2]Gastos!$H:$H,I2830)</f>
        <v>#VALUE!</v>
      </c>
    </row>
    <row r="2831" spans="1:18" hidden="1" x14ac:dyDescent="0.3">
      <c r="A2831">
        <v>48</v>
      </c>
      <c r="B2831" t="str">
        <f>VLOOKUP($A2831,[1]LISTA!$B:$C,2,0)</f>
        <v>NOVIEMBRE</v>
      </c>
      <c r="C2831" s="1">
        <v>2025</v>
      </c>
      <c r="D2831" s="1" t="str">
        <f>IF($A2831&lt;=[1]RESULTADOS!$D$6,"YTD","YTG")</f>
        <v>YTG</v>
      </c>
      <c r="E2831" s="5" t="s">
        <v>17</v>
      </c>
      <c r="F2831" t="s">
        <v>18</v>
      </c>
      <c r="G2831" t="s">
        <v>57</v>
      </c>
      <c r="H2831" t="s">
        <v>820</v>
      </c>
      <c r="I2831" t="s">
        <v>46</v>
      </c>
      <c r="J2831" t="str">
        <f>IFERROR(VLOOKUP(I2831,[1]AUTOS!$C:$G,2,0),"")</f>
        <v>MARCH</v>
      </c>
      <c r="K2831">
        <f>IFERROR(VLOOKUP(I2831,[1]AUTOS!$C:$G,3,0),"")</f>
        <v>2020</v>
      </c>
      <c r="L2831" t="str">
        <f>IFERROR(VLOOKUP(I2831,[1]AUTOS!$C:$G,4,0),"")</f>
        <v>TURQ</v>
      </c>
      <c r="P2831" s="3">
        <v>-630</v>
      </c>
      <c r="R2831" s="3" t="e">
        <f>SUMIFS([2]Gastos!$M:$M,[2]Gastos!$F:$F,H2831,[2]Gastos!$A:$A,A2831,[2]Gastos!$H:$H,I2831)</f>
        <v>#VALUE!</v>
      </c>
    </row>
    <row r="2832" spans="1:18" hidden="1" x14ac:dyDescent="0.3">
      <c r="A2832">
        <v>48</v>
      </c>
      <c r="B2832" t="str">
        <f>VLOOKUP($A2832,[1]LISTA!$B:$C,2,0)</f>
        <v>NOVIEMBRE</v>
      </c>
      <c r="C2832" s="1">
        <v>2025</v>
      </c>
      <c r="D2832" s="1" t="str">
        <f>IF($A2832&lt;=[1]RESULTADOS!$D$6,"YTD","YTG")</f>
        <v>YTG</v>
      </c>
      <c r="E2832" s="5" t="s">
        <v>17</v>
      </c>
      <c r="F2832" t="s">
        <v>18</v>
      </c>
      <c r="G2832" t="s">
        <v>780</v>
      </c>
      <c r="H2832" t="s">
        <v>821</v>
      </c>
      <c r="I2832" t="s">
        <v>46</v>
      </c>
      <c r="J2832" t="str">
        <f>IFERROR(VLOOKUP(I2832,[1]AUTOS!$C:$G,2,0),"")</f>
        <v>MARCH</v>
      </c>
      <c r="K2832">
        <f>IFERROR(VLOOKUP(I2832,[1]AUTOS!$C:$G,3,0),"")</f>
        <v>2020</v>
      </c>
      <c r="L2832" t="str">
        <f>IFERROR(VLOOKUP(I2832,[1]AUTOS!$C:$G,4,0),"")</f>
        <v>TURQ</v>
      </c>
      <c r="P2832" s="3">
        <v>-1350</v>
      </c>
      <c r="R2832" s="3" t="e">
        <f>SUMIFS([2]Gastos!$M:$M,[2]Gastos!$F:$F,H2832,[2]Gastos!$A:$A,A2832,[2]Gastos!$H:$H,I2832)</f>
        <v>#VALUE!</v>
      </c>
    </row>
    <row r="2833" spans="1:18" hidden="1" x14ac:dyDescent="0.3">
      <c r="A2833">
        <v>48</v>
      </c>
      <c r="B2833" t="str">
        <f>VLOOKUP($A2833,[1]LISTA!$B:$C,2,0)</f>
        <v>NOVIEMBRE</v>
      </c>
      <c r="C2833" s="1">
        <v>2025</v>
      </c>
      <c r="D2833" s="1" t="str">
        <f>IF($A2833&lt;=[1]RESULTADOS!$D$6,"YTD","YTG")</f>
        <v>YTG</v>
      </c>
      <c r="E2833" t="s">
        <v>17</v>
      </c>
      <c r="F2833" t="s">
        <v>18</v>
      </c>
      <c r="G2833" t="s">
        <v>23</v>
      </c>
      <c r="H2833" t="s">
        <v>113</v>
      </c>
      <c r="I2833" t="s">
        <v>333</v>
      </c>
      <c r="J2833" t="str">
        <f>IFERROR(VLOOKUP(I2833,[1]AUTOS!$C:$G,2,0),"")</f>
        <v>BEAT</v>
      </c>
      <c r="K2833">
        <f>IFERROR(VLOOKUP(I2833,[1]AUTOS!$C:$G,3,0),"")</f>
        <v>2019</v>
      </c>
      <c r="L2833" t="str">
        <f>IFERROR(VLOOKUP(I2833,[1]AUTOS!$C:$G,4,0),"")</f>
        <v>OCRE</v>
      </c>
      <c r="P2833" s="3">
        <v>-300</v>
      </c>
      <c r="R2833" s="3" t="e">
        <f>SUMIFS([2]Gastos!$M:$M,[2]Gastos!$F:$F,H2833,[2]Gastos!$A:$A,A2833,[2]Gastos!$H:$H,I2833)</f>
        <v>#VALUE!</v>
      </c>
    </row>
    <row r="2834" spans="1:18" hidden="1" x14ac:dyDescent="0.3">
      <c r="A2834">
        <v>48</v>
      </c>
      <c r="B2834" t="str">
        <f>VLOOKUP($A2834,[1]LISTA!$B:$C,2,0)</f>
        <v>NOVIEMBRE</v>
      </c>
      <c r="C2834" s="1">
        <v>2025</v>
      </c>
      <c r="D2834" s="1" t="str">
        <f>IF($A2834&lt;=[1]RESULTADOS!$D$6,"YTD","YTG")</f>
        <v>YTG</v>
      </c>
      <c r="E2834" s="5" t="s">
        <v>17</v>
      </c>
      <c r="F2834" t="s">
        <v>18</v>
      </c>
      <c r="G2834" t="s">
        <v>57</v>
      </c>
      <c r="H2834" t="s">
        <v>822</v>
      </c>
      <c r="I2834" t="s">
        <v>495</v>
      </c>
      <c r="J2834" t="str">
        <f>IFERROR(VLOOKUP(I2834,[1]AUTOS!$C:$G,2,0),"")</f>
        <v>VERSA</v>
      </c>
      <c r="K2834">
        <f>IFERROR(VLOOKUP(I2834,[1]AUTOS!$C:$G,3,0),"")</f>
        <v>2021</v>
      </c>
      <c r="L2834" t="str">
        <f>IFERROR(VLOOKUP(I2834,[1]AUTOS!$C:$G,4,0),"")</f>
        <v>BLANCO</v>
      </c>
      <c r="P2834" s="3">
        <v>-4500</v>
      </c>
      <c r="R2834" s="3" t="e">
        <f>SUMIFS([2]Gastos!$M:$M,[2]Gastos!$F:$F,H2834,[2]Gastos!$A:$A,A2834,[2]Gastos!$H:$H,I2834)</f>
        <v>#VALUE!</v>
      </c>
    </row>
    <row r="2835" spans="1:18" hidden="1" x14ac:dyDescent="0.3">
      <c r="A2835">
        <v>48</v>
      </c>
      <c r="B2835" t="str">
        <f>VLOOKUP($A2835,[1]LISTA!$B:$C,2,0)</f>
        <v>NOVIEMBRE</v>
      </c>
      <c r="C2835" s="1">
        <v>2025</v>
      </c>
      <c r="D2835" s="1" t="str">
        <f>IF($A2835&lt;=[1]RESULTADOS!$D$6,"YTD","YTG")</f>
        <v>YTG</v>
      </c>
      <c r="E2835" t="s">
        <v>17</v>
      </c>
      <c r="F2835" t="s">
        <v>18</v>
      </c>
      <c r="G2835" t="s">
        <v>57</v>
      </c>
      <c r="H2835" t="s">
        <v>823</v>
      </c>
      <c r="I2835" t="s">
        <v>21</v>
      </c>
      <c r="J2835" t="str">
        <f>IFERROR(VLOOKUP(I2835,[1]AUTOS!$C:$G,2,0),"")</f>
        <v/>
      </c>
      <c r="K2835" t="str">
        <f>IFERROR(VLOOKUP(I2835,[1]AUTOS!$C:$G,3,0),"")</f>
        <v/>
      </c>
      <c r="L2835" t="str">
        <f>IFERROR(VLOOKUP(I2835,[1]AUTOS!$C:$G,4,0),"")</f>
        <v/>
      </c>
      <c r="P2835" s="3">
        <v>-470</v>
      </c>
      <c r="R2835" s="3" t="e">
        <f>SUMIFS([2]Gastos!$M:$M,[2]Gastos!$F:$F,H2835,[2]Gastos!$A:$A,A2835,[2]Gastos!$H:$H,I2835)</f>
        <v>#VALUE!</v>
      </c>
    </row>
    <row r="2836" spans="1:18" hidden="1" x14ac:dyDescent="0.3">
      <c r="A2836">
        <v>48</v>
      </c>
      <c r="B2836" t="str">
        <f>VLOOKUP($A2836,[1]LISTA!$B:$C,2,0)</f>
        <v>NOVIEMBRE</v>
      </c>
      <c r="C2836" s="1">
        <v>2025</v>
      </c>
      <c r="D2836" s="1" t="str">
        <f>IF($A2836&lt;=[1]RESULTADOS!$D$6,"YTD","YTG")</f>
        <v>YTG</v>
      </c>
      <c r="E2836" s="6" t="s">
        <v>731</v>
      </c>
      <c r="F2836" t="s">
        <v>18</v>
      </c>
      <c r="G2836" t="s">
        <v>53</v>
      </c>
      <c r="H2836" t="s">
        <v>233</v>
      </c>
      <c r="I2836" t="s">
        <v>116</v>
      </c>
      <c r="J2836" t="str">
        <f>IFERROR(VLOOKUP(I2836,[1]AUTOS!$C:$G,2,0),"")</f>
        <v>AVEO</v>
      </c>
      <c r="K2836">
        <f>IFERROR(VLOOKUP(I2836,[1]AUTOS!$C:$G,3,0),"")</f>
        <v>2022</v>
      </c>
      <c r="L2836" t="str">
        <f>IFERROR(VLOOKUP(I2836,[1]AUTOS!$C:$G,4,0),"")</f>
        <v>AZUL</v>
      </c>
      <c r="P2836" s="3">
        <v>-100</v>
      </c>
      <c r="R2836" s="3" t="e">
        <f>SUMIFS([2]Gastos!$M:$M,[2]Gastos!$F:$F,H2836,[2]Gastos!$A:$A,A2836,[2]Gastos!$H:$H,I2836)</f>
        <v>#VALUE!</v>
      </c>
    </row>
    <row r="2837" spans="1:18" hidden="1" x14ac:dyDescent="0.3">
      <c r="A2837">
        <v>49</v>
      </c>
      <c r="B2837" t="str">
        <f>VLOOKUP($A2837,[1]LISTA!$B:$C,2,0)</f>
        <v>DICIEMBRE</v>
      </c>
      <c r="C2837" s="1">
        <v>2025</v>
      </c>
      <c r="D2837" s="1" t="str">
        <f>IF($A2837&lt;=[1]RESULTADOS!$D$6,"YTD","YTG")</f>
        <v>YTG</v>
      </c>
      <c r="E2837" t="s">
        <v>17</v>
      </c>
      <c r="F2837" t="s">
        <v>18</v>
      </c>
      <c r="G2837" t="s">
        <v>57</v>
      </c>
      <c r="H2837" t="s">
        <v>824</v>
      </c>
      <c r="I2837" t="s">
        <v>21</v>
      </c>
      <c r="J2837" t="str">
        <f>IFERROR(VLOOKUP(I2837,[1]AUTOS!$C:$G,2,0),"")</f>
        <v/>
      </c>
      <c r="K2837" t="str">
        <f>IFERROR(VLOOKUP(I2837,[1]AUTOS!$C:$G,3,0),"")</f>
        <v/>
      </c>
      <c r="L2837" t="str">
        <f>IFERROR(VLOOKUP(I2837,[1]AUTOS!$C:$G,4,0),"")</f>
        <v/>
      </c>
      <c r="P2837" s="3">
        <v>-375</v>
      </c>
    </row>
    <row r="2838" spans="1:18" hidden="1" x14ac:dyDescent="0.3">
      <c r="A2838">
        <v>49</v>
      </c>
      <c r="B2838" t="str">
        <f>VLOOKUP($A2838,[1]LISTA!$B:$C,2,0)</f>
        <v>DICIEMBRE</v>
      </c>
      <c r="C2838" s="1">
        <v>2025</v>
      </c>
      <c r="D2838" s="1" t="str">
        <f>IF($A2838&lt;=[1]RESULTADOS!$D$6,"YTD","YTG")</f>
        <v>YTG</v>
      </c>
      <c r="E2838" s="5" t="s">
        <v>17</v>
      </c>
      <c r="F2838" t="s">
        <v>18</v>
      </c>
      <c r="G2838" t="s">
        <v>780</v>
      </c>
      <c r="H2838" t="s">
        <v>825</v>
      </c>
      <c r="I2838" t="s">
        <v>46</v>
      </c>
      <c r="J2838" t="str">
        <f>IFERROR(VLOOKUP(I2838,[1]AUTOS!$C:$G,2,0),"")</f>
        <v>MARCH</v>
      </c>
      <c r="K2838">
        <f>IFERROR(VLOOKUP(I2838,[1]AUTOS!$C:$G,3,0),"")</f>
        <v>2020</v>
      </c>
      <c r="L2838" t="str">
        <f>IFERROR(VLOOKUP(I2838,[1]AUTOS!$C:$G,4,0),"")</f>
        <v>TURQ</v>
      </c>
      <c r="P2838" s="3">
        <v>-877</v>
      </c>
    </row>
    <row r="2839" spans="1:18" hidden="1" x14ac:dyDescent="0.3">
      <c r="A2839">
        <v>49</v>
      </c>
      <c r="B2839" t="str">
        <f>VLOOKUP($A2839,[1]LISTA!$B:$C,2,0)</f>
        <v>DICIEMBRE</v>
      </c>
      <c r="C2839" s="1">
        <v>2025</v>
      </c>
      <c r="D2839" s="1" t="str">
        <f>IF($A2839&lt;=[1]RESULTADOS!$D$6,"YTD","YTG")</f>
        <v>YTG</v>
      </c>
      <c r="E2839" t="s">
        <v>436</v>
      </c>
      <c r="F2839" t="s">
        <v>18</v>
      </c>
      <c r="G2839" t="s">
        <v>57</v>
      </c>
      <c r="H2839" t="s">
        <v>826</v>
      </c>
      <c r="I2839" t="s">
        <v>112</v>
      </c>
      <c r="J2839" t="str">
        <f>IFERROR(VLOOKUP(I2839,[1]AUTOS!$C:$G,2,0),"")</f>
        <v>KIA RIO</v>
      </c>
      <c r="K2839">
        <f>IFERROR(VLOOKUP(I2839,[1]AUTOS!$C:$G,3,0),"")</f>
        <v>2020</v>
      </c>
      <c r="L2839" t="str">
        <f>IFERROR(VLOOKUP(I2839,[1]AUTOS!$C:$G,4,0),"")</f>
        <v>ROJO</v>
      </c>
      <c r="P2839" s="3">
        <v>-950</v>
      </c>
    </row>
    <row r="2840" spans="1:18" hidden="1" x14ac:dyDescent="0.3">
      <c r="A2840">
        <v>49</v>
      </c>
      <c r="B2840" t="str">
        <f>VLOOKUP($A2840,[1]LISTA!$B:$C,2,0)</f>
        <v>DICIEMBRE</v>
      </c>
      <c r="C2840" s="1">
        <v>2025</v>
      </c>
      <c r="D2840" s="1" t="str">
        <f>IF($A2840&lt;=[1]RESULTADOS!$D$6,"YTD","YTG")</f>
        <v>YTG</v>
      </c>
      <c r="E2840" t="s">
        <v>594</v>
      </c>
      <c r="F2840" t="s">
        <v>18</v>
      </c>
      <c r="G2840" t="s">
        <v>57</v>
      </c>
      <c r="H2840" t="s">
        <v>790</v>
      </c>
      <c r="I2840" t="s">
        <v>313</v>
      </c>
      <c r="J2840" t="str">
        <f>IFERROR(VLOOKUP(I2840,[1]AUTOS!$C:$G,2,0),"")</f>
        <v>MARCH</v>
      </c>
      <c r="K2840">
        <f>IFERROR(VLOOKUP(I2840,[1]AUTOS!$C:$G,3,0),"")</f>
        <v>2019</v>
      </c>
      <c r="L2840" t="str">
        <f>IFERROR(VLOOKUP(I2840,[1]AUTOS!$C:$G,4,0),"")</f>
        <v>TURQ</v>
      </c>
      <c r="P2840" s="3">
        <v>-380</v>
      </c>
    </row>
    <row r="2841" spans="1:18" hidden="1" x14ac:dyDescent="0.3">
      <c r="A2841">
        <v>49</v>
      </c>
      <c r="B2841" t="str">
        <f>VLOOKUP($A2841,[1]LISTA!$B:$C,2,0)</f>
        <v>DICIEMBRE</v>
      </c>
      <c r="C2841" s="1">
        <v>2025</v>
      </c>
      <c r="D2841" s="1" t="str">
        <f>IF($A2841&lt;=[1]RESULTADOS!$D$6,"YTD","YTG")</f>
        <v>YTG</v>
      </c>
      <c r="E2841" s="6" t="s">
        <v>417</v>
      </c>
      <c r="F2841" t="s">
        <v>18</v>
      </c>
      <c r="G2841" t="s">
        <v>57</v>
      </c>
      <c r="H2841" t="s">
        <v>466</v>
      </c>
      <c r="I2841" t="s">
        <v>61</v>
      </c>
      <c r="J2841" t="str">
        <f>IFERROR(VLOOKUP(I2841,[1]AUTOS!$C:$G,2,0),"")</f>
        <v>KIA RIO</v>
      </c>
      <c r="K2841">
        <f>IFERROR(VLOOKUP(I2841,[1]AUTOS!$C:$G,3,0),"")</f>
        <v>2017</v>
      </c>
      <c r="L2841" t="str">
        <f>IFERROR(VLOOKUP(I2841,[1]AUTOS!$C:$G,4,0),"")</f>
        <v>ROJO</v>
      </c>
      <c r="P2841" s="3">
        <v>-275</v>
      </c>
    </row>
    <row r="2842" spans="1:18" hidden="1" x14ac:dyDescent="0.3">
      <c r="A2842">
        <v>49</v>
      </c>
      <c r="B2842" t="str">
        <f>VLOOKUP($A2842,[1]LISTA!$B:$C,2,0)</f>
        <v>DICIEMBRE</v>
      </c>
      <c r="C2842" s="1">
        <v>2025</v>
      </c>
      <c r="D2842" s="1" t="str">
        <f>IF($A2842&lt;=[1]RESULTADOS!$D$6,"YTD","YTG")</f>
        <v>YTG</v>
      </c>
      <c r="E2842" s="5" t="s">
        <v>715</v>
      </c>
      <c r="F2842" t="s">
        <v>18</v>
      </c>
      <c r="G2842" t="s">
        <v>57</v>
      </c>
      <c r="H2842" t="s">
        <v>201</v>
      </c>
      <c r="I2842" t="s">
        <v>73</v>
      </c>
      <c r="J2842" t="str">
        <f>IFERROR(VLOOKUP(I2842,[1]AUTOS!$C:$G,2,0),"")</f>
        <v>VERSA</v>
      </c>
      <c r="K2842">
        <f>IFERROR(VLOOKUP(I2842,[1]AUTOS!$C:$G,3,0),"")</f>
        <v>2023</v>
      </c>
      <c r="L2842" t="str">
        <f>IFERROR(VLOOKUP(I2842,[1]AUTOS!$C:$G,4,0),"")</f>
        <v>PLATA</v>
      </c>
      <c r="P2842" s="3">
        <v>-550</v>
      </c>
    </row>
    <row r="2843" spans="1:18" hidden="1" x14ac:dyDescent="0.3">
      <c r="A2843">
        <v>49</v>
      </c>
      <c r="B2843" t="str">
        <f>VLOOKUP($A2843,[1]LISTA!$B:$C,2,0)</f>
        <v>DICIEMBRE</v>
      </c>
      <c r="C2843" s="1">
        <v>2025</v>
      </c>
      <c r="D2843" s="1" t="str">
        <f>IF($A2843&lt;=[1]RESULTADOS!$D$6,"YTD","YTG")</f>
        <v>YTG</v>
      </c>
      <c r="E2843" t="s">
        <v>17</v>
      </c>
      <c r="F2843" t="s">
        <v>18</v>
      </c>
      <c r="G2843" t="s">
        <v>57</v>
      </c>
      <c r="H2843" t="s">
        <v>265</v>
      </c>
      <c r="I2843" t="s">
        <v>21</v>
      </c>
      <c r="J2843" t="str">
        <f>IFERROR(VLOOKUP(I2843,[1]AUTOS!$C:$G,2,0),"")</f>
        <v/>
      </c>
      <c r="K2843" t="str">
        <f>IFERROR(VLOOKUP(I2843,[1]AUTOS!$C:$G,3,0),"")</f>
        <v/>
      </c>
      <c r="L2843" t="str">
        <f>IFERROR(VLOOKUP(I2843,[1]AUTOS!$C:$G,4,0),"")</f>
        <v/>
      </c>
      <c r="P2843" s="3">
        <v>-45</v>
      </c>
    </row>
    <row r="2844" spans="1:18" hidden="1" x14ac:dyDescent="0.3">
      <c r="A2844">
        <v>49</v>
      </c>
      <c r="B2844" t="str">
        <f>VLOOKUP($A2844,[1]LISTA!$B:$C,2,0)</f>
        <v>DICIEMBRE</v>
      </c>
      <c r="C2844" s="1">
        <v>2025</v>
      </c>
      <c r="D2844" s="1" t="str">
        <f>IF($A2844&lt;=[1]RESULTADOS!$D$6,"YTD","YTG")</f>
        <v>YTG</v>
      </c>
      <c r="E2844" t="s">
        <v>17</v>
      </c>
      <c r="F2844" t="s">
        <v>18</v>
      </c>
      <c r="G2844" t="s">
        <v>57</v>
      </c>
      <c r="H2844" t="s">
        <v>827</v>
      </c>
      <c r="I2844" t="s">
        <v>21</v>
      </c>
      <c r="J2844" t="str">
        <f>IFERROR(VLOOKUP(I2844,[1]AUTOS!$C:$G,2,0),"")</f>
        <v/>
      </c>
      <c r="K2844" t="str">
        <f>IFERROR(VLOOKUP(I2844,[1]AUTOS!$C:$G,3,0),"")</f>
        <v/>
      </c>
      <c r="L2844" t="str">
        <f>IFERROR(VLOOKUP(I2844,[1]AUTOS!$C:$G,4,0),"")</f>
        <v/>
      </c>
      <c r="P2844" s="3">
        <v>-490</v>
      </c>
    </row>
    <row r="2845" spans="1:18" hidden="1" x14ac:dyDescent="0.3">
      <c r="A2845">
        <v>49</v>
      </c>
      <c r="B2845" t="str">
        <f>VLOOKUP($A2845,[1]LISTA!$B:$C,2,0)</f>
        <v>DICIEMBRE</v>
      </c>
      <c r="C2845" s="1">
        <v>2025</v>
      </c>
      <c r="D2845" s="1" t="str">
        <f>IF($A2845&lt;=[1]RESULTADOS!$D$6,"YTD","YTG")</f>
        <v>YTG</v>
      </c>
      <c r="E2845" s="6" t="s">
        <v>417</v>
      </c>
      <c r="F2845" t="s">
        <v>18</v>
      </c>
      <c r="G2845" t="s">
        <v>23</v>
      </c>
      <c r="H2845" t="s">
        <v>113</v>
      </c>
      <c r="I2845" t="s">
        <v>61</v>
      </c>
      <c r="J2845" t="str">
        <f>IFERROR(VLOOKUP(I2845,[1]AUTOS!$C:$G,2,0),"")</f>
        <v>KIA RIO</v>
      </c>
      <c r="K2845">
        <f>IFERROR(VLOOKUP(I2845,[1]AUTOS!$C:$G,3,0),"")</f>
        <v>2017</v>
      </c>
      <c r="L2845" t="str">
        <f>IFERROR(VLOOKUP(I2845,[1]AUTOS!$C:$G,4,0),"")</f>
        <v>ROJO</v>
      </c>
      <c r="P2845" s="3">
        <v>-300</v>
      </c>
    </row>
    <row r="2846" spans="1:18" hidden="1" x14ac:dyDescent="0.3">
      <c r="A2846">
        <v>49</v>
      </c>
      <c r="B2846" t="str">
        <f>VLOOKUP($A2846,[1]LISTA!$B:$C,2,0)</f>
        <v>DICIEMBRE</v>
      </c>
      <c r="C2846" s="1">
        <v>2025</v>
      </c>
      <c r="D2846" s="1" t="str">
        <f>IF($A2846&lt;=[1]RESULTADOS!$D$6,"YTD","YTG")</f>
        <v>YTG</v>
      </c>
      <c r="E2846" t="s">
        <v>17</v>
      </c>
      <c r="F2846" t="s">
        <v>18</v>
      </c>
      <c r="G2846" t="s">
        <v>23</v>
      </c>
      <c r="H2846" t="s">
        <v>113</v>
      </c>
      <c r="I2846" t="s">
        <v>333</v>
      </c>
      <c r="J2846" t="str">
        <f>IFERROR(VLOOKUP(I2846,[1]AUTOS!$C:$G,2,0),"")</f>
        <v>BEAT</v>
      </c>
      <c r="K2846">
        <f>IFERROR(VLOOKUP(I2846,[1]AUTOS!$C:$G,3,0),"")</f>
        <v>2019</v>
      </c>
      <c r="L2846" t="str">
        <f>IFERROR(VLOOKUP(I2846,[1]AUTOS!$C:$G,4,0),"")</f>
        <v>OCRE</v>
      </c>
      <c r="P2846" s="3">
        <v>-200</v>
      </c>
    </row>
    <row r="2847" spans="1:18" hidden="1" x14ac:dyDescent="0.3">
      <c r="A2847">
        <v>49</v>
      </c>
      <c r="B2847" t="str">
        <f>VLOOKUP($A2847,[1]LISTA!$B:$C,2,0)</f>
        <v>DICIEMBRE</v>
      </c>
      <c r="C2847" s="1">
        <v>2025</v>
      </c>
      <c r="D2847" s="1" t="str">
        <f>IF($A2847&lt;=[1]RESULTADOS!$D$6,"YTD","YTG")</f>
        <v>YTG</v>
      </c>
      <c r="E2847" t="s">
        <v>17</v>
      </c>
      <c r="F2847" t="s">
        <v>18</v>
      </c>
      <c r="G2847" t="s">
        <v>53</v>
      </c>
      <c r="H2847" t="s">
        <v>233</v>
      </c>
      <c r="I2847" t="s">
        <v>333</v>
      </c>
      <c r="J2847" t="str">
        <f>IFERROR(VLOOKUP(I2847,[1]AUTOS!$C:$G,2,0),"")</f>
        <v>BEAT</v>
      </c>
      <c r="K2847">
        <f>IFERROR(VLOOKUP(I2847,[1]AUTOS!$C:$G,3,0),"")</f>
        <v>2019</v>
      </c>
      <c r="L2847" t="str">
        <f>IFERROR(VLOOKUP(I2847,[1]AUTOS!$C:$G,4,0),"")</f>
        <v>OCRE</v>
      </c>
      <c r="P2847" s="3">
        <v>-80</v>
      </c>
    </row>
    <row r="2848" spans="1:18" hidden="1" x14ac:dyDescent="0.3">
      <c r="A2848">
        <v>49</v>
      </c>
      <c r="B2848" t="str">
        <f>VLOOKUP($A2848,[1]LISTA!$B:$C,2,0)</f>
        <v>DICIEMBRE</v>
      </c>
      <c r="C2848" s="1">
        <v>2025</v>
      </c>
      <c r="D2848" s="1" t="str">
        <f>IF($A2848&lt;=[1]RESULTADOS!$D$6,"YTD","YTG")</f>
        <v>YTG</v>
      </c>
      <c r="E2848" t="s">
        <v>17</v>
      </c>
      <c r="F2848" t="s">
        <v>18</v>
      </c>
      <c r="G2848" t="s">
        <v>57</v>
      </c>
      <c r="H2848" t="s">
        <v>249</v>
      </c>
      <c r="I2848" t="s">
        <v>333</v>
      </c>
      <c r="J2848" t="str">
        <f>IFERROR(VLOOKUP(I2848,[1]AUTOS!$C:$G,2,0),"")</f>
        <v>BEAT</v>
      </c>
      <c r="K2848">
        <f>IFERROR(VLOOKUP(I2848,[1]AUTOS!$C:$G,3,0),"")</f>
        <v>2019</v>
      </c>
      <c r="L2848" t="str">
        <f>IFERROR(VLOOKUP(I2848,[1]AUTOS!$C:$G,4,0),"")</f>
        <v>OCRE</v>
      </c>
      <c r="P2848" s="3">
        <v>-80</v>
      </c>
    </row>
    <row r="2849" spans="1:18" hidden="1" x14ac:dyDescent="0.3">
      <c r="A2849">
        <v>49</v>
      </c>
      <c r="B2849" t="str">
        <f>VLOOKUP($A2849,[1]LISTA!$B:$C,2,0)</f>
        <v>DICIEMBRE</v>
      </c>
      <c r="C2849" s="1">
        <v>2025</v>
      </c>
      <c r="D2849" s="1" t="str">
        <f>IF($A2849&lt;=[1]RESULTADOS!$D$6,"YTD","YTG")</f>
        <v>YTG</v>
      </c>
      <c r="E2849" t="s">
        <v>17</v>
      </c>
      <c r="F2849" t="s">
        <v>18</v>
      </c>
      <c r="G2849" t="s">
        <v>327</v>
      </c>
      <c r="H2849" t="s">
        <v>331</v>
      </c>
      <c r="I2849" t="s">
        <v>21</v>
      </c>
      <c r="J2849" t="str">
        <f>IFERROR(VLOOKUP(I2849,[1]AUTOS!$C:$G,2,0),"")</f>
        <v/>
      </c>
      <c r="K2849" t="str">
        <f>IFERROR(VLOOKUP(I2849,[1]AUTOS!$C:$G,3,0),"")</f>
        <v/>
      </c>
      <c r="L2849" t="str">
        <f>IFERROR(VLOOKUP(I2849,[1]AUTOS!$C:$G,4,0),"")</f>
        <v/>
      </c>
      <c r="P2849" s="3">
        <v>-1500</v>
      </c>
    </row>
    <row r="2850" spans="1:18" hidden="1" x14ac:dyDescent="0.3">
      <c r="A2850">
        <v>49</v>
      </c>
      <c r="B2850" t="str">
        <f>VLOOKUP($A2850,[1]LISTA!$B:$C,2,0)</f>
        <v>DICIEMBRE</v>
      </c>
      <c r="C2850" s="1">
        <v>2025</v>
      </c>
      <c r="D2850" s="1" t="str">
        <f>IF($A2850&lt;=[1]RESULTADOS!$D$6,"YTD","YTG")</f>
        <v>YTG</v>
      </c>
      <c r="E2850" s="6" t="s">
        <v>417</v>
      </c>
      <c r="F2850" t="s">
        <v>18</v>
      </c>
      <c r="G2850" t="s">
        <v>23</v>
      </c>
      <c r="H2850" t="s">
        <v>113</v>
      </c>
      <c r="I2850" t="s">
        <v>61</v>
      </c>
      <c r="J2850" t="str">
        <f>IFERROR(VLOOKUP(I2850,[1]AUTOS!$C:$G,2,0),"")</f>
        <v>KIA RIO</v>
      </c>
      <c r="K2850">
        <f>IFERROR(VLOOKUP(I2850,[1]AUTOS!$C:$G,3,0),"")</f>
        <v>2017</v>
      </c>
      <c r="L2850" t="str">
        <f>IFERROR(VLOOKUP(I2850,[1]AUTOS!$C:$G,4,0),"")</f>
        <v>ROJO</v>
      </c>
      <c r="P2850" s="3">
        <v>-200</v>
      </c>
    </row>
    <row r="2851" spans="1:18" hidden="1" x14ac:dyDescent="0.3">
      <c r="A2851">
        <v>46</v>
      </c>
      <c r="B2851" t="str">
        <f>VLOOKUP($A2851,[1]LISTA!$B:$C,2,0)</f>
        <v>NOVIEMBRE</v>
      </c>
      <c r="C2851" s="1">
        <v>2025</v>
      </c>
      <c r="D2851" s="1" t="str">
        <f>IF($A2851&lt;=[1]RESULTADOS!$D$6,"YTD","YTG")</f>
        <v>YTG</v>
      </c>
      <c r="E2851" t="s">
        <v>691</v>
      </c>
      <c r="F2851" t="s">
        <v>18</v>
      </c>
      <c r="G2851" t="s">
        <v>828</v>
      </c>
      <c r="H2851" t="s">
        <v>829</v>
      </c>
      <c r="I2851" t="s">
        <v>139</v>
      </c>
      <c r="J2851" t="str">
        <f>IFERROR(VLOOKUP(I2851,[1]AUTOS!$C:$G,2,0),"")</f>
        <v>SWIFT</v>
      </c>
      <c r="K2851">
        <f>IFERROR(VLOOKUP(I2851,[1]AUTOS!$C:$G,3,0),"")</f>
        <v>2017</v>
      </c>
      <c r="L2851" t="str">
        <f>IFERROR(VLOOKUP(I2851,[1]AUTOS!$C:$G,4,0),"")</f>
        <v>ROJO</v>
      </c>
      <c r="P2851" s="3">
        <v>-563</v>
      </c>
      <c r="R2851" s="3" t="e">
        <f>SUMIFS([2]Gastos!$M:$M,[2]Gastos!$F:$F,H2851,[2]Gastos!$A:$A,A2851,[2]Gastos!$H:$H,I2851)</f>
        <v>#VALUE!</v>
      </c>
    </row>
    <row r="2852" spans="1:18" hidden="1" x14ac:dyDescent="0.3">
      <c r="A2852">
        <v>46</v>
      </c>
      <c r="B2852" t="str">
        <f>VLOOKUP($A2852,[1]LISTA!$B:$C,2,0)</f>
        <v>NOVIEMBRE</v>
      </c>
      <c r="C2852" s="1">
        <v>2025</v>
      </c>
      <c r="D2852" s="1" t="str">
        <f>IF($A2852&lt;=[1]RESULTADOS!$D$6,"YTD","YTG")</f>
        <v>YTG</v>
      </c>
      <c r="E2852" t="s">
        <v>830</v>
      </c>
      <c r="F2852" t="s">
        <v>18</v>
      </c>
      <c r="G2852" t="s">
        <v>828</v>
      </c>
      <c r="H2852" t="s">
        <v>831</v>
      </c>
      <c r="I2852" t="s">
        <v>21</v>
      </c>
      <c r="J2852" t="str">
        <f>IFERROR(VLOOKUP(I2852,[1]AUTOS!$C:$G,2,0),"")</f>
        <v/>
      </c>
      <c r="K2852" t="str">
        <f>IFERROR(VLOOKUP(I2852,[1]AUTOS!$C:$G,3,0),"")</f>
        <v/>
      </c>
      <c r="L2852" t="str">
        <f>IFERROR(VLOOKUP(I2852,[1]AUTOS!$C:$G,4,0),"")</f>
        <v/>
      </c>
      <c r="P2852" s="3">
        <v>-1628</v>
      </c>
      <c r="R2852" s="3" t="e">
        <f>SUMIFS([2]Gastos!$M:$M,[2]Gastos!$F:$F,H2852,[2]Gastos!$A:$A,A2852,[2]Gastos!$H:$H,I2852)</f>
        <v>#VALUE!</v>
      </c>
    </row>
    <row r="2853" spans="1:18" hidden="1" x14ac:dyDescent="0.3">
      <c r="A2853">
        <v>46</v>
      </c>
      <c r="B2853" t="str">
        <f>VLOOKUP($A2853,[1]LISTA!$B:$C,2,0)</f>
        <v>NOVIEMBRE</v>
      </c>
      <c r="C2853" s="1">
        <v>2025</v>
      </c>
      <c r="D2853" s="1" t="str">
        <f>IF($A2853&lt;=[1]RESULTADOS!$D$6,"YTD","YTG")</f>
        <v>YTG</v>
      </c>
      <c r="E2853" t="s">
        <v>17</v>
      </c>
      <c r="F2853" t="s">
        <v>18</v>
      </c>
      <c r="G2853" t="s">
        <v>828</v>
      </c>
      <c r="H2853" t="s">
        <v>832</v>
      </c>
      <c r="I2853" t="s">
        <v>21</v>
      </c>
      <c r="J2853" t="str">
        <f>IFERROR(VLOOKUP(I2853,[1]AUTOS!$C:$G,2,0),"")</f>
        <v/>
      </c>
      <c r="K2853" t="str">
        <f>IFERROR(VLOOKUP(I2853,[1]AUTOS!$C:$G,3,0),"")</f>
        <v/>
      </c>
      <c r="L2853" t="str">
        <f>IFERROR(VLOOKUP(I2853,[1]AUTOS!$C:$G,4,0),"")</f>
        <v/>
      </c>
      <c r="P2853" s="3">
        <v>-9331</v>
      </c>
      <c r="R2853" s="3" t="e">
        <f>SUMIFS([2]Gastos!$M:$M,[2]Gastos!$F:$F,H2853,[2]Gastos!$A:$A,A2853,[2]Gastos!$H:$H,I2853)</f>
        <v>#VALUE!</v>
      </c>
    </row>
    <row r="2854" spans="1:18" hidden="1" x14ac:dyDescent="0.3">
      <c r="A2854">
        <v>46</v>
      </c>
      <c r="B2854" t="str">
        <f>VLOOKUP($A2854,[1]LISTA!$B:$C,2,0)</f>
        <v>NOVIEMBRE</v>
      </c>
      <c r="C2854" s="1">
        <v>2025</v>
      </c>
      <c r="D2854" s="1" t="str">
        <f>IF($A2854&lt;=[1]RESULTADOS!$D$6,"YTD","YTG")</f>
        <v>YTG</v>
      </c>
      <c r="E2854" t="s">
        <v>17</v>
      </c>
      <c r="F2854" t="s">
        <v>18</v>
      </c>
      <c r="G2854" t="s">
        <v>828</v>
      </c>
      <c r="H2854" t="s">
        <v>833</v>
      </c>
      <c r="I2854" t="s">
        <v>21</v>
      </c>
      <c r="J2854" t="str">
        <f>IFERROR(VLOOKUP(I2854,[1]AUTOS!$C:$G,2,0),"")</f>
        <v/>
      </c>
      <c r="K2854" t="str">
        <f>IFERROR(VLOOKUP(I2854,[1]AUTOS!$C:$G,3,0),"")</f>
        <v/>
      </c>
      <c r="L2854" t="str">
        <f>IFERROR(VLOOKUP(I2854,[1]AUTOS!$C:$G,4,0),"")</f>
        <v/>
      </c>
      <c r="P2854" s="3">
        <v>-1565</v>
      </c>
      <c r="R2854" s="3" t="e">
        <f>SUMIFS([2]Gastos!$M:$M,[2]Gastos!$F:$F,H2854,[2]Gastos!$A:$A,A2854,[2]Gastos!$H:$H,I2854)</f>
        <v>#VALUE!</v>
      </c>
    </row>
    <row r="2855" spans="1:18" hidden="1" x14ac:dyDescent="0.3">
      <c r="A2855">
        <v>46</v>
      </c>
      <c r="B2855" t="str">
        <f>VLOOKUP($A2855,[1]LISTA!$B:$C,2,0)</f>
        <v>NOVIEMBRE</v>
      </c>
      <c r="C2855" s="1">
        <v>2025</v>
      </c>
      <c r="D2855" s="1" t="str">
        <f>IF($A2855&lt;=[1]RESULTADOS!$D$6,"YTD","YTG")</f>
        <v>YTG</v>
      </c>
      <c r="E2855" t="s">
        <v>17</v>
      </c>
      <c r="F2855" t="s">
        <v>18</v>
      </c>
      <c r="G2855" t="s">
        <v>828</v>
      </c>
      <c r="H2855" t="s">
        <v>834</v>
      </c>
      <c r="I2855" t="s">
        <v>21</v>
      </c>
      <c r="J2855" t="str">
        <f>IFERROR(VLOOKUP(I2855,[1]AUTOS!$C:$G,2,0),"")</f>
        <v/>
      </c>
      <c r="K2855" t="str">
        <f>IFERROR(VLOOKUP(I2855,[1]AUTOS!$C:$G,3,0),"")</f>
        <v/>
      </c>
      <c r="L2855" t="str">
        <f>IFERROR(VLOOKUP(I2855,[1]AUTOS!$C:$G,4,0),"")</f>
        <v/>
      </c>
      <c r="P2855" s="3">
        <v>-840</v>
      </c>
      <c r="R2855" s="3" t="e">
        <f>SUMIFS([2]Gastos!$M:$M,[2]Gastos!$F:$F,H2855,[2]Gastos!$A:$A,A2855,[2]Gastos!$H:$H,I2855)</f>
        <v>#VALUE!</v>
      </c>
    </row>
    <row r="2856" spans="1:18" hidden="1" x14ac:dyDescent="0.3">
      <c r="A2856">
        <v>46</v>
      </c>
      <c r="B2856" t="str">
        <f>VLOOKUP($A2856,[1]LISTA!$B:$C,2,0)</f>
        <v>NOVIEMBRE</v>
      </c>
      <c r="C2856" s="1">
        <v>2025</v>
      </c>
      <c r="D2856" s="1" t="str">
        <f>IF($A2856&lt;=[1]RESULTADOS!$D$6,"YTD","YTG")</f>
        <v>YTG</v>
      </c>
      <c r="E2856" t="s">
        <v>17</v>
      </c>
      <c r="F2856" t="s">
        <v>18</v>
      </c>
      <c r="G2856" t="s">
        <v>828</v>
      </c>
      <c r="H2856" t="s">
        <v>835</v>
      </c>
      <c r="I2856" t="s">
        <v>21</v>
      </c>
      <c r="J2856" t="str">
        <f>IFERROR(VLOOKUP(I2856,[1]AUTOS!$C:$G,2,0),"")</f>
        <v/>
      </c>
      <c r="K2856" t="str">
        <f>IFERROR(VLOOKUP(I2856,[1]AUTOS!$C:$G,3,0),"")</f>
        <v/>
      </c>
      <c r="L2856" t="str">
        <f>IFERROR(VLOOKUP(I2856,[1]AUTOS!$C:$G,4,0),"")</f>
        <v/>
      </c>
      <c r="P2856" s="3">
        <v>-180</v>
      </c>
      <c r="R2856" s="3" t="e">
        <f>SUMIFS([2]Gastos!$M:$M,[2]Gastos!$F:$F,H2856,[2]Gastos!$A:$A,A2856,[2]Gastos!$H:$H,I2856)</f>
        <v>#VALUE!</v>
      </c>
    </row>
    <row r="2857" spans="1:18" hidden="1" x14ac:dyDescent="0.3">
      <c r="A2857">
        <v>46</v>
      </c>
      <c r="B2857" t="str">
        <f>VLOOKUP($A2857,[1]LISTA!$B:$C,2,0)</f>
        <v>NOVIEMBRE</v>
      </c>
      <c r="C2857" s="1">
        <v>2025</v>
      </c>
      <c r="D2857" s="1" t="str">
        <f>IF($A2857&lt;=[1]RESULTADOS!$D$6,"YTD","YTG")</f>
        <v>YTG</v>
      </c>
      <c r="E2857" t="s">
        <v>17</v>
      </c>
      <c r="F2857" t="s">
        <v>18</v>
      </c>
      <c r="G2857" t="s">
        <v>828</v>
      </c>
      <c r="H2857" t="s">
        <v>836</v>
      </c>
      <c r="I2857" t="s">
        <v>21</v>
      </c>
      <c r="J2857" t="str">
        <f>IFERROR(VLOOKUP(I2857,[1]AUTOS!$C:$G,2,0),"")</f>
        <v/>
      </c>
      <c r="K2857" t="str">
        <f>IFERROR(VLOOKUP(I2857,[1]AUTOS!$C:$G,3,0),"")</f>
        <v/>
      </c>
      <c r="L2857" t="str">
        <f>IFERROR(VLOOKUP(I2857,[1]AUTOS!$C:$G,4,0),"")</f>
        <v/>
      </c>
      <c r="P2857" s="3">
        <v>-171</v>
      </c>
      <c r="R2857" s="3" t="e">
        <f>SUMIFS([2]Gastos!$M:$M,[2]Gastos!$F:$F,H2857,[2]Gastos!$A:$A,A2857,[2]Gastos!$H:$H,I2857)</f>
        <v>#VALUE!</v>
      </c>
    </row>
    <row r="2858" spans="1:18" hidden="1" x14ac:dyDescent="0.3">
      <c r="A2858">
        <v>46</v>
      </c>
      <c r="B2858" t="str">
        <f>VLOOKUP($A2858,[1]LISTA!$B:$C,2,0)</f>
        <v>NOVIEMBRE</v>
      </c>
      <c r="C2858" s="1">
        <v>2025</v>
      </c>
      <c r="D2858" s="1" t="str">
        <f>IF($A2858&lt;=[1]RESULTADOS!$D$6,"YTD","YTG")</f>
        <v>YTG</v>
      </c>
      <c r="E2858" t="s">
        <v>17</v>
      </c>
      <c r="F2858" t="s">
        <v>18</v>
      </c>
      <c r="G2858" t="s">
        <v>828</v>
      </c>
      <c r="H2858" t="s">
        <v>837</v>
      </c>
      <c r="I2858" t="s">
        <v>21</v>
      </c>
      <c r="J2858" t="str">
        <f>IFERROR(VLOOKUP(I2858,[1]AUTOS!$C:$G,2,0),"")</f>
        <v/>
      </c>
      <c r="K2858" t="str">
        <f>IFERROR(VLOOKUP(I2858,[1]AUTOS!$C:$G,3,0),"")</f>
        <v/>
      </c>
      <c r="L2858" t="str">
        <f>IFERROR(VLOOKUP(I2858,[1]AUTOS!$C:$G,4,0),"")</f>
        <v/>
      </c>
      <c r="P2858" s="3">
        <v>-160</v>
      </c>
      <c r="R2858" s="3" t="e">
        <f>SUMIFS([2]Gastos!$M:$M,[2]Gastos!$F:$F,H2858,[2]Gastos!$A:$A,A2858,[2]Gastos!$H:$H,I2858)</f>
        <v>#VALUE!</v>
      </c>
    </row>
    <row r="2859" spans="1:18" hidden="1" x14ac:dyDescent="0.3">
      <c r="A2859">
        <v>47</v>
      </c>
      <c r="B2859" t="str">
        <f>VLOOKUP($A2859,[1]LISTA!$B:$C,2,0)</f>
        <v>NOVIEMBRE</v>
      </c>
      <c r="C2859" s="1">
        <v>2025</v>
      </c>
      <c r="D2859" s="1" t="str">
        <f>IF($A2859&lt;=[1]RESULTADOS!$D$6,"YTD","YTG")</f>
        <v>YTG</v>
      </c>
      <c r="E2859" t="s">
        <v>436</v>
      </c>
      <c r="F2859" t="s">
        <v>18</v>
      </c>
      <c r="G2859" t="s">
        <v>780</v>
      </c>
      <c r="H2859" t="s">
        <v>310</v>
      </c>
      <c r="I2859" t="s">
        <v>112</v>
      </c>
      <c r="J2859" t="str">
        <f>IFERROR(VLOOKUP(I2859,[1]AUTOS!$C:$G,2,0),"")</f>
        <v>KIA RIO</v>
      </c>
      <c r="K2859">
        <f>IFERROR(VLOOKUP(I2859,[1]AUTOS!$C:$G,3,0),"")</f>
        <v>2020</v>
      </c>
      <c r="L2859" t="str">
        <f>IFERROR(VLOOKUP(I2859,[1]AUTOS!$C:$G,4,0),"")</f>
        <v>ROJO</v>
      </c>
      <c r="P2859" s="3">
        <v>-640</v>
      </c>
      <c r="R2859" s="3" t="e">
        <f>SUMIFS([2]Gastos!$M:$M,[2]Gastos!$F:$F,H2859,[2]Gastos!$A:$A,A2859,[2]Gastos!$H:$H,I2859)</f>
        <v>#VALUE!</v>
      </c>
    </row>
    <row r="2860" spans="1:18" hidden="1" x14ac:dyDescent="0.3">
      <c r="A2860">
        <v>47</v>
      </c>
      <c r="B2860" t="str">
        <f>VLOOKUP($A2860,[1]LISTA!$B:$C,2,0)</f>
        <v>NOVIEMBRE</v>
      </c>
      <c r="C2860" s="1">
        <v>2025</v>
      </c>
      <c r="D2860" s="1" t="str">
        <f>IF($A2860&lt;=[1]RESULTADOS!$D$6,"YTD","YTG")</f>
        <v>YTG</v>
      </c>
      <c r="E2860" t="s">
        <v>436</v>
      </c>
      <c r="F2860" t="s">
        <v>18</v>
      </c>
      <c r="G2860" t="s">
        <v>780</v>
      </c>
      <c r="H2860" t="s">
        <v>193</v>
      </c>
      <c r="I2860" t="s">
        <v>112</v>
      </c>
      <c r="J2860" t="str">
        <f>IFERROR(VLOOKUP(I2860,[1]AUTOS!$C:$G,2,0),"")</f>
        <v>KIA RIO</v>
      </c>
      <c r="K2860">
        <f>IFERROR(VLOOKUP(I2860,[1]AUTOS!$C:$G,3,0),"")</f>
        <v>2020</v>
      </c>
      <c r="L2860" t="str">
        <f>IFERROR(VLOOKUP(I2860,[1]AUTOS!$C:$G,4,0),"")</f>
        <v>ROJO</v>
      </c>
      <c r="P2860" s="3">
        <v>-60</v>
      </c>
      <c r="R2860" s="3" t="e">
        <f>SUMIFS([2]Gastos!$M:$M,[2]Gastos!$F:$F,H2860,[2]Gastos!$A:$A,A2860,[2]Gastos!$H:$H,I2860)</f>
        <v>#VALUE!</v>
      </c>
    </row>
    <row r="2861" spans="1:18" hidden="1" x14ac:dyDescent="0.3">
      <c r="A2861">
        <v>45</v>
      </c>
      <c r="B2861" t="str">
        <f>VLOOKUP($A2861,[1]LISTA!$B:$C,2,0)</f>
        <v>NOVIEMBRE</v>
      </c>
      <c r="C2861" s="1">
        <v>2025</v>
      </c>
      <c r="D2861" s="1" t="str">
        <f>IF($A2861&lt;=[1]RESULTADOS!$D$6,"YTD","YTG")</f>
        <v>YTG</v>
      </c>
      <c r="E2861" t="s">
        <v>719</v>
      </c>
      <c r="F2861" t="s">
        <v>18</v>
      </c>
      <c r="G2861" t="s">
        <v>780</v>
      </c>
      <c r="H2861" t="s">
        <v>155</v>
      </c>
      <c r="I2861" t="s">
        <v>82</v>
      </c>
      <c r="J2861" t="str">
        <f>IFERROR(VLOOKUP(I2861,[1]AUTOS!$C:$G,2,0),"")</f>
        <v>AVEO</v>
      </c>
      <c r="K2861">
        <f>IFERROR(VLOOKUP(I2861,[1]AUTOS!$C:$G,3,0),"")</f>
        <v>2019</v>
      </c>
      <c r="L2861" t="str">
        <f>IFERROR(VLOOKUP(I2861,[1]AUTOS!$C:$G,4,0),"")</f>
        <v>PLATA</v>
      </c>
      <c r="P2861" s="3">
        <v>-550</v>
      </c>
      <c r="R2861" s="3" t="e">
        <f>SUMIFS([2]Gastos!$M:$M,[2]Gastos!$F:$F,H2861,[2]Gastos!$A:$A,A2861,[2]Gastos!$H:$H,I2861)</f>
        <v>#VALUE!</v>
      </c>
    </row>
    <row r="2862" spans="1:18" hidden="1" x14ac:dyDescent="0.3">
      <c r="A2862">
        <v>47</v>
      </c>
      <c r="B2862" t="str">
        <f>VLOOKUP($A2862,[1]LISTA!$B:$C,2,0)</f>
        <v>NOVIEMBRE</v>
      </c>
      <c r="C2862" s="1">
        <v>2025</v>
      </c>
      <c r="D2862" s="1" t="str">
        <f>IF($A2862&lt;=[1]RESULTADOS!$D$6,"YTD","YTG")</f>
        <v>YTG</v>
      </c>
      <c r="E2862" t="s">
        <v>17</v>
      </c>
      <c r="F2862" t="s">
        <v>18</v>
      </c>
      <c r="G2862" t="s">
        <v>339</v>
      </c>
      <c r="H2862" t="s">
        <v>159</v>
      </c>
      <c r="I2862" t="s">
        <v>728</v>
      </c>
      <c r="J2862" t="str">
        <f>IFERROR(VLOOKUP(I2862,[1]AUTOS!$C:$G,2,0),"")</f>
        <v>AVEO</v>
      </c>
      <c r="K2862">
        <f>IFERROR(VLOOKUP(I2862,[1]AUTOS!$C:$G,3,0),"")</f>
        <v>2025</v>
      </c>
      <c r="L2862" t="str">
        <f>IFERROR(VLOOKUP(I2862,[1]AUTOS!$C:$G,4,0),"")</f>
        <v>PERSUASION</v>
      </c>
      <c r="P2862" s="3">
        <v>-1100</v>
      </c>
      <c r="R2862" s="3" t="e">
        <f>SUMIFS([2]Gastos!$M:$M,[2]Gastos!$F:$F,H2862,[2]Gastos!$A:$A,A2862,[2]Gastos!$H:$H,I2862)</f>
        <v>#VALUE!</v>
      </c>
    </row>
    <row r="2863" spans="1:18" hidden="1" x14ac:dyDescent="0.3">
      <c r="A2863">
        <v>47</v>
      </c>
      <c r="B2863" t="str">
        <f>VLOOKUP($A2863,[1]LISTA!$B:$C,2,0)</f>
        <v>NOVIEMBRE</v>
      </c>
      <c r="C2863" s="1">
        <v>2025</v>
      </c>
      <c r="D2863" s="1" t="str">
        <f>IF($A2863&lt;=[1]RESULTADOS!$D$6,"YTD","YTG")</f>
        <v>YTG</v>
      </c>
      <c r="E2863" t="s">
        <v>17</v>
      </c>
      <c r="F2863" t="s">
        <v>18</v>
      </c>
      <c r="G2863" t="s">
        <v>339</v>
      </c>
      <c r="H2863" t="s">
        <v>159</v>
      </c>
      <c r="I2863" t="s">
        <v>741</v>
      </c>
      <c r="J2863" t="str">
        <f>IFERROR(VLOOKUP(I2863,[1]AUTOS!$C:$G,2,0),"")</f>
        <v>AVEO</v>
      </c>
      <c r="K2863">
        <f>IFERROR(VLOOKUP(I2863,[1]AUTOS!$C:$G,3,0),"")</f>
        <v>2025</v>
      </c>
      <c r="L2863" t="str">
        <f>IFERROR(VLOOKUP(I2863,[1]AUTOS!$C:$G,4,0),"")</f>
        <v>PERSUASION</v>
      </c>
      <c r="P2863" s="3">
        <v>-1100</v>
      </c>
      <c r="R2863" s="3" t="e">
        <f>SUMIFS([2]Gastos!$M:$M,[2]Gastos!$F:$F,H2863,[2]Gastos!$A:$A,A2863,[2]Gastos!$H:$H,I2863)</f>
        <v>#VALUE!</v>
      </c>
    </row>
    <row r="2864" spans="1:18" hidden="1" x14ac:dyDescent="0.3">
      <c r="A2864">
        <v>47</v>
      </c>
      <c r="B2864" t="str">
        <f>VLOOKUP($A2864,[1]LISTA!$B:$C,2,0)</f>
        <v>NOVIEMBRE</v>
      </c>
      <c r="C2864" s="1">
        <v>2025</v>
      </c>
      <c r="D2864" s="1" t="str">
        <f>IF($A2864&lt;=[1]RESULTADOS!$D$6,"YTD","YTG")</f>
        <v>YTG</v>
      </c>
      <c r="E2864" t="s">
        <v>17</v>
      </c>
      <c r="F2864" t="s">
        <v>18</v>
      </c>
      <c r="G2864" t="s">
        <v>339</v>
      </c>
      <c r="H2864" t="s">
        <v>159</v>
      </c>
      <c r="I2864" t="s">
        <v>742</v>
      </c>
      <c r="J2864" t="str">
        <f>IFERROR(VLOOKUP(I2864,[1]AUTOS!$C:$G,2,0),"")</f>
        <v>AVEO</v>
      </c>
      <c r="K2864">
        <f>IFERROR(VLOOKUP(I2864,[1]AUTOS!$C:$G,3,0),"")</f>
        <v>2025</v>
      </c>
      <c r="L2864" t="str">
        <f>IFERROR(VLOOKUP(I2864,[1]AUTOS!$C:$G,4,0),"")</f>
        <v>PERSUASION</v>
      </c>
      <c r="P2864" s="3">
        <v>-1100</v>
      </c>
      <c r="R2864" s="3" t="e">
        <f>SUMIFS([2]Gastos!$M:$M,[2]Gastos!$F:$F,H2864,[2]Gastos!$A:$A,A2864,[2]Gastos!$H:$H,I2864)</f>
        <v>#VALUE!</v>
      </c>
    </row>
    <row r="2865" spans="1:18" hidden="1" x14ac:dyDescent="0.3">
      <c r="A2865">
        <v>47</v>
      </c>
      <c r="B2865" t="str">
        <f>VLOOKUP($A2865,[1]LISTA!$B:$C,2,0)</f>
        <v>NOVIEMBRE</v>
      </c>
      <c r="C2865" s="1">
        <v>2025</v>
      </c>
      <c r="D2865" s="1" t="str">
        <f>IF($A2865&lt;=[1]RESULTADOS!$D$6,"YTD","YTG")</f>
        <v>YTG</v>
      </c>
      <c r="E2865" t="s">
        <v>17</v>
      </c>
      <c r="F2865" t="s">
        <v>18</v>
      </c>
      <c r="G2865" t="s">
        <v>339</v>
      </c>
      <c r="H2865" t="s">
        <v>159</v>
      </c>
      <c r="I2865" t="s">
        <v>733</v>
      </c>
      <c r="J2865" t="str">
        <f>IFERROR(VLOOKUP(I2865,[1]AUTOS!$C:$G,2,0),"")</f>
        <v>AVEO</v>
      </c>
      <c r="K2865">
        <f>IFERROR(VLOOKUP(I2865,[1]AUTOS!$C:$G,3,0),"")</f>
        <v>2025</v>
      </c>
      <c r="L2865" t="str">
        <f>IFERROR(VLOOKUP(I2865,[1]AUTOS!$C:$G,4,0),"")</f>
        <v>PERSUASION</v>
      </c>
      <c r="P2865" s="3">
        <v>-1100</v>
      </c>
      <c r="R2865" s="3" t="e">
        <f>SUMIFS([2]Gastos!$M:$M,[2]Gastos!$F:$F,H2865,[2]Gastos!$A:$A,A2865,[2]Gastos!$H:$H,I2865)</f>
        <v>#VALUE!</v>
      </c>
    </row>
    <row r="2866" spans="1:18" hidden="1" x14ac:dyDescent="0.3">
      <c r="A2866">
        <v>47</v>
      </c>
      <c r="B2866" t="str">
        <f>VLOOKUP($A2866,[1]LISTA!$B:$C,2,0)</f>
        <v>NOVIEMBRE</v>
      </c>
      <c r="C2866" s="1">
        <v>2025</v>
      </c>
      <c r="D2866" s="1" t="str">
        <f>IF($A2866&lt;=[1]RESULTADOS!$D$6,"YTD","YTG")</f>
        <v>YTG</v>
      </c>
      <c r="E2866" t="s">
        <v>17</v>
      </c>
      <c r="F2866" t="s">
        <v>18</v>
      </c>
      <c r="G2866" t="s">
        <v>339</v>
      </c>
      <c r="H2866" t="s">
        <v>159</v>
      </c>
      <c r="I2866" t="s">
        <v>814</v>
      </c>
      <c r="J2866" t="str">
        <f>IFERROR(VLOOKUP(I2866,[1]AUTOS!$C:$G,2,0),"")</f>
        <v>AVEO</v>
      </c>
      <c r="K2866">
        <f>IFERROR(VLOOKUP(I2866,[1]AUTOS!$C:$G,3,0),"")</f>
        <v>2025</v>
      </c>
      <c r="L2866" t="str">
        <f>IFERROR(VLOOKUP(I2866,[1]AUTOS!$C:$G,4,0),"")</f>
        <v>PERSUASION</v>
      </c>
      <c r="P2866" s="3">
        <v>-1100</v>
      </c>
      <c r="R2866" s="3" t="e">
        <f>SUMIFS([2]Gastos!$M:$M,[2]Gastos!$F:$F,H2866,[2]Gastos!$A:$A,A2866,[2]Gastos!$H:$H,I2866)</f>
        <v>#VALUE!</v>
      </c>
    </row>
    <row r="2867" spans="1:18" hidden="1" x14ac:dyDescent="0.3">
      <c r="A2867">
        <v>46</v>
      </c>
      <c r="B2867" t="str">
        <f>VLOOKUP($A2867,[1]LISTA!$B:$C,2,0)</f>
        <v>NOVIEMBRE</v>
      </c>
      <c r="C2867" s="1">
        <v>2025</v>
      </c>
      <c r="D2867" s="1" t="str">
        <f>IF($A2867&lt;=[1]RESULTADOS!$D$6,"YTD","YTG")</f>
        <v>YTG</v>
      </c>
      <c r="E2867" t="s">
        <v>17</v>
      </c>
      <c r="F2867" t="s">
        <v>18</v>
      </c>
      <c r="G2867" t="s">
        <v>339</v>
      </c>
      <c r="H2867" t="s">
        <v>838</v>
      </c>
      <c r="I2867" t="s">
        <v>839</v>
      </c>
      <c r="J2867" t="str">
        <f>IFERROR(VLOOKUP(I2867,[1]AUTOS!$C:$G,2,0),"")</f>
        <v/>
      </c>
      <c r="K2867" t="str">
        <f>IFERROR(VLOOKUP(I2867,[1]AUTOS!$C:$G,3,0),"")</f>
        <v/>
      </c>
      <c r="L2867" t="str">
        <f>IFERROR(VLOOKUP(I2867,[1]AUTOS!$C:$G,4,0),"")</f>
        <v/>
      </c>
      <c r="P2867" s="3">
        <v>-1773</v>
      </c>
      <c r="R2867" s="3" t="e">
        <f>SUMIFS([2]Gastos!$M:$M,[2]Gastos!$F:$F,H2867,[2]Gastos!$A:$A,A2867,[2]Gastos!$H:$H,I2867)</f>
        <v>#VALUE!</v>
      </c>
    </row>
    <row r="2868" spans="1:18" hidden="1" x14ac:dyDescent="0.3">
      <c r="A2868">
        <v>47</v>
      </c>
      <c r="B2868" t="str">
        <f>VLOOKUP($A2868,[1]LISTA!$B:$C,2,0)</f>
        <v>NOVIEMBRE</v>
      </c>
      <c r="C2868" s="1">
        <v>2025</v>
      </c>
      <c r="D2868" s="1" t="str">
        <f>IF($A2868&lt;=[1]RESULTADOS!$D$6,"YTD","YTG")</f>
        <v>YTG</v>
      </c>
      <c r="E2868" s="5" t="s">
        <v>630</v>
      </c>
      <c r="F2868" t="s">
        <v>18</v>
      </c>
      <c r="G2868" t="s">
        <v>339</v>
      </c>
      <c r="H2868" t="s">
        <v>840</v>
      </c>
      <c r="I2868" t="s">
        <v>51</v>
      </c>
      <c r="J2868" t="str">
        <f>IFERROR(VLOOKUP(I2868,[1]AUTOS!$C:$G,2,0),"")</f>
        <v>VENTO</v>
      </c>
      <c r="K2868">
        <f>IFERROR(VLOOKUP(I2868,[1]AUTOS!$C:$G,3,0),"")</f>
        <v>2017</v>
      </c>
      <c r="L2868" t="str">
        <f>IFERROR(VLOOKUP(I2868,[1]AUTOS!$C:$G,4,0),"")</f>
        <v>GRIS</v>
      </c>
      <c r="P2868" s="3">
        <v>-350</v>
      </c>
      <c r="R2868" s="3" t="e">
        <f>SUMIFS([2]Gastos!$M:$M,[2]Gastos!$F:$F,H2868,[2]Gastos!$A:$A,A2868,[2]Gastos!$H:$H,I2868)</f>
        <v>#VALUE!</v>
      </c>
    </row>
    <row r="2869" spans="1:18" hidden="1" x14ac:dyDescent="0.3">
      <c r="A2869">
        <v>47</v>
      </c>
      <c r="B2869" t="str">
        <f>VLOOKUP($A2869,[1]LISTA!$B:$C,2,0)</f>
        <v>NOVIEMBRE</v>
      </c>
      <c r="C2869" s="1">
        <v>2025</v>
      </c>
      <c r="D2869" s="1" t="str">
        <f>IF($A2869&lt;=[1]RESULTADOS!$D$6,"YTD","YTG")</f>
        <v>YTG</v>
      </c>
      <c r="E2869" t="s">
        <v>17</v>
      </c>
      <c r="F2869" t="s">
        <v>18</v>
      </c>
      <c r="G2869" t="s">
        <v>339</v>
      </c>
      <c r="H2869" t="s">
        <v>841</v>
      </c>
      <c r="I2869" t="s">
        <v>839</v>
      </c>
      <c r="J2869" t="str">
        <f>IFERROR(VLOOKUP(I2869,[1]AUTOS!$C:$G,2,0),"")</f>
        <v/>
      </c>
      <c r="K2869" t="str">
        <f>IFERROR(VLOOKUP(I2869,[1]AUTOS!$C:$G,3,0),"")</f>
        <v/>
      </c>
      <c r="L2869" t="str">
        <f>IFERROR(VLOOKUP(I2869,[1]AUTOS!$C:$G,4,0),"")</f>
        <v/>
      </c>
      <c r="P2869" s="3">
        <v>-1300</v>
      </c>
      <c r="R2869" s="3" t="e">
        <f>SUMIFS([2]Gastos!$M:$M,[2]Gastos!$F:$F,H2869,[2]Gastos!$A:$A,A2869,[2]Gastos!$H:$H,I2869)</f>
        <v>#VALUE!</v>
      </c>
    </row>
    <row r="2870" spans="1:18" hidden="1" x14ac:dyDescent="0.3">
      <c r="A2870">
        <v>47</v>
      </c>
      <c r="B2870" t="str">
        <f>VLOOKUP($A2870,[1]LISTA!$B:$C,2,0)</f>
        <v>NOVIEMBRE</v>
      </c>
      <c r="C2870" s="1">
        <v>2025</v>
      </c>
      <c r="D2870" s="1" t="str">
        <f>IF($A2870&lt;=[1]RESULTADOS!$D$6,"YTD","YTG")</f>
        <v>YTG</v>
      </c>
      <c r="E2870" t="s">
        <v>17</v>
      </c>
      <c r="F2870" t="s">
        <v>18</v>
      </c>
      <c r="G2870" t="s">
        <v>339</v>
      </c>
      <c r="H2870" t="s">
        <v>842</v>
      </c>
      <c r="I2870" t="s">
        <v>578</v>
      </c>
      <c r="J2870" t="str">
        <f>IFERROR(VLOOKUP(I2870,[1]AUTOS!$C:$G,2,0),"")</f>
        <v/>
      </c>
      <c r="K2870" t="str">
        <f>IFERROR(VLOOKUP(I2870,[1]AUTOS!$C:$G,3,0),"")</f>
        <v/>
      </c>
      <c r="L2870" t="str">
        <f>IFERROR(VLOOKUP(I2870,[1]AUTOS!$C:$G,4,0),"")</f>
        <v/>
      </c>
      <c r="P2870" s="3">
        <v>-4682</v>
      </c>
      <c r="R2870" s="3" t="e">
        <f>SUMIFS([2]Gastos!$M:$M,[2]Gastos!$F:$F,H2870,[2]Gastos!$A:$A,A2870,[2]Gastos!$H:$H,I2870)</f>
        <v>#VALUE!</v>
      </c>
    </row>
    <row r="2871" spans="1:18" hidden="1" x14ac:dyDescent="0.3">
      <c r="A2871">
        <v>47</v>
      </c>
      <c r="B2871" t="str">
        <f>VLOOKUP($A2871,[1]LISTA!$B:$C,2,0)</f>
        <v>NOVIEMBRE</v>
      </c>
      <c r="C2871" s="1">
        <v>2025</v>
      </c>
      <c r="D2871" s="1" t="str">
        <f>IF($A2871&lt;=[1]RESULTADOS!$D$6,"YTD","YTG")</f>
        <v>YTG</v>
      </c>
      <c r="E2871" t="s">
        <v>17</v>
      </c>
      <c r="F2871" t="s">
        <v>18</v>
      </c>
      <c r="G2871" t="s">
        <v>339</v>
      </c>
      <c r="H2871" t="s">
        <v>842</v>
      </c>
      <c r="I2871" t="s">
        <v>578</v>
      </c>
      <c r="J2871" t="str">
        <f>IFERROR(VLOOKUP(I2871,[1]AUTOS!$C:$G,2,0),"")</f>
        <v/>
      </c>
      <c r="K2871" t="str">
        <f>IFERROR(VLOOKUP(I2871,[1]AUTOS!$C:$G,3,0),"")</f>
        <v/>
      </c>
      <c r="L2871" t="str">
        <f>IFERROR(VLOOKUP(I2871,[1]AUTOS!$C:$G,4,0),"")</f>
        <v/>
      </c>
      <c r="P2871" s="3">
        <v>-4682</v>
      </c>
      <c r="R2871" s="3" t="e">
        <f>SUMIFS([2]Gastos!$M:$M,[2]Gastos!$F:$F,H2871,[2]Gastos!$A:$A,A2871,[2]Gastos!$H:$H,I2871)</f>
        <v>#VALUE!</v>
      </c>
    </row>
    <row r="2872" spans="1:18" hidden="1" x14ac:dyDescent="0.3">
      <c r="A2872">
        <v>47</v>
      </c>
      <c r="B2872" t="str">
        <f>VLOOKUP($A2872,[1]LISTA!$B:$C,2,0)</f>
        <v>NOVIEMBRE</v>
      </c>
      <c r="C2872" s="1">
        <v>2025</v>
      </c>
      <c r="D2872" s="1" t="str">
        <f>IF($A2872&lt;=[1]RESULTADOS!$D$6,"YTD","YTG")</f>
        <v>YTG</v>
      </c>
      <c r="E2872" t="s">
        <v>17</v>
      </c>
      <c r="F2872" t="s">
        <v>18</v>
      </c>
      <c r="G2872" t="s">
        <v>339</v>
      </c>
      <c r="H2872" t="s">
        <v>159</v>
      </c>
      <c r="I2872" t="s">
        <v>578</v>
      </c>
      <c r="J2872" t="str">
        <f>IFERROR(VLOOKUP(I2872,[1]AUTOS!$C:$G,2,0),"")</f>
        <v/>
      </c>
      <c r="K2872" t="str">
        <f>IFERROR(VLOOKUP(I2872,[1]AUTOS!$C:$G,3,0),"")</f>
        <v/>
      </c>
      <c r="L2872" t="str">
        <f>IFERROR(VLOOKUP(I2872,[1]AUTOS!$C:$G,4,0),"")</f>
        <v/>
      </c>
      <c r="P2872" s="3">
        <v>-1300</v>
      </c>
      <c r="R2872" s="3" t="e">
        <f>SUMIFS([2]Gastos!$M:$M,[2]Gastos!$F:$F,H2872,[2]Gastos!$A:$A,A2872,[2]Gastos!$H:$H,I2872)</f>
        <v>#VALUE!</v>
      </c>
    </row>
    <row r="2873" spans="1:18" hidden="1" x14ac:dyDescent="0.3">
      <c r="A2873">
        <v>47</v>
      </c>
      <c r="B2873" t="str">
        <f>VLOOKUP($A2873,[1]LISTA!$B:$C,2,0)</f>
        <v>NOVIEMBRE</v>
      </c>
      <c r="C2873" s="1">
        <v>2025</v>
      </c>
      <c r="D2873" s="1" t="str">
        <f>IF($A2873&lt;=[1]RESULTADOS!$D$6,"YTD","YTG")</f>
        <v>YTG</v>
      </c>
      <c r="E2873" t="s">
        <v>17</v>
      </c>
      <c r="F2873" t="s">
        <v>18</v>
      </c>
      <c r="G2873" t="s">
        <v>339</v>
      </c>
      <c r="H2873" t="s">
        <v>159</v>
      </c>
      <c r="I2873" t="s">
        <v>578</v>
      </c>
      <c r="J2873" t="str">
        <f>IFERROR(VLOOKUP(I2873,[1]AUTOS!$C:$G,2,0),"")</f>
        <v/>
      </c>
      <c r="K2873" t="str">
        <f>IFERROR(VLOOKUP(I2873,[1]AUTOS!$C:$G,3,0),"")</f>
        <v/>
      </c>
      <c r="L2873" t="str">
        <f>IFERROR(VLOOKUP(I2873,[1]AUTOS!$C:$G,4,0),"")</f>
        <v/>
      </c>
      <c r="P2873" s="3">
        <v>-1300</v>
      </c>
      <c r="R2873" s="3" t="e">
        <f>SUMIFS([2]Gastos!$M:$M,[2]Gastos!$F:$F,H2873,[2]Gastos!$A:$A,A2873,[2]Gastos!$H:$H,I2873)</f>
        <v>#VALUE!</v>
      </c>
    </row>
    <row r="2874" spans="1:18" hidden="1" x14ac:dyDescent="0.3">
      <c r="A2874">
        <v>46</v>
      </c>
      <c r="B2874" t="str">
        <f>VLOOKUP($A2874,[1]LISTA!$B:$C,2,0)</f>
        <v>NOVIEMBRE</v>
      </c>
      <c r="C2874" s="1">
        <v>2025</v>
      </c>
      <c r="D2874" s="1" t="str">
        <f>IF($A2874&lt;=[1]RESULTADOS!$D$6,"YTD","YTG")</f>
        <v>YTG</v>
      </c>
      <c r="E2874" t="s">
        <v>17</v>
      </c>
      <c r="F2874" t="s">
        <v>18</v>
      </c>
      <c r="G2874" t="s">
        <v>339</v>
      </c>
      <c r="H2874" t="s">
        <v>115</v>
      </c>
      <c r="I2874" t="s">
        <v>733</v>
      </c>
      <c r="J2874" t="str">
        <f>IFERROR(VLOOKUP(I2874,[1]AUTOS!$C:$G,2,0),"")</f>
        <v>AVEO</v>
      </c>
      <c r="K2874">
        <f>IFERROR(VLOOKUP(I2874,[1]AUTOS!$C:$G,3,0),"")</f>
        <v>2025</v>
      </c>
      <c r="L2874" t="str">
        <f>IFERROR(VLOOKUP(I2874,[1]AUTOS!$C:$G,4,0),"")</f>
        <v>PERSUASION</v>
      </c>
      <c r="P2874" s="3">
        <v>-1997</v>
      </c>
      <c r="R2874" s="3" t="e">
        <f>SUMIFS([2]Gastos!$M:$M,[2]Gastos!$F:$F,H2874,[2]Gastos!$A:$A,A2874,[2]Gastos!$H:$H,I2874)</f>
        <v>#VALUE!</v>
      </c>
    </row>
    <row r="2875" spans="1:18" hidden="1" x14ac:dyDescent="0.3">
      <c r="A2875">
        <v>46</v>
      </c>
      <c r="B2875" t="str">
        <f>VLOOKUP($A2875,[1]LISTA!$B:$C,2,0)</f>
        <v>NOVIEMBRE</v>
      </c>
      <c r="C2875" s="1">
        <v>2025</v>
      </c>
      <c r="D2875" s="1" t="str">
        <f>IF($A2875&lt;=[1]RESULTADOS!$D$6,"YTD","YTG")</f>
        <v>YTG</v>
      </c>
      <c r="E2875" t="s">
        <v>17</v>
      </c>
      <c r="F2875" t="s">
        <v>18</v>
      </c>
      <c r="G2875" t="s">
        <v>339</v>
      </c>
      <c r="H2875" t="s">
        <v>115</v>
      </c>
      <c r="I2875" t="s">
        <v>814</v>
      </c>
      <c r="J2875" t="str">
        <f>IFERROR(VLOOKUP(I2875,[1]AUTOS!$C:$G,2,0),"")</f>
        <v>AVEO</v>
      </c>
      <c r="K2875">
        <f>IFERROR(VLOOKUP(I2875,[1]AUTOS!$C:$G,3,0),"")</f>
        <v>2025</v>
      </c>
      <c r="L2875" t="str">
        <f>IFERROR(VLOOKUP(I2875,[1]AUTOS!$C:$G,4,0),"")</f>
        <v>PERSUASION</v>
      </c>
      <c r="P2875" s="3">
        <v>-1997</v>
      </c>
      <c r="R2875" s="3" t="e">
        <f>SUMIFS([2]Gastos!$M:$M,[2]Gastos!$F:$F,H2875,[2]Gastos!$A:$A,A2875,[2]Gastos!$H:$H,I2875)</f>
        <v>#VALUE!</v>
      </c>
    </row>
    <row r="2876" spans="1:18" hidden="1" x14ac:dyDescent="0.3">
      <c r="A2876">
        <v>47</v>
      </c>
      <c r="B2876" t="str">
        <f>VLOOKUP($A2876,[1]LISTA!$B:$C,2,0)</f>
        <v>NOVIEMBRE</v>
      </c>
      <c r="C2876" s="1">
        <v>2025</v>
      </c>
      <c r="D2876" s="1" t="str">
        <f>IF($A2876&lt;=[1]RESULTADOS!$D$6,"YTD","YTG")</f>
        <v>YTG</v>
      </c>
      <c r="E2876" t="s">
        <v>563</v>
      </c>
      <c r="F2876" t="s">
        <v>18</v>
      </c>
      <c r="G2876" t="s">
        <v>339</v>
      </c>
      <c r="H2876" t="s">
        <v>77</v>
      </c>
      <c r="I2876" t="s">
        <v>61</v>
      </c>
      <c r="J2876" t="str">
        <f>IFERROR(VLOOKUP(I2876,[1]AUTOS!$C:$G,2,0),"")</f>
        <v>KIA RIO</v>
      </c>
      <c r="K2876">
        <f>IFERROR(VLOOKUP(I2876,[1]AUTOS!$C:$G,3,0),"")</f>
        <v>2017</v>
      </c>
      <c r="L2876" t="str">
        <f>IFERROR(VLOOKUP(I2876,[1]AUTOS!$C:$G,4,0),"")</f>
        <v>ROJO</v>
      </c>
      <c r="P2876" s="3">
        <v>-515</v>
      </c>
      <c r="R2876" s="3" t="e">
        <f>SUMIFS([2]Gastos!$M:$M,[2]Gastos!$F:$F,H2876,[2]Gastos!$A:$A,A2876,[2]Gastos!$H:$H,I2876)</f>
        <v>#VALUE!</v>
      </c>
    </row>
    <row r="2877" spans="1:18" hidden="1" x14ac:dyDescent="0.3">
      <c r="A2877">
        <v>47</v>
      </c>
      <c r="B2877" t="str">
        <f>VLOOKUP($A2877,[1]LISTA!$B:$C,2,0)</f>
        <v>NOVIEMBRE</v>
      </c>
      <c r="C2877" s="1">
        <v>2025</v>
      </c>
      <c r="D2877" s="1" t="str">
        <f>IF($A2877&lt;=[1]RESULTADOS!$D$6,"YTD","YTG")</f>
        <v>YTG</v>
      </c>
      <c r="E2877" t="s">
        <v>563</v>
      </c>
      <c r="F2877" t="s">
        <v>18</v>
      </c>
      <c r="G2877" t="s">
        <v>339</v>
      </c>
      <c r="H2877" t="s">
        <v>77</v>
      </c>
      <c r="I2877" t="s">
        <v>61</v>
      </c>
      <c r="J2877" t="str">
        <f>IFERROR(VLOOKUP(I2877,[1]AUTOS!$C:$G,2,0),"")</f>
        <v>KIA RIO</v>
      </c>
      <c r="K2877">
        <f>IFERROR(VLOOKUP(I2877,[1]AUTOS!$C:$G,3,0),"")</f>
        <v>2017</v>
      </c>
      <c r="L2877" t="str">
        <f>IFERROR(VLOOKUP(I2877,[1]AUTOS!$C:$G,4,0),"")</f>
        <v>ROJO</v>
      </c>
      <c r="P2877" s="3">
        <v>-225</v>
      </c>
      <c r="R2877" s="3" t="e">
        <f>SUMIFS([2]Gastos!$M:$M,[2]Gastos!$F:$F,H2877,[2]Gastos!$A:$A,A2877,[2]Gastos!$H:$H,I2877)</f>
        <v>#VALUE!</v>
      </c>
    </row>
    <row r="2878" spans="1:18" hidden="1" x14ac:dyDescent="0.3">
      <c r="A2878">
        <v>47</v>
      </c>
      <c r="B2878" t="str">
        <f>VLOOKUP($A2878,[1]LISTA!$B:$C,2,0)</f>
        <v>NOVIEMBRE</v>
      </c>
      <c r="C2878" s="1">
        <v>2025</v>
      </c>
      <c r="D2878" s="1" t="str">
        <f>IF($A2878&lt;=[1]RESULTADOS!$D$6,"YTD","YTG")</f>
        <v>YTG</v>
      </c>
      <c r="E2878" t="s">
        <v>486</v>
      </c>
      <c r="F2878" t="s">
        <v>18</v>
      </c>
      <c r="G2878" t="s">
        <v>339</v>
      </c>
      <c r="H2878" t="s">
        <v>514</v>
      </c>
      <c r="I2878" t="s">
        <v>34</v>
      </c>
      <c r="J2878" t="str">
        <f>IFERROR(VLOOKUP(I2878,[1]AUTOS!$C:$G,2,0),"")</f>
        <v>AVEO</v>
      </c>
      <c r="K2878">
        <f>IFERROR(VLOOKUP(I2878,[1]AUTOS!$C:$G,3,0),"")</f>
        <v>2018</v>
      </c>
      <c r="L2878" t="str">
        <f>IFERROR(VLOOKUP(I2878,[1]AUTOS!$C:$G,4,0),"")</f>
        <v>ROJO</v>
      </c>
      <c r="P2878" s="3">
        <v>-1040</v>
      </c>
      <c r="R2878" s="3" t="e">
        <f>SUMIFS([2]Gastos!$M:$M,[2]Gastos!$F:$F,H2878,[2]Gastos!$A:$A,A2878,[2]Gastos!$H:$H,I2878)</f>
        <v>#VALUE!</v>
      </c>
    </row>
    <row r="2879" spans="1:18" hidden="1" x14ac:dyDescent="0.3">
      <c r="A2879">
        <v>11</v>
      </c>
      <c r="B2879" t="str">
        <f>VLOOKUP($A2879,[1]LISTA!$B:$C,2,0)</f>
        <v>MARZO</v>
      </c>
      <c r="C2879" s="1">
        <v>2025</v>
      </c>
      <c r="D2879" s="1" t="str">
        <f>IF($A2879&lt;=[1]RESULTADOS!$D$6,"YTD","YTG")</f>
        <v>YTD</v>
      </c>
      <c r="E2879" s="6" t="s">
        <v>705</v>
      </c>
      <c r="F2879" t="s">
        <v>18</v>
      </c>
      <c r="G2879" t="s">
        <v>339</v>
      </c>
      <c r="H2879" t="s">
        <v>77</v>
      </c>
      <c r="I2879" t="s">
        <v>440</v>
      </c>
      <c r="J2879" t="str">
        <f>IFERROR(VLOOKUP(I2879,[1]AUTOS!$C:$G,2,0),"")</f>
        <v>AVEO</v>
      </c>
      <c r="K2879">
        <f>IFERROR(VLOOKUP(I2879,[1]AUTOS!$C:$G,3,0),"")</f>
        <v>2021</v>
      </c>
      <c r="L2879" t="str">
        <f>IFERROR(VLOOKUP(I2879,[1]AUTOS!$C:$G,4,0),"")</f>
        <v>GRIS</v>
      </c>
      <c r="P2879" s="3">
        <v>-740</v>
      </c>
    </row>
    <row r="2880" spans="1:18" hidden="1" x14ac:dyDescent="0.3">
      <c r="A2880">
        <v>48</v>
      </c>
      <c r="B2880" t="str">
        <f>VLOOKUP($A2880,[1]LISTA!$B:$C,2,0)</f>
        <v>NOVIEMBRE</v>
      </c>
      <c r="C2880" s="1">
        <v>2025</v>
      </c>
      <c r="D2880" s="1" t="str">
        <f>IF($A2880&lt;=[1]RESULTADOS!$D$6,"YTD","YTG")</f>
        <v>YTG</v>
      </c>
      <c r="E2880" t="s">
        <v>17</v>
      </c>
      <c r="F2880" t="s">
        <v>18</v>
      </c>
      <c r="G2880" t="s">
        <v>339</v>
      </c>
      <c r="H2880" t="s">
        <v>514</v>
      </c>
      <c r="I2880" t="s">
        <v>144</v>
      </c>
      <c r="J2880" t="str">
        <f>IFERROR(VLOOKUP(I2880,[1]AUTOS!$C:$G,2,0),"")</f>
        <v>VERSA</v>
      </c>
      <c r="K2880">
        <f>IFERROR(VLOOKUP(I2880,[1]AUTOS!$C:$G,3,0),"")</f>
        <v>2020</v>
      </c>
      <c r="L2880" t="str">
        <f>IFERROR(VLOOKUP(I2880,[1]AUTOS!$C:$G,4,0),"")</f>
        <v>ROJO</v>
      </c>
      <c r="P2880" s="3">
        <v>-740</v>
      </c>
      <c r="R2880" s="3" t="e">
        <f>SUMIFS([2]Gastos!$M:$M,[2]Gastos!$F:$F,H2880,[2]Gastos!$A:$A,A2880,[2]Gastos!$H:$H,I2880)</f>
        <v>#VALUE!</v>
      </c>
    </row>
    <row r="2881" spans="1:18" hidden="1" x14ac:dyDescent="0.3">
      <c r="A2881">
        <v>44</v>
      </c>
      <c r="B2881" t="str">
        <f>VLOOKUP($A2881,[1]LISTA!$B:$C,2,0)</f>
        <v>OCTUBRE</v>
      </c>
      <c r="C2881" s="1">
        <v>2025</v>
      </c>
      <c r="D2881" s="1" t="str">
        <f>IF($A2881&lt;=[1]RESULTADOS!$D$6,"YTD","YTG")</f>
        <v>YTG</v>
      </c>
      <c r="E2881" s="5" t="s">
        <v>718</v>
      </c>
      <c r="F2881" t="s">
        <v>18</v>
      </c>
      <c r="G2881" t="s">
        <v>339</v>
      </c>
      <c r="H2881" t="s">
        <v>77</v>
      </c>
      <c r="I2881" t="s">
        <v>42</v>
      </c>
      <c r="J2881" t="str">
        <f>IFERROR(VLOOKUP(I2881,[1]AUTOS!$C:$G,2,0),"")</f>
        <v>VENTO</v>
      </c>
      <c r="K2881">
        <f>IFERROR(VLOOKUP(I2881,[1]AUTOS!$C:$G,3,0),"")</f>
        <v>2018</v>
      </c>
      <c r="L2881" t="str">
        <f>IFERROR(VLOOKUP(I2881,[1]AUTOS!$C:$G,4,0),"")</f>
        <v>AMARILLO</v>
      </c>
      <c r="P2881" s="3">
        <v>-740</v>
      </c>
    </row>
    <row r="2882" spans="1:18" hidden="1" x14ac:dyDescent="0.3">
      <c r="A2882">
        <v>44</v>
      </c>
      <c r="B2882" t="str">
        <f>VLOOKUP($A2882,[1]LISTA!$B:$C,2,0)</f>
        <v>OCTUBRE</v>
      </c>
      <c r="C2882" s="1">
        <v>2025</v>
      </c>
      <c r="D2882" s="1" t="str">
        <f>IF($A2882&lt;=[1]RESULTADOS!$D$6,"YTD","YTG")</f>
        <v>YTG</v>
      </c>
      <c r="E2882" s="5" t="s">
        <v>718</v>
      </c>
      <c r="F2882" t="s">
        <v>18</v>
      </c>
      <c r="G2882" t="s">
        <v>780</v>
      </c>
      <c r="H2882" t="s">
        <v>193</v>
      </c>
      <c r="I2882" t="s">
        <v>42</v>
      </c>
      <c r="J2882" t="str">
        <f>IFERROR(VLOOKUP(I2882,[1]AUTOS!$C:$G,2,0),"")</f>
        <v>VENTO</v>
      </c>
      <c r="K2882">
        <f>IFERROR(VLOOKUP(I2882,[1]AUTOS!$C:$G,3,0),"")</f>
        <v>2018</v>
      </c>
      <c r="L2882" t="str">
        <f>IFERROR(VLOOKUP(I2882,[1]AUTOS!$C:$G,4,0),"")</f>
        <v>AMARILLO</v>
      </c>
      <c r="P2882" s="3">
        <v>-170</v>
      </c>
    </row>
    <row r="2883" spans="1:18" hidden="1" x14ac:dyDescent="0.3">
      <c r="A2883">
        <v>44</v>
      </c>
      <c r="B2883" t="str">
        <f>VLOOKUP($A2883,[1]LISTA!$B:$C,2,0)</f>
        <v>OCTUBRE</v>
      </c>
      <c r="C2883" s="1">
        <v>2025</v>
      </c>
      <c r="D2883" s="1" t="str">
        <f>IF($A2883&lt;=[1]RESULTADOS!$D$6,"YTD","YTG")</f>
        <v>YTG</v>
      </c>
      <c r="E2883" s="5" t="s">
        <v>718</v>
      </c>
      <c r="F2883" t="s">
        <v>18</v>
      </c>
      <c r="G2883" t="s">
        <v>780</v>
      </c>
      <c r="H2883" t="s">
        <v>310</v>
      </c>
      <c r="I2883" t="s">
        <v>42</v>
      </c>
      <c r="J2883" t="str">
        <f>IFERROR(VLOOKUP(I2883,[1]AUTOS!$C:$G,2,0),"")</f>
        <v>VENTO</v>
      </c>
      <c r="K2883">
        <f>IFERROR(VLOOKUP(I2883,[1]AUTOS!$C:$G,3,0),"")</f>
        <v>2018</v>
      </c>
      <c r="L2883" t="str">
        <f>IFERROR(VLOOKUP(I2883,[1]AUTOS!$C:$G,4,0),"")</f>
        <v>AMARILLO</v>
      </c>
      <c r="P2883" s="3">
        <v>-640</v>
      </c>
    </row>
    <row r="2884" spans="1:18" hidden="1" x14ac:dyDescent="0.3">
      <c r="A2884">
        <v>46</v>
      </c>
      <c r="B2884" t="str">
        <f>VLOOKUP($A2884,[1]LISTA!$B:$C,2,0)</f>
        <v>NOVIEMBRE</v>
      </c>
      <c r="C2884" s="1">
        <v>2025</v>
      </c>
      <c r="D2884" s="1" t="str">
        <f>IF($A2884&lt;=[1]RESULTADOS!$D$6,"YTD","YTG")</f>
        <v>YTG</v>
      </c>
      <c r="E2884" t="s">
        <v>17</v>
      </c>
      <c r="F2884" t="s">
        <v>18</v>
      </c>
      <c r="G2884" t="s">
        <v>339</v>
      </c>
      <c r="H2884" t="s">
        <v>77</v>
      </c>
      <c r="I2884" t="s">
        <v>741</v>
      </c>
      <c r="J2884" t="str">
        <f>IFERROR(VLOOKUP(I2884,[1]AUTOS!$C:$G,2,0),"")</f>
        <v>AVEO</v>
      </c>
      <c r="K2884">
        <f>IFERROR(VLOOKUP(I2884,[1]AUTOS!$C:$G,3,0),"")</f>
        <v>2025</v>
      </c>
      <c r="L2884" t="str">
        <f>IFERROR(VLOOKUP(I2884,[1]AUTOS!$C:$G,4,0),"")</f>
        <v>PERSUASION</v>
      </c>
      <c r="P2884" s="3">
        <v>-1131</v>
      </c>
      <c r="R2884" s="3" t="e">
        <f>SUMIFS([2]Gastos!$M:$M,[2]Gastos!$F:$F,H2884,[2]Gastos!$A:$A,A2884,[2]Gastos!$H:$H,I2884)</f>
        <v>#VALUE!</v>
      </c>
    </row>
    <row r="2885" spans="1:18" hidden="1" x14ac:dyDescent="0.3">
      <c r="A2885">
        <v>46</v>
      </c>
      <c r="B2885" t="str">
        <f>VLOOKUP($A2885,[1]LISTA!$B:$C,2,0)</f>
        <v>NOVIEMBRE</v>
      </c>
      <c r="C2885" s="1">
        <v>2025</v>
      </c>
      <c r="D2885" s="1" t="str">
        <f>IF($A2885&lt;=[1]RESULTADOS!$D$6,"YTD","YTG")</f>
        <v>YTG</v>
      </c>
      <c r="E2885" t="s">
        <v>17</v>
      </c>
      <c r="F2885" t="s">
        <v>18</v>
      </c>
      <c r="G2885" t="s">
        <v>339</v>
      </c>
      <c r="H2885" t="s">
        <v>514</v>
      </c>
      <c r="I2885" t="s">
        <v>742</v>
      </c>
      <c r="J2885" t="str">
        <f>IFERROR(VLOOKUP(I2885,[1]AUTOS!$C:$G,2,0),"")</f>
        <v>AVEO</v>
      </c>
      <c r="K2885">
        <f>IFERROR(VLOOKUP(I2885,[1]AUTOS!$C:$G,3,0),"")</f>
        <v>2025</v>
      </c>
      <c r="L2885" t="str">
        <f>IFERROR(VLOOKUP(I2885,[1]AUTOS!$C:$G,4,0),"")</f>
        <v>PERSUASION</v>
      </c>
      <c r="P2885" s="3">
        <v>-1131</v>
      </c>
      <c r="R2885" s="3" t="e">
        <f>SUMIFS([2]Gastos!$M:$M,[2]Gastos!$F:$F,H2885,[2]Gastos!$A:$A,A2885,[2]Gastos!$H:$H,I2885)</f>
        <v>#VALUE!</v>
      </c>
    </row>
    <row r="2886" spans="1:18" hidden="1" x14ac:dyDescent="0.3">
      <c r="A2886">
        <v>46</v>
      </c>
      <c r="B2886" t="str">
        <f>VLOOKUP($A2886,[1]LISTA!$B:$C,2,0)</f>
        <v>NOVIEMBRE</v>
      </c>
      <c r="C2886" s="1">
        <v>2025</v>
      </c>
      <c r="D2886" s="1" t="str">
        <f>IF($A2886&lt;=[1]RESULTADOS!$D$6,"YTD","YTG")</f>
        <v>YTG</v>
      </c>
      <c r="E2886" t="s">
        <v>17</v>
      </c>
      <c r="F2886" t="s">
        <v>18</v>
      </c>
      <c r="G2886" t="s">
        <v>339</v>
      </c>
      <c r="H2886" t="s">
        <v>514</v>
      </c>
      <c r="I2886" t="s">
        <v>728</v>
      </c>
      <c r="J2886" t="str">
        <f>IFERROR(VLOOKUP(I2886,[1]AUTOS!$C:$G,2,0),"")</f>
        <v>AVEO</v>
      </c>
      <c r="K2886">
        <f>IFERROR(VLOOKUP(I2886,[1]AUTOS!$C:$G,3,0),"")</f>
        <v>2025</v>
      </c>
      <c r="L2886" t="str">
        <f>IFERROR(VLOOKUP(I2886,[1]AUTOS!$C:$G,4,0),"")</f>
        <v>PERSUASION</v>
      </c>
      <c r="P2886" s="3">
        <v>-1131</v>
      </c>
      <c r="R2886" s="3" t="e">
        <f>SUMIFS([2]Gastos!$M:$M,[2]Gastos!$F:$F,H2886,[2]Gastos!$A:$A,A2886,[2]Gastos!$H:$H,I2886)</f>
        <v>#VALUE!</v>
      </c>
    </row>
    <row r="2887" spans="1:18" hidden="1" x14ac:dyDescent="0.3">
      <c r="A2887">
        <v>46</v>
      </c>
      <c r="B2887" t="str">
        <f>VLOOKUP($A2887,[1]LISTA!$B:$C,2,0)</f>
        <v>NOVIEMBRE</v>
      </c>
      <c r="C2887" s="1">
        <v>2025</v>
      </c>
      <c r="D2887" s="1" t="str">
        <f>IF($A2887&lt;=[1]RESULTADOS!$D$6,"YTD","YTG")</f>
        <v>YTG</v>
      </c>
      <c r="E2887" t="s">
        <v>17</v>
      </c>
      <c r="F2887" t="s">
        <v>18</v>
      </c>
      <c r="G2887" t="s">
        <v>339</v>
      </c>
      <c r="H2887" t="s">
        <v>514</v>
      </c>
      <c r="I2887" t="s">
        <v>733</v>
      </c>
      <c r="J2887" t="str">
        <f>IFERROR(VLOOKUP(I2887,[1]AUTOS!$C:$G,2,0),"")</f>
        <v>AVEO</v>
      </c>
      <c r="K2887">
        <f>IFERROR(VLOOKUP(I2887,[1]AUTOS!$C:$G,3,0),"")</f>
        <v>2025</v>
      </c>
      <c r="L2887" t="str">
        <f>IFERROR(VLOOKUP(I2887,[1]AUTOS!$C:$G,4,0),"")</f>
        <v>PERSUASION</v>
      </c>
      <c r="P2887" s="3">
        <v>-1131</v>
      </c>
      <c r="R2887" s="3" t="e">
        <f>SUMIFS([2]Gastos!$M:$M,[2]Gastos!$F:$F,H2887,[2]Gastos!$A:$A,A2887,[2]Gastos!$H:$H,I2887)</f>
        <v>#VALUE!</v>
      </c>
    </row>
    <row r="2888" spans="1:18" hidden="1" x14ac:dyDescent="0.3">
      <c r="A2888">
        <v>46</v>
      </c>
      <c r="B2888" t="str">
        <f>VLOOKUP($A2888,[1]LISTA!$B:$C,2,0)</f>
        <v>NOVIEMBRE</v>
      </c>
      <c r="C2888" s="1">
        <v>2025</v>
      </c>
      <c r="D2888" s="1" t="str">
        <f>IF($A2888&lt;=[1]RESULTADOS!$D$6,"YTD","YTG")</f>
        <v>YTG</v>
      </c>
      <c r="E2888" t="s">
        <v>17</v>
      </c>
      <c r="F2888" t="s">
        <v>18</v>
      </c>
      <c r="G2888" t="s">
        <v>339</v>
      </c>
      <c r="H2888" t="s">
        <v>514</v>
      </c>
      <c r="I2888" t="s">
        <v>814</v>
      </c>
      <c r="J2888" t="str">
        <f>IFERROR(VLOOKUP(I2888,[1]AUTOS!$C:$G,2,0),"")</f>
        <v>AVEO</v>
      </c>
      <c r="K2888">
        <f>IFERROR(VLOOKUP(I2888,[1]AUTOS!$C:$G,3,0),"")</f>
        <v>2025</v>
      </c>
      <c r="L2888" t="str">
        <f>IFERROR(VLOOKUP(I2888,[1]AUTOS!$C:$G,4,0),"")</f>
        <v>PERSUASION</v>
      </c>
      <c r="P2888" s="3">
        <v>-1131</v>
      </c>
      <c r="R2888" s="3" t="e">
        <f>SUMIFS([2]Gastos!$M:$M,[2]Gastos!$F:$F,H2888,[2]Gastos!$A:$A,A2888,[2]Gastos!$H:$H,I2888)</f>
        <v>#VALUE!</v>
      </c>
    </row>
    <row r="2889" spans="1:18" hidden="1" x14ac:dyDescent="0.3">
      <c r="A2889">
        <v>48</v>
      </c>
      <c r="B2889" t="str">
        <f>VLOOKUP($A2889,[1]LISTA!$B:$C,2,0)</f>
        <v>NOVIEMBRE</v>
      </c>
      <c r="C2889" s="1">
        <v>2025</v>
      </c>
      <c r="D2889" s="1" t="str">
        <f>IF($A2889&lt;=[1]RESULTADOS!$D$6,"YTD","YTG")</f>
        <v>YTG</v>
      </c>
      <c r="E2889" t="s">
        <v>17</v>
      </c>
      <c r="F2889" t="s">
        <v>18</v>
      </c>
      <c r="G2889" t="s">
        <v>780</v>
      </c>
      <c r="H2889" t="s">
        <v>194</v>
      </c>
      <c r="I2889" t="s">
        <v>144</v>
      </c>
      <c r="J2889" t="str">
        <f>IFERROR(VLOOKUP(I2889,[1]AUTOS!$C:$G,2,0),"")</f>
        <v>VERSA</v>
      </c>
      <c r="K2889">
        <f>IFERROR(VLOOKUP(I2889,[1]AUTOS!$C:$G,3,0),"")</f>
        <v>2020</v>
      </c>
      <c r="L2889" t="str">
        <f>IFERROR(VLOOKUP(I2889,[1]AUTOS!$C:$G,4,0),"")</f>
        <v>ROJO</v>
      </c>
      <c r="P2889" s="3">
        <v>-130</v>
      </c>
      <c r="R2889" s="3" t="e">
        <f>SUMIFS([2]Gastos!$M:$M,[2]Gastos!$F:$F,H2889,[2]Gastos!$A:$A,A2889,[2]Gastos!$H:$H,I2889)</f>
        <v>#VALUE!</v>
      </c>
    </row>
    <row r="2890" spans="1:18" hidden="1" x14ac:dyDescent="0.3">
      <c r="A2890">
        <v>48</v>
      </c>
      <c r="B2890" t="str">
        <f>VLOOKUP($A2890,[1]LISTA!$B:$C,2,0)</f>
        <v>NOVIEMBRE</v>
      </c>
      <c r="C2890" s="1">
        <v>2025</v>
      </c>
      <c r="D2890" s="1" t="str">
        <f>IF($A2890&lt;=[1]RESULTADOS!$D$6,"YTD","YTG")</f>
        <v>YTG</v>
      </c>
      <c r="E2890" t="s">
        <v>17</v>
      </c>
      <c r="F2890" t="s">
        <v>18</v>
      </c>
      <c r="G2890" t="s">
        <v>780</v>
      </c>
      <c r="H2890" t="s">
        <v>193</v>
      </c>
      <c r="I2890" t="s">
        <v>144</v>
      </c>
      <c r="J2890" t="str">
        <f>IFERROR(VLOOKUP(I2890,[1]AUTOS!$C:$G,2,0),"")</f>
        <v>VERSA</v>
      </c>
      <c r="K2890">
        <f>IFERROR(VLOOKUP(I2890,[1]AUTOS!$C:$G,3,0),"")</f>
        <v>2020</v>
      </c>
      <c r="L2890" t="str">
        <f>IFERROR(VLOOKUP(I2890,[1]AUTOS!$C:$G,4,0),"")</f>
        <v>ROJO</v>
      </c>
      <c r="P2890" s="3">
        <v>-105</v>
      </c>
      <c r="R2890" s="3" t="e">
        <f>SUMIFS([2]Gastos!$M:$M,[2]Gastos!$F:$F,H2890,[2]Gastos!$A:$A,A2890,[2]Gastos!$H:$H,I2890)</f>
        <v>#VALUE!</v>
      </c>
    </row>
  </sheetData>
  <autoFilter ref="A1:R2890" xr:uid="{C457C7BA-6350-47D2-AFCB-E5CF89FBFCC5}">
    <filterColumn colId="8">
      <filters>
        <filter val="VENTO|2020|GRIS|R66BER"/>
      </filters>
    </filterColumn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Byer</dc:creator>
  <cp:lastModifiedBy>Emmanuel Lara Hernández</cp:lastModifiedBy>
  <dcterms:created xsi:type="dcterms:W3CDTF">2025-12-13T23:36:23Z</dcterms:created>
  <dcterms:modified xsi:type="dcterms:W3CDTF">2025-12-15T20:34:58Z</dcterms:modified>
</cp:coreProperties>
</file>